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8_{4ACC22D0-1EB9-40A7-8E7A-060F9D82D869}" xr6:coauthVersionLast="47" xr6:coauthVersionMax="47" xr10:uidLastSave="{00000000-0000-0000-0000-000000000000}"/>
  <bookViews>
    <workbookView xWindow="-14510" yWindow="-1380" windowWidth="14620" windowHeight="25220" tabRatio="860" activeTab="1" xr2:uid="{E41455B6-AE63-441F-A43A-2546D63407AA}"/>
  </bookViews>
  <sheets>
    <sheet name="Meta (2)" sheetId="54" r:id="rId1"/>
    <sheet name="Rateio Mensal" sheetId="2" r:id="rId2"/>
    <sheet name="Fluxo consolidado " sheetId="47" r:id="rId3"/>
    <sheet name="DRE 2026" sheetId="71" r:id="rId4"/>
    <sheet name="Orçamento 2026" sheetId="72" r:id="rId5"/>
    <sheet name="Base_Resultado Mensal_V2" sheetId="1" r:id="rId6"/>
    <sheet name="Areas Sintetico atualizado" sheetId="6" r:id="rId7"/>
    <sheet name="Institucional" sheetId="55" r:id="rId8"/>
    <sheet name="Institucional ano" sheetId="74" r:id="rId9"/>
    <sheet name="Contencioso" sheetId="56" r:id="rId10"/>
    <sheet name="Econômico" sheetId="57" r:id="rId11"/>
    <sheet name="Arbitragem" sheetId="58" r:id="rId12"/>
    <sheet name="Resumo_Recebidas 2025_2026" sheetId="50" r:id="rId13"/>
    <sheet name="FATURAS Analitico CENTRO CUSTO " sheetId="51" r:id="rId14"/>
    <sheet name="Amortização" sheetId="52" r:id="rId15"/>
  </sheets>
  <externalReferences>
    <externalReference r:id="rId16"/>
    <externalReference r:id="rId17"/>
    <externalReference r:id="rId18"/>
    <externalReference r:id="rId19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df">#N/A</definedName>
    <definedName name="\e">#REF!</definedName>
    <definedName name="\f">#REF!</definedName>
    <definedName name="\i">#REF!</definedName>
    <definedName name="\l">#REF!</definedName>
    <definedName name="\PRINT_BALANCO">#REF!</definedName>
    <definedName name="\r">#REF!</definedName>
    <definedName name="\s">#REF!</definedName>
    <definedName name="\t">#REF!</definedName>
    <definedName name="_________________________________INV12">#REF!</definedName>
    <definedName name="_________________________________INV13">#REF!</definedName>
    <definedName name="_________________________________inv2" localSheetId="3">#REF!</definedName>
    <definedName name="_________________________________inv2" localSheetId="4">#REF!</definedName>
    <definedName name="_________________________________inv2">#REF!</definedName>
    <definedName name="________________________________INV12">#REF!</definedName>
    <definedName name="________________________________INV13">#REF!</definedName>
    <definedName name="________________________________inv2" localSheetId="3">#REF!</definedName>
    <definedName name="________________________________inv2" localSheetId="4">#REF!</definedName>
    <definedName name="________________________________inv2">#REF!</definedName>
    <definedName name="_______________________________INV12">#REF!</definedName>
    <definedName name="_______________________________INV13">#REF!</definedName>
    <definedName name="_______________________________inv2" localSheetId="3">#REF!</definedName>
    <definedName name="_______________________________inv2" localSheetId="4">#REF!</definedName>
    <definedName name="_______________________________inv2">#REF!</definedName>
    <definedName name="______________________________INV12">#REF!</definedName>
    <definedName name="______________________________INV13">#REF!</definedName>
    <definedName name="______________________________inv2" localSheetId="3">#REF!</definedName>
    <definedName name="______________________________inv2" localSheetId="4">#REF!</definedName>
    <definedName name="______________________________inv2">#REF!</definedName>
    <definedName name="_____________________________INV12">#REF!</definedName>
    <definedName name="_____________________________INV13">#REF!</definedName>
    <definedName name="_____________________________inv2" localSheetId="3">#REF!</definedName>
    <definedName name="_____________________________inv2" localSheetId="4">#REF!</definedName>
    <definedName name="_____________________________inv2">#REF!</definedName>
    <definedName name="_____________________________la29" hidden="1">#REF!</definedName>
    <definedName name="_____________________________la3" hidden="1">#REF!</definedName>
    <definedName name="_____________________________la31" hidden="1">#REF!</definedName>
    <definedName name="_____________________________la32" hidden="1">#REF!</definedName>
    <definedName name="_____________________________la4" hidden="1">#REF!</definedName>
    <definedName name="_____________________________la5" hidden="1">#REF!</definedName>
    <definedName name="_____________________________la6" hidden="1">#REF!</definedName>
    <definedName name="_____________________________la7" hidden="1">#REF!</definedName>
    <definedName name="_____________________________la8" hidden="1">#REF!</definedName>
    <definedName name="_____________________________la9" hidden="1">#REF!</definedName>
    <definedName name="_____________________________lb1" hidden="1">#REF!</definedName>
    <definedName name="_____________________________lb10" hidden="1">#REF!</definedName>
    <definedName name="_____________________________lb11" hidden="1">#REF!</definedName>
    <definedName name="_____________________________lb12" hidden="1">#REF!</definedName>
    <definedName name="_____________________________lb13" hidden="1">#REF!</definedName>
    <definedName name="_____________________________lb14" hidden="1">#REF!</definedName>
    <definedName name="_____________________________lb15" hidden="1">#REF!</definedName>
    <definedName name="_____________________________lb16" hidden="1">#REF!</definedName>
    <definedName name="_____________________________lb17" hidden="1">#REF!</definedName>
    <definedName name="_____________________________lb18" hidden="1">#REF!</definedName>
    <definedName name="_____________________________lb19" hidden="1">#REF!</definedName>
    <definedName name="_____________________________lb2" hidden="1">#REF!</definedName>
    <definedName name="_____________________________lb20" hidden="1">#REF!</definedName>
    <definedName name="_____________________________lb21" hidden="1">#REF!</definedName>
    <definedName name="_____________________________lb22" hidden="1">#REF!</definedName>
    <definedName name="_____________________________lb23" hidden="1">#REF!</definedName>
    <definedName name="_____________________________lb24" hidden="1">#REF!</definedName>
    <definedName name="_____________________________lb25" hidden="1">#REF!</definedName>
    <definedName name="_____________________________lb27" hidden="1">#REF!</definedName>
    <definedName name="_____________________________lb28" hidden="1">#REF!</definedName>
    <definedName name="_____________________________lb29" hidden="1">#REF!</definedName>
    <definedName name="_____________________________lb3" hidden="1">#REF!</definedName>
    <definedName name="_____________________________lb30" hidden="1">#REF!</definedName>
    <definedName name="_____________________________lb31" hidden="1">#REF!</definedName>
    <definedName name="_____________________________lb32" hidden="1">#REF!</definedName>
    <definedName name="_____________________________lb4" hidden="1">#REF!</definedName>
    <definedName name="_____________________________lb5" hidden="1">#REF!</definedName>
    <definedName name="_____________________________lb6" hidden="1">#REF!</definedName>
    <definedName name="_____________________________lb7" hidden="1">#REF!</definedName>
    <definedName name="_____________________________lb8" hidden="1">#REF!</definedName>
    <definedName name="_____________________________lb9" hidden="1">#REF!</definedName>
    <definedName name="_____________________________lbc1" hidden="1">#REF!</definedName>
    <definedName name="_____________________________lbc10" hidden="1">#REF!</definedName>
    <definedName name="_____________________________lbc11" hidden="1">#REF!</definedName>
    <definedName name="_____________________________lbc12" hidden="1">#REF!</definedName>
    <definedName name="_____________________________lbc13" hidden="1">#REF!</definedName>
    <definedName name="_____________________________lbc14" hidden="1">#REF!</definedName>
    <definedName name="_____________________________lbc15" hidden="1">#REF!</definedName>
    <definedName name="_____________________________lbc16" hidden="1">#REF!</definedName>
    <definedName name="_____________________________lbc17" hidden="1">#REF!</definedName>
    <definedName name="_____________________________lbc18" hidden="1">#REF!</definedName>
    <definedName name="_____________________________lbc19" hidden="1">#REF!</definedName>
    <definedName name="_____________________________lbc2" hidden="1">#REF!</definedName>
    <definedName name="_____________________________lbc20" hidden="1">#REF!</definedName>
    <definedName name="_____________________________lbc21" hidden="1">#REF!</definedName>
    <definedName name="_____________________________lbc22" hidden="1">#REF!</definedName>
    <definedName name="_____________________________lbc23" hidden="1">#REF!</definedName>
    <definedName name="_____________________________lbc24" hidden="1">#REF!</definedName>
    <definedName name="_____________________________lbc25" hidden="1">#REF!</definedName>
    <definedName name="_____________________________lbc26" hidden="1">#REF!</definedName>
    <definedName name="_____________________________lbc27" hidden="1">#REF!</definedName>
    <definedName name="_____________________________lbc28" hidden="1">#REF!</definedName>
    <definedName name="_____________________________lbc29" hidden="1">#REF!</definedName>
    <definedName name="_____________________________lbc3" hidden="1">#REF!</definedName>
    <definedName name="_____________________________lbc31" hidden="1">#REF!</definedName>
    <definedName name="_____________________________lbc32" hidden="1">#REF!</definedName>
    <definedName name="_____________________________lbc4" hidden="1">#REF!</definedName>
    <definedName name="_____________________________lbc5" hidden="1">#REF!</definedName>
    <definedName name="_____________________________lbc6" hidden="1">#REF!</definedName>
    <definedName name="_____________________________lbc7" hidden="1">#REF!</definedName>
    <definedName name="_____________________________lbc8" hidden="1">#REF!</definedName>
    <definedName name="_____________________________lbc9" hidden="1">#REF!</definedName>
    <definedName name="_____________________________ld26" hidden="1">#REF!</definedName>
    <definedName name="_____________________________ld31" hidden="1">#REF!</definedName>
    <definedName name="_____________________________le31" hidden="1">#REF!</definedName>
    <definedName name="_____________________________lf31" hidden="1">#REF!</definedName>
    <definedName name="_____________________________x10" hidden="1">#REF!</definedName>
    <definedName name="_____________________________x11" hidden="1">#REF!</definedName>
    <definedName name="_____________________________x12" hidden="1">#REF!</definedName>
    <definedName name="_____________________________x13" hidden="1">#REF!</definedName>
    <definedName name="_____________________________x14" hidden="1">#REF!</definedName>
    <definedName name="_____________________________x15" hidden="1">#REF!</definedName>
    <definedName name="_____________________________x16" hidden="1">#REF!</definedName>
    <definedName name="_____________________________x17" hidden="1">#REF!</definedName>
    <definedName name="_____________________________x18" hidden="1">#REF!</definedName>
    <definedName name="_____________________________x19" hidden="1">#REF!</definedName>
    <definedName name="_____________________________x20" hidden="1">#REF!</definedName>
    <definedName name="_____________________________x21" hidden="1">#REF!</definedName>
    <definedName name="_____________________________x22" hidden="1">#REF!</definedName>
    <definedName name="_____________________________x23" hidden="1">#REF!</definedName>
    <definedName name="_____________________________x24" hidden="1">#REF!</definedName>
    <definedName name="_____________________________x25" hidden="1">#REF!</definedName>
    <definedName name="_____________________________x28" hidden="1">#REF!</definedName>
    <definedName name="_____________________________x29" hidden="1">#REF!</definedName>
    <definedName name="_____________________________x32" hidden="1">#REF!</definedName>
    <definedName name="_____________________________x4" hidden="1">#REF!</definedName>
    <definedName name="_____________________________x5" hidden="1">#REF!</definedName>
    <definedName name="_____________________________x6" hidden="1">#REF!</definedName>
    <definedName name="_____________________________x7" hidden="1">#REF!</definedName>
    <definedName name="_____________________________x8" hidden="1">#REF!</definedName>
    <definedName name="_____________________________x9" hidden="1">#REF!</definedName>
    <definedName name="____________________________INV12">#REF!</definedName>
    <definedName name="____________________________INV13">#REF!</definedName>
    <definedName name="____________________________inv2" localSheetId="3">#REF!</definedName>
    <definedName name="____________________________inv2" localSheetId="4">#REF!</definedName>
    <definedName name="____________________________inv2">#REF!</definedName>
    <definedName name="____________________________la29" hidden="1">#REF!</definedName>
    <definedName name="____________________________la3" hidden="1">#REF!</definedName>
    <definedName name="____________________________la31" hidden="1">#REF!</definedName>
    <definedName name="____________________________la32" hidden="1">#REF!</definedName>
    <definedName name="____________________________la4" hidden="1">#REF!</definedName>
    <definedName name="____________________________la5" hidden="1">#REF!</definedName>
    <definedName name="____________________________la6" hidden="1">#REF!</definedName>
    <definedName name="____________________________la7" hidden="1">#REF!</definedName>
    <definedName name="____________________________la8" hidden="1">#REF!</definedName>
    <definedName name="____________________________la9" hidden="1">#REF!</definedName>
    <definedName name="____________________________lb1" hidden="1">#REF!</definedName>
    <definedName name="____________________________lb10" hidden="1">#REF!</definedName>
    <definedName name="____________________________lb11" hidden="1">#REF!</definedName>
    <definedName name="____________________________lb12" hidden="1">#REF!</definedName>
    <definedName name="____________________________lb13" hidden="1">#REF!</definedName>
    <definedName name="____________________________lb14" hidden="1">#REF!</definedName>
    <definedName name="____________________________lb15" hidden="1">#REF!</definedName>
    <definedName name="____________________________lb16" hidden="1">#REF!</definedName>
    <definedName name="____________________________lb17" hidden="1">#REF!</definedName>
    <definedName name="____________________________lb18" hidden="1">#REF!</definedName>
    <definedName name="____________________________lb19" hidden="1">#REF!</definedName>
    <definedName name="____________________________lb2" hidden="1">#REF!</definedName>
    <definedName name="____________________________lb20" hidden="1">#REF!</definedName>
    <definedName name="____________________________lb21" hidden="1">#REF!</definedName>
    <definedName name="____________________________lb22" hidden="1">#REF!</definedName>
    <definedName name="____________________________lb23" hidden="1">#REF!</definedName>
    <definedName name="____________________________lb24" hidden="1">#REF!</definedName>
    <definedName name="____________________________lb25" hidden="1">#REF!</definedName>
    <definedName name="____________________________lb27" hidden="1">#REF!</definedName>
    <definedName name="____________________________lb28" hidden="1">#REF!</definedName>
    <definedName name="____________________________lb29" hidden="1">#REF!</definedName>
    <definedName name="____________________________lb3" hidden="1">#REF!</definedName>
    <definedName name="____________________________lb30" hidden="1">#REF!</definedName>
    <definedName name="____________________________lb31" hidden="1">#REF!</definedName>
    <definedName name="____________________________lb32" hidden="1">#REF!</definedName>
    <definedName name="____________________________lb4" hidden="1">#REF!</definedName>
    <definedName name="____________________________lb5" hidden="1">#REF!</definedName>
    <definedName name="____________________________lb6" hidden="1">#REF!</definedName>
    <definedName name="____________________________lb7" hidden="1">#REF!</definedName>
    <definedName name="____________________________lb8" hidden="1">#REF!</definedName>
    <definedName name="____________________________lb9" hidden="1">#REF!</definedName>
    <definedName name="____________________________lbc1" hidden="1">#REF!</definedName>
    <definedName name="____________________________lbc10" hidden="1">#REF!</definedName>
    <definedName name="____________________________lbc11" hidden="1">#REF!</definedName>
    <definedName name="____________________________lbc12" hidden="1">#REF!</definedName>
    <definedName name="____________________________lbc13" hidden="1">#REF!</definedName>
    <definedName name="____________________________lbc14" hidden="1">#REF!</definedName>
    <definedName name="____________________________lbc15" hidden="1">#REF!</definedName>
    <definedName name="____________________________lbc16" hidden="1">#REF!</definedName>
    <definedName name="____________________________lbc17" hidden="1">#REF!</definedName>
    <definedName name="____________________________lbc18" hidden="1">#REF!</definedName>
    <definedName name="____________________________lbc19" hidden="1">#REF!</definedName>
    <definedName name="____________________________lbc2" hidden="1">#REF!</definedName>
    <definedName name="____________________________lbc20" hidden="1">#REF!</definedName>
    <definedName name="____________________________lbc21" hidden="1">#REF!</definedName>
    <definedName name="____________________________lbc22" hidden="1">#REF!</definedName>
    <definedName name="____________________________lbc23" hidden="1">#REF!</definedName>
    <definedName name="____________________________lbc24" hidden="1">#REF!</definedName>
    <definedName name="____________________________lbc25" hidden="1">#REF!</definedName>
    <definedName name="____________________________lbc26" hidden="1">#REF!</definedName>
    <definedName name="____________________________lbc27" hidden="1">#REF!</definedName>
    <definedName name="____________________________lbc28" hidden="1">#REF!</definedName>
    <definedName name="____________________________lbc29" hidden="1">#REF!</definedName>
    <definedName name="____________________________lbc3" hidden="1">#REF!</definedName>
    <definedName name="____________________________lbc31" hidden="1">#REF!</definedName>
    <definedName name="____________________________lbc32" hidden="1">#REF!</definedName>
    <definedName name="____________________________lbc4" hidden="1">#REF!</definedName>
    <definedName name="____________________________lbc5" hidden="1">#REF!</definedName>
    <definedName name="____________________________lbc6" hidden="1">#REF!</definedName>
    <definedName name="____________________________lbc7" hidden="1">#REF!</definedName>
    <definedName name="____________________________lbc8" hidden="1">#REF!</definedName>
    <definedName name="____________________________lbc9" hidden="1">#REF!</definedName>
    <definedName name="____________________________ld26" hidden="1">#REF!</definedName>
    <definedName name="____________________________ld31" hidden="1">#REF!</definedName>
    <definedName name="____________________________le31" hidden="1">#REF!</definedName>
    <definedName name="____________________________lf31" hidden="1">#REF!</definedName>
    <definedName name="____________________________x10" hidden="1">#REF!</definedName>
    <definedName name="____________________________x11" hidden="1">#REF!</definedName>
    <definedName name="____________________________x12" hidden="1">#REF!</definedName>
    <definedName name="____________________________x13" hidden="1">#REF!</definedName>
    <definedName name="____________________________x14" hidden="1">#REF!</definedName>
    <definedName name="____________________________x15" hidden="1">#REF!</definedName>
    <definedName name="____________________________x16" hidden="1">#REF!</definedName>
    <definedName name="____________________________x17" hidden="1">#REF!</definedName>
    <definedName name="____________________________x18" hidden="1">#REF!</definedName>
    <definedName name="____________________________x19" hidden="1">#REF!</definedName>
    <definedName name="____________________________x20" hidden="1">#REF!</definedName>
    <definedName name="____________________________x21" hidden="1">#REF!</definedName>
    <definedName name="____________________________x22" hidden="1">#REF!</definedName>
    <definedName name="____________________________x23" hidden="1">#REF!</definedName>
    <definedName name="____________________________x24" hidden="1">#REF!</definedName>
    <definedName name="____________________________x25" hidden="1">#REF!</definedName>
    <definedName name="____________________________x28" hidden="1">#REF!</definedName>
    <definedName name="____________________________x29" hidden="1">#REF!</definedName>
    <definedName name="____________________________x32" hidden="1">#REF!</definedName>
    <definedName name="____________________________x4" hidden="1">#REF!</definedName>
    <definedName name="____________________________x5" hidden="1">#REF!</definedName>
    <definedName name="____________________________x6" hidden="1">#REF!</definedName>
    <definedName name="____________________________x7" hidden="1">#REF!</definedName>
    <definedName name="____________________________x8" hidden="1">#REF!</definedName>
    <definedName name="____________________________x9" hidden="1">#REF!</definedName>
    <definedName name="___________________________INV12">#REF!</definedName>
    <definedName name="___________________________INV13">#REF!</definedName>
    <definedName name="___________________________inv2" localSheetId="3">#REF!</definedName>
    <definedName name="___________________________inv2" localSheetId="4">#REF!</definedName>
    <definedName name="___________________________inv2">#REF!</definedName>
    <definedName name="___________________________la29" hidden="1">#REF!</definedName>
    <definedName name="___________________________la3" hidden="1">#REF!</definedName>
    <definedName name="___________________________la31" hidden="1">#REF!</definedName>
    <definedName name="___________________________la32" hidden="1">#REF!</definedName>
    <definedName name="___________________________la4" hidden="1">#REF!</definedName>
    <definedName name="___________________________la5" hidden="1">#REF!</definedName>
    <definedName name="___________________________la6" hidden="1">#REF!</definedName>
    <definedName name="___________________________la7" hidden="1">#REF!</definedName>
    <definedName name="___________________________la8" hidden="1">#REF!</definedName>
    <definedName name="___________________________la9" hidden="1">#REF!</definedName>
    <definedName name="___________________________lb1" hidden="1">#REF!</definedName>
    <definedName name="___________________________lb10" hidden="1">#REF!</definedName>
    <definedName name="___________________________lb11" hidden="1">#REF!</definedName>
    <definedName name="___________________________lb12" hidden="1">#REF!</definedName>
    <definedName name="___________________________lb13" hidden="1">#REF!</definedName>
    <definedName name="___________________________lb14" hidden="1">#REF!</definedName>
    <definedName name="___________________________lb15" hidden="1">#REF!</definedName>
    <definedName name="___________________________lb16" hidden="1">#REF!</definedName>
    <definedName name="___________________________lb17" hidden="1">#REF!</definedName>
    <definedName name="___________________________lb18" hidden="1">#REF!</definedName>
    <definedName name="___________________________lb19" hidden="1">#REF!</definedName>
    <definedName name="___________________________lb2" hidden="1">#REF!</definedName>
    <definedName name="___________________________lb20" hidden="1">#REF!</definedName>
    <definedName name="___________________________lb21" hidden="1">#REF!</definedName>
    <definedName name="___________________________lb22" hidden="1">#REF!</definedName>
    <definedName name="___________________________lb23" hidden="1">#REF!</definedName>
    <definedName name="___________________________lb24" hidden="1">#REF!</definedName>
    <definedName name="___________________________lb25" hidden="1">#REF!</definedName>
    <definedName name="___________________________lb27" hidden="1">#REF!</definedName>
    <definedName name="___________________________lb28" hidden="1">#REF!</definedName>
    <definedName name="___________________________lb29" hidden="1">#REF!</definedName>
    <definedName name="___________________________lb3" hidden="1">#REF!</definedName>
    <definedName name="___________________________lb30" hidden="1">#REF!</definedName>
    <definedName name="___________________________lb31" hidden="1">#REF!</definedName>
    <definedName name="___________________________lb32" hidden="1">#REF!</definedName>
    <definedName name="___________________________lb4" hidden="1">#REF!</definedName>
    <definedName name="___________________________lb5" hidden="1">#REF!</definedName>
    <definedName name="___________________________lb6" hidden="1">#REF!</definedName>
    <definedName name="___________________________lb7" hidden="1">#REF!</definedName>
    <definedName name="___________________________lb8" hidden="1">#REF!</definedName>
    <definedName name="___________________________lb9" hidden="1">#REF!</definedName>
    <definedName name="___________________________lbc1" hidden="1">#REF!</definedName>
    <definedName name="___________________________lbc10" hidden="1">#REF!</definedName>
    <definedName name="___________________________lbc11" hidden="1">#REF!</definedName>
    <definedName name="___________________________lbc12" hidden="1">#REF!</definedName>
    <definedName name="___________________________lbc13" hidden="1">#REF!</definedName>
    <definedName name="___________________________lbc14" hidden="1">#REF!</definedName>
    <definedName name="___________________________lbc15" hidden="1">#REF!</definedName>
    <definedName name="___________________________lbc16" hidden="1">#REF!</definedName>
    <definedName name="___________________________lbc17" hidden="1">#REF!</definedName>
    <definedName name="___________________________lbc18" hidden="1">#REF!</definedName>
    <definedName name="___________________________lbc19" hidden="1">#REF!</definedName>
    <definedName name="___________________________lbc2" hidden="1">#REF!</definedName>
    <definedName name="___________________________lbc20" hidden="1">#REF!</definedName>
    <definedName name="___________________________lbc21" hidden="1">#REF!</definedName>
    <definedName name="___________________________lbc22" hidden="1">#REF!</definedName>
    <definedName name="___________________________lbc23" hidden="1">#REF!</definedName>
    <definedName name="___________________________lbc24" hidden="1">#REF!</definedName>
    <definedName name="___________________________lbc25" hidden="1">#REF!</definedName>
    <definedName name="___________________________lbc26" hidden="1">#REF!</definedName>
    <definedName name="___________________________lbc27" hidden="1">#REF!</definedName>
    <definedName name="___________________________lbc28" hidden="1">#REF!</definedName>
    <definedName name="___________________________lbc29" hidden="1">#REF!</definedName>
    <definedName name="___________________________lbc3" hidden="1">#REF!</definedName>
    <definedName name="___________________________lbc31" hidden="1">#REF!</definedName>
    <definedName name="___________________________lbc32" hidden="1">#REF!</definedName>
    <definedName name="___________________________lbc4" hidden="1">#REF!</definedName>
    <definedName name="___________________________lbc5" hidden="1">#REF!</definedName>
    <definedName name="___________________________lbc6" hidden="1">#REF!</definedName>
    <definedName name="___________________________lbc7" hidden="1">#REF!</definedName>
    <definedName name="___________________________lbc8" hidden="1">#REF!</definedName>
    <definedName name="___________________________lbc9" hidden="1">#REF!</definedName>
    <definedName name="___________________________ld26" hidden="1">#REF!</definedName>
    <definedName name="___________________________ld31" hidden="1">#REF!</definedName>
    <definedName name="___________________________le31" hidden="1">#REF!</definedName>
    <definedName name="___________________________lf31" hidden="1">#REF!</definedName>
    <definedName name="___________________________x10" hidden="1">#REF!</definedName>
    <definedName name="___________________________x11" hidden="1">#REF!</definedName>
    <definedName name="___________________________x12" hidden="1">#REF!</definedName>
    <definedName name="___________________________x13" hidden="1">#REF!</definedName>
    <definedName name="___________________________x14" hidden="1">#REF!</definedName>
    <definedName name="___________________________x15" hidden="1">#REF!</definedName>
    <definedName name="___________________________x16" hidden="1">#REF!</definedName>
    <definedName name="___________________________x17" hidden="1">#REF!</definedName>
    <definedName name="___________________________x18" hidden="1">#REF!</definedName>
    <definedName name="___________________________x19" hidden="1">#REF!</definedName>
    <definedName name="___________________________x20" hidden="1">#REF!</definedName>
    <definedName name="___________________________x21" hidden="1">#REF!</definedName>
    <definedName name="___________________________x22" hidden="1">#REF!</definedName>
    <definedName name="___________________________x23" hidden="1">#REF!</definedName>
    <definedName name="___________________________x24" hidden="1">#REF!</definedName>
    <definedName name="___________________________x25" hidden="1">#REF!</definedName>
    <definedName name="___________________________x28" hidden="1">#REF!</definedName>
    <definedName name="___________________________x29" hidden="1">#REF!</definedName>
    <definedName name="___________________________x32" hidden="1">#REF!</definedName>
    <definedName name="___________________________x4" hidden="1">#REF!</definedName>
    <definedName name="___________________________x5" hidden="1">#REF!</definedName>
    <definedName name="___________________________x6" hidden="1">#REF!</definedName>
    <definedName name="___________________________x7" hidden="1">#REF!</definedName>
    <definedName name="___________________________x8" hidden="1">#REF!</definedName>
    <definedName name="___________________________x9" hidden="1">#REF!</definedName>
    <definedName name="__________________________INV12">#REF!</definedName>
    <definedName name="__________________________INV13">#REF!</definedName>
    <definedName name="__________________________inv2" localSheetId="3">#REF!</definedName>
    <definedName name="__________________________inv2" localSheetId="4">#REF!</definedName>
    <definedName name="__________________________inv2">#REF!</definedName>
    <definedName name="__________________________la29" hidden="1">#REF!</definedName>
    <definedName name="__________________________la3" hidden="1">#REF!</definedName>
    <definedName name="__________________________la31" hidden="1">#REF!</definedName>
    <definedName name="__________________________la32" hidden="1">#REF!</definedName>
    <definedName name="__________________________la4" hidden="1">#REF!</definedName>
    <definedName name="__________________________la5" hidden="1">#REF!</definedName>
    <definedName name="__________________________la6" hidden="1">#REF!</definedName>
    <definedName name="__________________________la7" hidden="1">#REF!</definedName>
    <definedName name="__________________________la8" hidden="1">#REF!</definedName>
    <definedName name="__________________________la9" hidden="1">#REF!</definedName>
    <definedName name="__________________________lb1" hidden="1">#REF!</definedName>
    <definedName name="__________________________lb10" hidden="1">#REF!</definedName>
    <definedName name="__________________________lb11" hidden="1">#REF!</definedName>
    <definedName name="__________________________lb12" hidden="1">#REF!</definedName>
    <definedName name="__________________________lb13" hidden="1">#REF!</definedName>
    <definedName name="__________________________lb14" hidden="1">#REF!</definedName>
    <definedName name="__________________________lb15" hidden="1">#REF!</definedName>
    <definedName name="__________________________lb16" hidden="1">#REF!</definedName>
    <definedName name="__________________________lb17" hidden="1">#REF!</definedName>
    <definedName name="__________________________lb18" hidden="1">#REF!</definedName>
    <definedName name="__________________________lb19" hidden="1">#REF!</definedName>
    <definedName name="__________________________lb2" hidden="1">#REF!</definedName>
    <definedName name="__________________________lb20" hidden="1">#REF!</definedName>
    <definedName name="__________________________lb21" hidden="1">#REF!</definedName>
    <definedName name="__________________________lb22" hidden="1">#REF!</definedName>
    <definedName name="__________________________lb23" hidden="1">#REF!</definedName>
    <definedName name="__________________________lb24" hidden="1">#REF!</definedName>
    <definedName name="__________________________lb25" hidden="1">#REF!</definedName>
    <definedName name="__________________________lb27" hidden="1">#REF!</definedName>
    <definedName name="__________________________lb28" hidden="1">#REF!</definedName>
    <definedName name="__________________________lb29" hidden="1">#REF!</definedName>
    <definedName name="__________________________lb3" hidden="1">#REF!</definedName>
    <definedName name="__________________________lb30" hidden="1">#REF!</definedName>
    <definedName name="__________________________lb31" hidden="1">#REF!</definedName>
    <definedName name="__________________________lb32" hidden="1">#REF!</definedName>
    <definedName name="__________________________lb4" hidden="1">#REF!</definedName>
    <definedName name="__________________________lb5" hidden="1">#REF!</definedName>
    <definedName name="__________________________lb6" hidden="1">#REF!</definedName>
    <definedName name="__________________________lb7" hidden="1">#REF!</definedName>
    <definedName name="__________________________lb8" hidden="1">#REF!</definedName>
    <definedName name="__________________________lb9" hidden="1">#REF!</definedName>
    <definedName name="__________________________lbc1" hidden="1">#REF!</definedName>
    <definedName name="__________________________lbc10" hidden="1">#REF!</definedName>
    <definedName name="__________________________lbc11" hidden="1">#REF!</definedName>
    <definedName name="__________________________lbc12" hidden="1">#REF!</definedName>
    <definedName name="__________________________lbc13" hidden="1">#REF!</definedName>
    <definedName name="__________________________lbc14" hidden="1">#REF!</definedName>
    <definedName name="__________________________lbc15" hidden="1">#REF!</definedName>
    <definedName name="__________________________lbc16" hidden="1">#REF!</definedName>
    <definedName name="__________________________lbc17" hidden="1">#REF!</definedName>
    <definedName name="__________________________lbc18" hidden="1">#REF!</definedName>
    <definedName name="__________________________lbc19" hidden="1">#REF!</definedName>
    <definedName name="__________________________lbc2" hidden="1">#REF!</definedName>
    <definedName name="__________________________lbc20" hidden="1">#REF!</definedName>
    <definedName name="__________________________lbc21" hidden="1">#REF!</definedName>
    <definedName name="__________________________lbc22" hidden="1">#REF!</definedName>
    <definedName name="__________________________lbc23" hidden="1">#REF!</definedName>
    <definedName name="__________________________lbc24" hidden="1">#REF!</definedName>
    <definedName name="__________________________lbc25" hidden="1">#REF!</definedName>
    <definedName name="__________________________lbc26" hidden="1">#REF!</definedName>
    <definedName name="__________________________lbc27" hidden="1">#REF!</definedName>
    <definedName name="__________________________lbc28" hidden="1">#REF!</definedName>
    <definedName name="__________________________lbc29" hidden="1">#REF!</definedName>
    <definedName name="__________________________lbc3" hidden="1">#REF!</definedName>
    <definedName name="__________________________lbc31" hidden="1">#REF!</definedName>
    <definedName name="__________________________lbc32" hidden="1">#REF!</definedName>
    <definedName name="__________________________lbc4" hidden="1">#REF!</definedName>
    <definedName name="__________________________lbc5" hidden="1">#REF!</definedName>
    <definedName name="__________________________lbc6" hidden="1">#REF!</definedName>
    <definedName name="__________________________lbc7" hidden="1">#REF!</definedName>
    <definedName name="__________________________lbc8" hidden="1">#REF!</definedName>
    <definedName name="__________________________lbc9" hidden="1">#REF!</definedName>
    <definedName name="__________________________ld26" hidden="1">#REF!</definedName>
    <definedName name="__________________________ld31" hidden="1">#REF!</definedName>
    <definedName name="__________________________le31" hidden="1">#REF!</definedName>
    <definedName name="__________________________lf31" hidden="1">#REF!</definedName>
    <definedName name="__________________________x10" hidden="1">#REF!</definedName>
    <definedName name="__________________________x11" hidden="1">#REF!</definedName>
    <definedName name="__________________________x12" hidden="1">#REF!</definedName>
    <definedName name="__________________________x13" hidden="1">#REF!</definedName>
    <definedName name="__________________________x14" hidden="1">#REF!</definedName>
    <definedName name="__________________________x15" hidden="1">#REF!</definedName>
    <definedName name="__________________________x16" hidden="1">#REF!</definedName>
    <definedName name="__________________________x17" hidden="1">#REF!</definedName>
    <definedName name="__________________________x18" hidden="1">#REF!</definedName>
    <definedName name="__________________________x19" hidden="1">#REF!</definedName>
    <definedName name="__________________________x20" hidden="1">#REF!</definedName>
    <definedName name="__________________________x21" hidden="1">#REF!</definedName>
    <definedName name="__________________________x22" hidden="1">#REF!</definedName>
    <definedName name="__________________________x23" hidden="1">#REF!</definedName>
    <definedName name="__________________________x24" hidden="1">#REF!</definedName>
    <definedName name="__________________________x25" hidden="1">#REF!</definedName>
    <definedName name="__________________________x28" hidden="1">#REF!</definedName>
    <definedName name="__________________________x29" hidden="1">#REF!</definedName>
    <definedName name="__________________________x32" hidden="1">#REF!</definedName>
    <definedName name="__________________________x4" hidden="1">#REF!</definedName>
    <definedName name="__________________________x5" hidden="1">#REF!</definedName>
    <definedName name="__________________________x6" hidden="1">#REF!</definedName>
    <definedName name="__________________________x7" hidden="1">#REF!</definedName>
    <definedName name="__________________________x8" hidden="1">#REF!</definedName>
    <definedName name="__________________________x9" hidden="1">#REF!</definedName>
    <definedName name="_________________________INV12">#REF!</definedName>
    <definedName name="_________________________INV13">#REF!</definedName>
    <definedName name="_________________________inv2" localSheetId="3">#REF!</definedName>
    <definedName name="_________________________inv2" localSheetId="4">#REF!</definedName>
    <definedName name="_________________________inv2">#REF!</definedName>
    <definedName name="_________________________la29" hidden="1">#REF!</definedName>
    <definedName name="_________________________la3" hidden="1">#REF!</definedName>
    <definedName name="_________________________la31" hidden="1">#REF!</definedName>
    <definedName name="_________________________la32" hidden="1">#REF!</definedName>
    <definedName name="_________________________la4" hidden="1">#REF!</definedName>
    <definedName name="_________________________la5" hidden="1">#REF!</definedName>
    <definedName name="_________________________la6" hidden="1">#REF!</definedName>
    <definedName name="_________________________la7" hidden="1">#REF!</definedName>
    <definedName name="_________________________la8" hidden="1">#REF!</definedName>
    <definedName name="_________________________la9" hidden="1">#REF!</definedName>
    <definedName name="_________________________lb1" hidden="1">#REF!</definedName>
    <definedName name="_________________________lb10" hidden="1">#REF!</definedName>
    <definedName name="_________________________lb11" hidden="1">#REF!</definedName>
    <definedName name="_________________________lb12" hidden="1">#REF!</definedName>
    <definedName name="_________________________lb13" hidden="1">#REF!</definedName>
    <definedName name="_________________________lb14" hidden="1">#REF!</definedName>
    <definedName name="_________________________lb15" hidden="1">#REF!</definedName>
    <definedName name="_________________________lb16" hidden="1">#REF!</definedName>
    <definedName name="_________________________lb17" hidden="1">#REF!</definedName>
    <definedName name="_________________________lb18" hidden="1">#REF!</definedName>
    <definedName name="_________________________lb19" hidden="1">#REF!</definedName>
    <definedName name="_________________________lb2" hidden="1">#REF!</definedName>
    <definedName name="_________________________lb20" hidden="1">#REF!</definedName>
    <definedName name="_________________________lb21" hidden="1">#REF!</definedName>
    <definedName name="_________________________lb22" hidden="1">#REF!</definedName>
    <definedName name="_________________________lb23" hidden="1">#REF!</definedName>
    <definedName name="_________________________lb24" hidden="1">#REF!</definedName>
    <definedName name="_________________________lb25" hidden="1">#REF!</definedName>
    <definedName name="_________________________lb27" hidden="1">#REF!</definedName>
    <definedName name="_________________________lb28" hidden="1">#REF!</definedName>
    <definedName name="_________________________lb29" hidden="1">#REF!</definedName>
    <definedName name="_________________________lb3" hidden="1">#REF!</definedName>
    <definedName name="_________________________lb30" hidden="1">#REF!</definedName>
    <definedName name="_________________________lb31" hidden="1">#REF!</definedName>
    <definedName name="_________________________lb32" hidden="1">#REF!</definedName>
    <definedName name="_________________________lb4" hidden="1">#REF!</definedName>
    <definedName name="_________________________lb5" hidden="1">#REF!</definedName>
    <definedName name="_________________________lb6" hidden="1">#REF!</definedName>
    <definedName name="_________________________lb7" hidden="1">#REF!</definedName>
    <definedName name="_________________________lb8" hidden="1">#REF!</definedName>
    <definedName name="_________________________lb9" hidden="1">#REF!</definedName>
    <definedName name="_________________________lbc1" hidden="1">#REF!</definedName>
    <definedName name="_________________________lbc10" hidden="1">#REF!</definedName>
    <definedName name="_________________________lbc11" hidden="1">#REF!</definedName>
    <definedName name="_________________________lbc12" hidden="1">#REF!</definedName>
    <definedName name="_________________________lbc13" hidden="1">#REF!</definedName>
    <definedName name="_________________________lbc14" hidden="1">#REF!</definedName>
    <definedName name="_________________________lbc15" hidden="1">#REF!</definedName>
    <definedName name="_________________________lbc16" hidden="1">#REF!</definedName>
    <definedName name="_________________________lbc17" hidden="1">#REF!</definedName>
    <definedName name="_________________________lbc18" hidden="1">#REF!</definedName>
    <definedName name="_________________________lbc19" hidden="1">#REF!</definedName>
    <definedName name="_________________________lbc2" hidden="1">#REF!</definedName>
    <definedName name="_________________________lbc20" hidden="1">#REF!</definedName>
    <definedName name="_________________________lbc21" hidden="1">#REF!</definedName>
    <definedName name="_________________________lbc22" hidden="1">#REF!</definedName>
    <definedName name="_________________________lbc23" hidden="1">#REF!</definedName>
    <definedName name="_________________________lbc24" hidden="1">#REF!</definedName>
    <definedName name="_________________________lbc25" hidden="1">#REF!</definedName>
    <definedName name="_________________________lbc26" hidden="1">#REF!</definedName>
    <definedName name="_________________________lbc27" hidden="1">#REF!</definedName>
    <definedName name="_________________________lbc28" hidden="1">#REF!</definedName>
    <definedName name="_________________________lbc29" hidden="1">#REF!</definedName>
    <definedName name="_________________________lbc3" hidden="1">#REF!</definedName>
    <definedName name="_________________________lbc31" hidden="1">#REF!</definedName>
    <definedName name="_________________________lbc32" hidden="1">#REF!</definedName>
    <definedName name="_________________________lbc4" hidden="1">#REF!</definedName>
    <definedName name="_________________________lbc5" hidden="1">#REF!</definedName>
    <definedName name="_________________________lbc6" hidden="1">#REF!</definedName>
    <definedName name="_________________________lbc7" hidden="1">#REF!</definedName>
    <definedName name="_________________________lbc8" hidden="1">#REF!</definedName>
    <definedName name="_________________________lbc9" hidden="1">#REF!</definedName>
    <definedName name="_________________________ld26" hidden="1">#REF!</definedName>
    <definedName name="_________________________ld31" hidden="1">#REF!</definedName>
    <definedName name="_________________________le31" hidden="1">#REF!</definedName>
    <definedName name="_________________________lf31" hidden="1">#REF!</definedName>
    <definedName name="_________________________x10" hidden="1">#REF!</definedName>
    <definedName name="_________________________x11" hidden="1">#REF!</definedName>
    <definedName name="_________________________x12" hidden="1">#REF!</definedName>
    <definedName name="_________________________x13" hidden="1">#REF!</definedName>
    <definedName name="_________________________x14" hidden="1">#REF!</definedName>
    <definedName name="_________________________x15" hidden="1">#REF!</definedName>
    <definedName name="_________________________x16" hidden="1">#REF!</definedName>
    <definedName name="_________________________x17" hidden="1">#REF!</definedName>
    <definedName name="_________________________x18" hidden="1">#REF!</definedName>
    <definedName name="_________________________x19" hidden="1">#REF!</definedName>
    <definedName name="_________________________x20" hidden="1">#REF!</definedName>
    <definedName name="_________________________x21" hidden="1">#REF!</definedName>
    <definedName name="_________________________x22" hidden="1">#REF!</definedName>
    <definedName name="_________________________x23" hidden="1">#REF!</definedName>
    <definedName name="_________________________x24" hidden="1">#REF!</definedName>
    <definedName name="_________________________x25" hidden="1">#REF!</definedName>
    <definedName name="_________________________x28" hidden="1">#REF!</definedName>
    <definedName name="_________________________x29" hidden="1">#REF!</definedName>
    <definedName name="_________________________x32" hidden="1">#REF!</definedName>
    <definedName name="_________________________x4" hidden="1">#REF!</definedName>
    <definedName name="_________________________x5" hidden="1">#REF!</definedName>
    <definedName name="_________________________x6" hidden="1">#REF!</definedName>
    <definedName name="_________________________x7" hidden="1">#REF!</definedName>
    <definedName name="_________________________x8" hidden="1">#REF!</definedName>
    <definedName name="_________________________x9" hidden="1">#REF!</definedName>
    <definedName name="________________________INV12">#REF!</definedName>
    <definedName name="________________________INV13">#REF!</definedName>
    <definedName name="________________________inv2" localSheetId="3">#REF!</definedName>
    <definedName name="________________________inv2" localSheetId="4">#REF!</definedName>
    <definedName name="________________________inv2">#REF!</definedName>
    <definedName name="________________________la29" hidden="1">#REF!</definedName>
    <definedName name="________________________la3" hidden="1">#REF!</definedName>
    <definedName name="________________________la31" hidden="1">#REF!</definedName>
    <definedName name="________________________la32" hidden="1">#REF!</definedName>
    <definedName name="________________________la4" hidden="1">#REF!</definedName>
    <definedName name="________________________la5" hidden="1">#REF!</definedName>
    <definedName name="________________________la6" hidden="1">#REF!</definedName>
    <definedName name="________________________la7" hidden="1">#REF!</definedName>
    <definedName name="________________________la8" hidden="1">#REF!</definedName>
    <definedName name="________________________la9" hidden="1">#REF!</definedName>
    <definedName name="________________________lb1" hidden="1">#REF!</definedName>
    <definedName name="________________________lb10" hidden="1">#REF!</definedName>
    <definedName name="________________________lb11" hidden="1">#REF!</definedName>
    <definedName name="________________________lb12" hidden="1">#REF!</definedName>
    <definedName name="________________________lb13" hidden="1">#REF!</definedName>
    <definedName name="________________________lb14" hidden="1">#REF!</definedName>
    <definedName name="________________________lb15" hidden="1">#REF!</definedName>
    <definedName name="________________________lb16" hidden="1">#REF!</definedName>
    <definedName name="________________________lb17" hidden="1">#REF!</definedName>
    <definedName name="________________________lb18" hidden="1">#REF!</definedName>
    <definedName name="________________________lb19" hidden="1">#REF!</definedName>
    <definedName name="________________________lb2" hidden="1">#REF!</definedName>
    <definedName name="________________________lb20" hidden="1">#REF!</definedName>
    <definedName name="________________________lb21" hidden="1">#REF!</definedName>
    <definedName name="________________________lb22" hidden="1">#REF!</definedName>
    <definedName name="________________________lb23" hidden="1">#REF!</definedName>
    <definedName name="________________________lb24" hidden="1">#REF!</definedName>
    <definedName name="________________________lb25" hidden="1">#REF!</definedName>
    <definedName name="________________________lb27" hidden="1">#REF!</definedName>
    <definedName name="________________________lb28" hidden="1">#REF!</definedName>
    <definedName name="________________________lb29" hidden="1">#REF!</definedName>
    <definedName name="________________________lb3" hidden="1">#REF!</definedName>
    <definedName name="________________________lb30" hidden="1">#REF!</definedName>
    <definedName name="________________________lb31" hidden="1">#REF!</definedName>
    <definedName name="________________________lb32" hidden="1">#REF!</definedName>
    <definedName name="________________________lb4" hidden="1">#REF!</definedName>
    <definedName name="________________________lb5" hidden="1">#REF!</definedName>
    <definedName name="________________________lb6" hidden="1">#REF!</definedName>
    <definedName name="________________________lb7" hidden="1">#REF!</definedName>
    <definedName name="________________________lb8" hidden="1">#REF!</definedName>
    <definedName name="________________________lb9" hidden="1">#REF!</definedName>
    <definedName name="________________________lbc1" hidden="1">#REF!</definedName>
    <definedName name="________________________lbc10" hidden="1">#REF!</definedName>
    <definedName name="________________________lbc11" hidden="1">#REF!</definedName>
    <definedName name="________________________lbc12" hidden="1">#REF!</definedName>
    <definedName name="________________________lbc13" hidden="1">#REF!</definedName>
    <definedName name="________________________lbc14" hidden="1">#REF!</definedName>
    <definedName name="________________________lbc15" hidden="1">#REF!</definedName>
    <definedName name="________________________lbc16" hidden="1">#REF!</definedName>
    <definedName name="________________________lbc17" hidden="1">#REF!</definedName>
    <definedName name="________________________lbc18" hidden="1">#REF!</definedName>
    <definedName name="________________________lbc19" hidden="1">#REF!</definedName>
    <definedName name="________________________lbc2" hidden="1">#REF!</definedName>
    <definedName name="________________________lbc20" hidden="1">#REF!</definedName>
    <definedName name="________________________lbc21" hidden="1">#REF!</definedName>
    <definedName name="________________________lbc22" hidden="1">#REF!</definedName>
    <definedName name="________________________lbc23" hidden="1">#REF!</definedName>
    <definedName name="________________________lbc24" hidden="1">#REF!</definedName>
    <definedName name="________________________lbc25" hidden="1">#REF!</definedName>
    <definedName name="________________________lbc26" hidden="1">#REF!</definedName>
    <definedName name="________________________lbc27" hidden="1">#REF!</definedName>
    <definedName name="________________________lbc28" hidden="1">#REF!</definedName>
    <definedName name="________________________lbc29" hidden="1">#REF!</definedName>
    <definedName name="________________________lbc3" hidden="1">#REF!</definedName>
    <definedName name="________________________lbc31" hidden="1">#REF!</definedName>
    <definedName name="________________________lbc32" hidden="1">#REF!</definedName>
    <definedName name="________________________lbc4" hidden="1">#REF!</definedName>
    <definedName name="________________________lbc5" hidden="1">#REF!</definedName>
    <definedName name="________________________lbc6" hidden="1">#REF!</definedName>
    <definedName name="________________________lbc7" hidden="1">#REF!</definedName>
    <definedName name="________________________lbc8" hidden="1">#REF!</definedName>
    <definedName name="________________________lbc9" hidden="1">#REF!</definedName>
    <definedName name="________________________ld26" hidden="1">#REF!</definedName>
    <definedName name="________________________ld31" hidden="1">#REF!</definedName>
    <definedName name="________________________le31" hidden="1">#REF!</definedName>
    <definedName name="________________________lf31" hidden="1">#REF!</definedName>
    <definedName name="________________________x10" hidden="1">#REF!</definedName>
    <definedName name="________________________x11" hidden="1">#REF!</definedName>
    <definedName name="________________________x12" hidden="1">#REF!</definedName>
    <definedName name="________________________x13" hidden="1">#REF!</definedName>
    <definedName name="________________________x14" hidden="1">#REF!</definedName>
    <definedName name="________________________x15" hidden="1">#REF!</definedName>
    <definedName name="________________________x16" hidden="1">#REF!</definedName>
    <definedName name="________________________x17" hidden="1">#REF!</definedName>
    <definedName name="________________________x18" hidden="1">#REF!</definedName>
    <definedName name="________________________x19" hidden="1">#REF!</definedName>
    <definedName name="________________________x20" hidden="1">#REF!</definedName>
    <definedName name="________________________x21" hidden="1">#REF!</definedName>
    <definedName name="________________________x22" hidden="1">#REF!</definedName>
    <definedName name="________________________x23" hidden="1">#REF!</definedName>
    <definedName name="________________________x24" hidden="1">#REF!</definedName>
    <definedName name="________________________x25" hidden="1">#REF!</definedName>
    <definedName name="________________________x28" hidden="1">#REF!</definedName>
    <definedName name="________________________x29" hidden="1">#REF!</definedName>
    <definedName name="________________________x32" hidden="1">#REF!</definedName>
    <definedName name="________________________x4" hidden="1">#REF!</definedName>
    <definedName name="________________________x5" hidden="1">#REF!</definedName>
    <definedName name="________________________x6" hidden="1">#REF!</definedName>
    <definedName name="________________________x7" hidden="1">#REF!</definedName>
    <definedName name="________________________x8" hidden="1">#REF!</definedName>
    <definedName name="________________________x9" hidden="1">#REF!</definedName>
    <definedName name="_______________________INV12">#REF!</definedName>
    <definedName name="_______________________INV13">#REF!</definedName>
    <definedName name="_______________________inv2" localSheetId="3">#REF!</definedName>
    <definedName name="_______________________inv2" localSheetId="4">#REF!</definedName>
    <definedName name="_______________________inv2">#REF!</definedName>
    <definedName name="_______________________la29" hidden="1">#REF!</definedName>
    <definedName name="_______________________la3" hidden="1">#REF!</definedName>
    <definedName name="_______________________la31" hidden="1">#REF!</definedName>
    <definedName name="_______________________la32" hidden="1">#REF!</definedName>
    <definedName name="_______________________la4" hidden="1">#REF!</definedName>
    <definedName name="_______________________la5" hidden="1">#REF!</definedName>
    <definedName name="_______________________la6" hidden="1">#REF!</definedName>
    <definedName name="_______________________la7" hidden="1">#REF!</definedName>
    <definedName name="_______________________la8" hidden="1">#REF!</definedName>
    <definedName name="_______________________la9" hidden="1">#REF!</definedName>
    <definedName name="_______________________lb1" hidden="1">#REF!</definedName>
    <definedName name="_______________________lb10" hidden="1">#REF!</definedName>
    <definedName name="_______________________lb11" hidden="1">#REF!</definedName>
    <definedName name="_______________________lb12" hidden="1">#REF!</definedName>
    <definedName name="_______________________lb13" hidden="1">#REF!</definedName>
    <definedName name="_______________________lb14" hidden="1">#REF!</definedName>
    <definedName name="_______________________lb15" hidden="1">#REF!</definedName>
    <definedName name="_______________________lb16" hidden="1">#REF!</definedName>
    <definedName name="_______________________lb17" hidden="1">#REF!</definedName>
    <definedName name="_______________________lb18" hidden="1">#REF!</definedName>
    <definedName name="_______________________lb19" hidden="1">#REF!</definedName>
    <definedName name="_______________________lb2" hidden="1">#REF!</definedName>
    <definedName name="_______________________lb20" hidden="1">#REF!</definedName>
    <definedName name="_______________________lb21" hidden="1">#REF!</definedName>
    <definedName name="_______________________lb22" hidden="1">#REF!</definedName>
    <definedName name="_______________________lb23" hidden="1">#REF!</definedName>
    <definedName name="_______________________lb24" hidden="1">#REF!</definedName>
    <definedName name="_______________________lb25" hidden="1">#REF!</definedName>
    <definedName name="_______________________lb27" hidden="1">#REF!</definedName>
    <definedName name="_______________________lb28" hidden="1">#REF!</definedName>
    <definedName name="_______________________lb29" hidden="1">#REF!</definedName>
    <definedName name="_______________________lb3" hidden="1">#REF!</definedName>
    <definedName name="_______________________lb30" hidden="1">#REF!</definedName>
    <definedName name="_______________________lb31" hidden="1">#REF!</definedName>
    <definedName name="_______________________lb32" hidden="1">#REF!</definedName>
    <definedName name="_______________________lb4" hidden="1">#REF!</definedName>
    <definedName name="_______________________lb5" hidden="1">#REF!</definedName>
    <definedName name="_______________________lb6" hidden="1">#REF!</definedName>
    <definedName name="_______________________lb7" hidden="1">#REF!</definedName>
    <definedName name="_______________________lb8" hidden="1">#REF!</definedName>
    <definedName name="_______________________lb9" hidden="1">#REF!</definedName>
    <definedName name="_______________________lbc1" hidden="1">#REF!</definedName>
    <definedName name="_______________________lbc10" hidden="1">#REF!</definedName>
    <definedName name="_______________________lbc11" hidden="1">#REF!</definedName>
    <definedName name="_______________________lbc12" hidden="1">#REF!</definedName>
    <definedName name="_______________________lbc13" hidden="1">#REF!</definedName>
    <definedName name="_______________________lbc14" hidden="1">#REF!</definedName>
    <definedName name="_______________________lbc15" hidden="1">#REF!</definedName>
    <definedName name="_______________________lbc16" hidden="1">#REF!</definedName>
    <definedName name="_______________________lbc17" hidden="1">#REF!</definedName>
    <definedName name="_______________________lbc18" hidden="1">#REF!</definedName>
    <definedName name="_______________________lbc19" hidden="1">#REF!</definedName>
    <definedName name="_______________________lbc2" hidden="1">#REF!</definedName>
    <definedName name="_______________________lbc20" hidden="1">#REF!</definedName>
    <definedName name="_______________________lbc21" hidden="1">#REF!</definedName>
    <definedName name="_______________________lbc22" hidden="1">#REF!</definedName>
    <definedName name="_______________________lbc23" hidden="1">#REF!</definedName>
    <definedName name="_______________________lbc24" hidden="1">#REF!</definedName>
    <definedName name="_______________________lbc25" hidden="1">#REF!</definedName>
    <definedName name="_______________________lbc26" hidden="1">#REF!</definedName>
    <definedName name="_______________________lbc27" hidden="1">#REF!</definedName>
    <definedName name="_______________________lbc28" hidden="1">#REF!</definedName>
    <definedName name="_______________________lbc29" hidden="1">#REF!</definedName>
    <definedName name="_______________________lbc3" hidden="1">#REF!</definedName>
    <definedName name="_______________________lbc31" hidden="1">#REF!</definedName>
    <definedName name="_______________________lbc32" hidden="1">#REF!</definedName>
    <definedName name="_______________________lbc4" hidden="1">#REF!</definedName>
    <definedName name="_______________________lbc5" hidden="1">#REF!</definedName>
    <definedName name="_______________________lbc6" hidden="1">#REF!</definedName>
    <definedName name="_______________________lbc7" hidden="1">#REF!</definedName>
    <definedName name="_______________________lbc8" hidden="1">#REF!</definedName>
    <definedName name="_______________________lbc9" hidden="1">#REF!</definedName>
    <definedName name="_______________________ld26" hidden="1">#REF!</definedName>
    <definedName name="_______________________ld31" hidden="1">#REF!</definedName>
    <definedName name="_______________________le31" hidden="1">#REF!</definedName>
    <definedName name="_______________________lf31" hidden="1">#REF!</definedName>
    <definedName name="_______________________x10" hidden="1">#REF!</definedName>
    <definedName name="_______________________x11" hidden="1">#REF!</definedName>
    <definedName name="_______________________x12" hidden="1">#REF!</definedName>
    <definedName name="_______________________x13" hidden="1">#REF!</definedName>
    <definedName name="_______________________x14" hidden="1">#REF!</definedName>
    <definedName name="_______________________x15" hidden="1">#REF!</definedName>
    <definedName name="_______________________x16" hidden="1">#REF!</definedName>
    <definedName name="_______________________x17" hidden="1">#REF!</definedName>
    <definedName name="_______________________x18" hidden="1">#REF!</definedName>
    <definedName name="_______________________x19" hidden="1">#REF!</definedName>
    <definedName name="_______________________x20" hidden="1">#REF!</definedName>
    <definedName name="_______________________x21" hidden="1">#REF!</definedName>
    <definedName name="_______________________x22" hidden="1">#REF!</definedName>
    <definedName name="_______________________x23" hidden="1">#REF!</definedName>
    <definedName name="_______________________x24" hidden="1">#REF!</definedName>
    <definedName name="_______________________x25" hidden="1">#REF!</definedName>
    <definedName name="_______________________x28" hidden="1">#REF!</definedName>
    <definedName name="_______________________x29" hidden="1">#REF!</definedName>
    <definedName name="_______________________x32" hidden="1">#REF!</definedName>
    <definedName name="_______________________x4" hidden="1">#REF!</definedName>
    <definedName name="_______________________x5" hidden="1">#REF!</definedName>
    <definedName name="_______________________x6" hidden="1">#REF!</definedName>
    <definedName name="_______________________x7" hidden="1">#REF!</definedName>
    <definedName name="_______________________x8" hidden="1">#REF!</definedName>
    <definedName name="_______________________x9" hidden="1">#REF!</definedName>
    <definedName name="______________________INV12">#REF!</definedName>
    <definedName name="______________________INV13">#REF!</definedName>
    <definedName name="______________________inv2" localSheetId="3">#REF!</definedName>
    <definedName name="______________________inv2" localSheetId="4">#REF!</definedName>
    <definedName name="______________________inv2">#REF!</definedName>
    <definedName name="______________________la29" hidden="1">#REF!</definedName>
    <definedName name="______________________la3" hidden="1">#REF!</definedName>
    <definedName name="______________________la31" hidden="1">#REF!</definedName>
    <definedName name="______________________la32" hidden="1">#REF!</definedName>
    <definedName name="______________________la4" hidden="1">#REF!</definedName>
    <definedName name="______________________la5" hidden="1">#REF!</definedName>
    <definedName name="______________________la6" hidden="1">#REF!</definedName>
    <definedName name="______________________la7" hidden="1">#REF!</definedName>
    <definedName name="______________________la8" hidden="1">#REF!</definedName>
    <definedName name="______________________la9" hidden="1">#REF!</definedName>
    <definedName name="______________________lb1" hidden="1">#REF!</definedName>
    <definedName name="______________________lb10" hidden="1">#REF!</definedName>
    <definedName name="______________________lb11" hidden="1">#REF!</definedName>
    <definedName name="______________________lb12" hidden="1">#REF!</definedName>
    <definedName name="______________________lb13" hidden="1">#REF!</definedName>
    <definedName name="______________________lb14" hidden="1">#REF!</definedName>
    <definedName name="______________________lb15" hidden="1">#REF!</definedName>
    <definedName name="______________________lb16" hidden="1">#REF!</definedName>
    <definedName name="______________________lb17" hidden="1">#REF!</definedName>
    <definedName name="______________________lb18" hidden="1">#REF!</definedName>
    <definedName name="______________________lb19" hidden="1">#REF!</definedName>
    <definedName name="______________________lb2" hidden="1">#REF!</definedName>
    <definedName name="______________________lb20" hidden="1">#REF!</definedName>
    <definedName name="______________________lb21" hidden="1">#REF!</definedName>
    <definedName name="______________________lb22" hidden="1">#REF!</definedName>
    <definedName name="______________________lb23" hidden="1">#REF!</definedName>
    <definedName name="______________________lb24" hidden="1">#REF!</definedName>
    <definedName name="______________________lb25" hidden="1">#REF!</definedName>
    <definedName name="______________________lb27" hidden="1">#REF!</definedName>
    <definedName name="______________________lb28" hidden="1">#REF!</definedName>
    <definedName name="______________________lb29" hidden="1">#REF!</definedName>
    <definedName name="______________________lb3" hidden="1">#REF!</definedName>
    <definedName name="______________________lb30" hidden="1">#REF!</definedName>
    <definedName name="______________________lb31" hidden="1">#REF!</definedName>
    <definedName name="______________________lb32" hidden="1">#REF!</definedName>
    <definedName name="______________________lb4" hidden="1">#REF!</definedName>
    <definedName name="______________________lb5" hidden="1">#REF!</definedName>
    <definedName name="______________________lb6" hidden="1">#REF!</definedName>
    <definedName name="______________________lb7" hidden="1">#REF!</definedName>
    <definedName name="______________________lb8" hidden="1">#REF!</definedName>
    <definedName name="______________________lb9" hidden="1">#REF!</definedName>
    <definedName name="______________________lbc1" hidden="1">#REF!</definedName>
    <definedName name="______________________lbc10" hidden="1">#REF!</definedName>
    <definedName name="______________________lbc11" hidden="1">#REF!</definedName>
    <definedName name="______________________lbc12" hidden="1">#REF!</definedName>
    <definedName name="______________________lbc13" hidden="1">#REF!</definedName>
    <definedName name="______________________lbc14" hidden="1">#REF!</definedName>
    <definedName name="______________________lbc15" hidden="1">#REF!</definedName>
    <definedName name="______________________lbc16" hidden="1">#REF!</definedName>
    <definedName name="______________________lbc17" hidden="1">#REF!</definedName>
    <definedName name="______________________lbc18" hidden="1">#REF!</definedName>
    <definedName name="______________________lbc19" hidden="1">#REF!</definedName>
    <definedName name="______________________lbc2" hidden="1">#REF!</definedName>
    <definedName name="______________________lbc20" hidden="1">#REF!</definedName>
    <definedName name="______________________lbc21" hidden="1">#REF!</definedName>
    <definedName name="______________________lbc22" hidden="1">#REF!</definedName>
    <definedName name="______________________lbc23" hidden="1">#REF!</definedName>
    <definedName name="______________________lbc24" hidden="1">#REF!</definedName>
    <definedName name="______________________lbc25" hidden="1">#REF!</definedName>
    <definedName name="______________________lbc26" hidden="1">#REF!</definedName>
    <definedName name="______________________lbc27" hidden="1">#REF!</definedName>
    <definedName name="______________________lbc28" hidden="1">#REF!</definedName>
    <definedName name="______________________lbc29" hidden="1">#REF!</definedName>
    <definedName name="______________________lbc3" hidden="1">#REF!</definedName>
    <definedName name="______________________lbc31" hidden="1">#REF!</definedName>
    <definedName name="______________________lbc32" hidden="1">#REF!</definedName>
    <definedName name="______________________lbc4" hidden="1">#REF!</definedName>
    <definedName name="______________________lbc5" hidden="1">#REF!</definedName>
    <definedName name="______________________lbc6" hidden="1">#REF!</definedName>
    <definedName name="______________________lbc7" hidden="1">#REF!</definedName>
    <definedName name="______________________lbc8" hidden="1">#REF!</definedName>
    <definedName name="______________________lbc9" hidden="1">#REF!</definedName>
    <definedName name="______________________ld26" hidden="1">#REF!</definedName>
    <definedName name="______________________ld31" hidden="1">#REF!</definedName>
    <definedName name="______________________le31" hidden="1">#REF!</definedName>
    <definedName name="______________________lf31" hidden="1">#REF!</definedName>
    <definedName name="______________________x10" hidden="1">#REF!</definedName>
    <definedName name="______________________x11" hidden="1">#REF!</definedName>
    <definedName name="______________________x12" hidden="1">#REF!</definedName>
    <definedName name="______________________x13" hidden="1">#REF!</definedName>
    <definedName name="______________________x14" hidden="1">#REF!</definedName>
    <definedName name="______________________x15" hidden="1">#REF!</definedName>
    <definedName name="______________________x16" hidden="1">#REF!</definedName>
    <definedName name="______________________x17" hidden="1">#REF!</definedName>
    <definedName name="______________________x18" hidden="1">#REF!</definedName>
    <definedName name="______________________x19" hidden="1">#REF!</definedName>
    <definedName name="______________________x20" hidden="1">#REF!</definedName>
    <definedName name="______________________x21" hidden="1">#REF!</definedName>
    <definedName name="______________________x22" hidden="1">#REF!</definedName>
    <definedName name="______________________x23" hidden="1">#REF!</definedName>
    <definedName name="______________________x24" hidden="1">#REF!</definedName>
    <definedName name="______________________x25" hidden="1">#REF!</definedName>
    <definedName name="______________________x28" hidden="1">#REF!</definedName>
    <definedName name="______________________x29" hidden="1">#REF!</definedName>
    <definedName name="______________________x32" hidden="1">#REF!</definedName>
    <definedName name="______________________x4" hidden="1">#REF!</definedName>
    <definedName name="______________________x5" hidden="1">#REF!</definedName>
    <definedName name="______________________x6" hidden="1">#REF!</definedName>
    <definedName name="______________________x7" hidden="1">#REF!</definedName>
    <definedName name="______________________x8" hidden="1">#REF!</definedName>
    <definedName name="______________________x9" hidden="1">#REF!</definedName>
    <definedName name="_____________________INV12">#REF!</definedName>
    <definedName name="_____________________INV13">#REF!</definedName>
    <definedName name="_____________________inv2" localSheetId="3">#REF!</definedName>
    <definedName name="_____________________inv2" localSheetId="4">#REF!</definedName>
    <definedName name="_____________________inv2">#REF!</definedName>
    <definedName name="_____________________la29" hidden="1">#REF!</definedName>
    <definedName name="_____________________la3" hidden="1">#REF!</definedName>
    <definedName name="_____________________la31" hidden="1">#REF!</definedName>
    <definedName name="_____________________la32" hidden="1">#REF!</definedName>
    <definedName name="_____________________la4" hidden="1">#REF!</definedName>
    <definedName name="_____________________la5" hidden="1">#REF!</definedName>
    <definedName name="_____________________la6" hidden="1">#REF!</definedName>
    <definedName name="_____________________la7" hidden="1">#REF!</definedName>
    <definedName name="_____________________la8" hidden="1">#REF!</definedName>
    <definedName name="_____________________la9" hidden="1">#REF!</definedName>
    <definedName name="_____________________lb1" hidden="1">#REF!</definedName>
    <definedName name="_____________________lb10" hidden="1">#REF!</definedName>
    <definedName name="_____________________lb11" hidden="1">#REF!</definedName>
    <definedName name="_____________________lb12" hidden="1">#REF!</definedName>
    <definedName name="_____________________lb13" hidden="1">#REF!</definedName>
    <definedName name="_____________________lb14" hidden="1">#REF!</definedName>
    <definedName name="_____________________lb15" hidden="1">#REF!</definedName>
    <definedName name="_____________________lb16" hidden="1">#REF!</definedName>
    <definedName name="_____________________lb17" hidden="1">#REF!</definedName>
    <definedName name="_____________________lb18" hidden="1">#REF!</definedName>
    <definedName name="_____________________lb19" hidden="1">#REF!</definedName>
    <definedName name="_____________________lb2" hidden="1">#REF!</definedName>
    <definedName name="_____________________lb20" hidden="1">#REF!</definedName>
    <definedName name="_____________________lb21" hidden="1">#REF!</definedName>
    <definedName name="_____________________lb22" hidden="1">#REF!</definedName>
    <definedName name="_____________________lb23" hidden="1">#REF!</definedName>
    <definedName name="_____________________lb24" hidden="1">#REF!</definedName>
    <definedName name="_____________________lb25" hidden="1">#REF!</definedName>
    <definedName name="_____________________lb27" hidden="1">#REF!</definedName>
    <definedName name="_____________________lb28" hidden="1">#REF!</definedName>
    <definedName name="_____________________lb29" hidden="1">#REF!</definedName>
    <definedName name="_____________________lb3" hidden="1">#REF!</definedName>
    <definedName name="_____________________lb30" hidden="1">#REF!</definedName>
    <definedName name="_____________________lb31" hidden="1">#REF!</definedName>
    <definedName name="_____________________lb32" hidden="1">#REF!</definedName>
    <definedName name="_____________________lb4" hidden="1">#REF!</definedName>
    <definedName name="_____________________lb5" hidden="1">#REF!</definedName>
    <definedName name="_____________________lb6" hidden="1">#REF!</definedName>
    <definedName name="_____________________lb7" hidden="1">#REF!</definedName>
    <definedName name="_____________________lb8" hidden="1">#REF!</definedName>
    <definedName name="_____________________lb9" hidden="1">#REF!</definedName>
    <definedName name="_____________________lbc1" hidden="1">#REF!</definedName>
    <definedName name="_____________________lbc10" hidden="1">#REF!</definedName>
    <definedName name="_____________________lbc11" hidden="1">#REF!</definedName>
    <definedName name="_____________________lbc12" hidden="1">#REF!</definedName>
    <definedName name="_____________________lbc13" hidden="1">#REF!</definedName>
    <definedName name="_____________________lbc14" hidden="1">#REF!</definedName>
    <definedName name="_____________________lbc15" hidden="1">#REF!</definedName>
    <definedName name="_____________________lbc16" hidden="1">#REF!</definedName>
    <definedName name="_____________________lbc17" hidden="1">#REF!</definedName>
    <definedName name="_____________________lbc18" hidden="1">#REF!</definedName>
    <definedName name="_____________________lbc19" hidden="1">#REF!</definedName>
    <definedName name="_____________________lbc2" hidden="1">#REF!</definedName>
    <definedName name="_____________________lbc20" hidden="1">#REF!</definedName>
    <definedName name="_____________________lbc21" hidden="1">#REF!</definedName>
    <definedName name="_____________________lbc22" hidden="1">#REF!</definedName>
    <definedName name="_____________________lbc23" hidden="1">#REF!</definedName>
    <definedName name="_____________________lbc24" hidden="1">#REF!</definedName>
    <definedName name="_____________________lbc25" hidden="1">#REF!</definedName>
    <definedName name="_____________________lbc26" hidden="1">#REF!</definedName>
    <definedName name="_____________________lbc27" hidden="1">#REF!</definedName>
    <definedName name="_____________________lbc28" hidden="1">#REF!</definedName>
    <definedName name="_____________________lbc29" hidden="1">#REF!</definedName>
    <definedName name="_____________________lbc3" hidden="1">#REF!</definedName>
    <definedName name="_____________________lbc31" hidden="1">#REF!</definedName>
    <definedName name="_____________________lbc32" hidden="1">#REF!</definedName>
    <definedName name="_____________________lbc4" hidden="1">#REF!</definedName>
    <definedName name="_____________________lbc5" hidden="1">#REF!</definedName>
    <definedName name="_____________________lbc6" hidden="1">#REF!</definedName>
    <definedName name="_____________________lbc7" hidden="1">#REF!</definedName>
    <definedName name="_____________________lbc8" hidden="1">#REF!</definedName>
    <definedName name="_____________________lbc9" hidden="1">#REF!</definedName>
    <definedName name="_____________________ld26" hidden="1">#REF!</definedName>
    <definedName name="_____________________ld31" hidden="1">#REF!</definedName>
    <definedName name="_____________________le31" hidden="1">#REF!</definedName>
    <definedName name="_____________________lf31" hidden="1">#REF!</definedName>
    <definedName name="_____________________x10" hidden="1">#REF!</definedName>
    <definedName name="_____________________x11" hidden="1">#REF!</definedName>
    <definedName name="_____________________x12" hidden="1">#REF!</definedName>
    <definedName name="_____________________x13" hidden="1">#REF!</definedName>
    <definedName name="_____________________x14" hidden="1">#REF!</definedName>
    <definedName name="_____________________x15" hidden="1">#REF!</definedName>
    <definedName name="_____________________x16" hidden="1">#REF!</definedName>
    <definedName name="_____________________x17" hidden="1">#REF!</definedName>
    <definedName name="_____________________x18" hidden="1">#REF!</definedName>
    <definedName name="_____________________x19" hidden="1">#REF!</definedName>
    <definedName name="_____________________x20" hidden="1">#REF!</definedName>
    <definedName name="_____________________x21" hidden="1">#REF!</definedName>
    <definedName name="_____________________x22" hidden="1">#REF!</definedName>
    <definedName name="_____________________x23" hidden="1">#REF!</definedName>
    <definedName name="_____________________x24" hidden="1">#REF!</definedName>
    <definedName name="_____________________x25" hidden="1">#REF!</definedName>
    <definedName name="_____________________x28" hidden="1">#REF!</definedName>
    <definedName name="_____________________x29" hidden="1">#REF!</definedName>
    <definedName name="_____________________x32" hidden="1">#REF!</definedName>
    <definedName name="_____________________x4" hidden="1">#REF!</definedName>
    <definedName name="_____________________x5" hidden="1">#REF!</definedName>
    <definedName name="_____________________x6" hidden="1">#REF!</definedName>
    <definedName name="_____________________x7" hidden="1">#REF!</definedName>
    <definedName name="_____________________x8" hidden="1">#REF!</definedName>
    <definedName name="_____________________x9" hidden="1">#REF!</definedName>
    <definedName name="____________________INV12">#REF!</definedName>
    <definedName name="____________________INV13">#REF!</definedName>
    <definedName name="____________________inv2" localSheetId="3">#REF!</definedName>
    <definedName name="____________________inv2" localSheetId="4">#REF!</definedName>
    <definedName name="____________________inv2">#REF!</definedName>
    <definedName name="____________________la29" hidden="1">#REF!</definedName>
    <definedName name="____________________la3" hidden="1">#REF!</definedName>
    <definedName name="____________________la31" hidden="1">#REF!</definedName>
    <definedName name="____________________la32" hidden="1">#REF!</definedName>
    <definedName name="____________________la4" hidden="1">#REF!</definedName>
    <definedName name="____________________la5" hidden="1">#REF!</definedName>
    <definedName name="____________________la6" hidden="1">#REF!</definedName>
    <definedName name="____________________la7" hidden="1">#REF!</definedName>
    <definedName name="____________________la8" hidden="1">#REF!</definedName>
    <definedName name="____________________la9" hidden="1">#REF!</definedName>
    <definedName name="____________________lb1" hidden="1">#REF!</definedName>
    <definedName name="____________________lb10" hidden="1">#REF!</definedName>
    <definedName name="____________________lb11" hidden="1">#REF!</definedName>
    <definedName name="____________________lb12" hidden="1">#REF!</definedName>
    <definedName name="____________________lb13" hidden="1">#REF!</definedName>
    <definedName name="____________________lb14" hidden="1">#REF!</definedName>
    <definedName name="____________________lb15" hidden="1">#REF!</definedName>
    <definedName name="____________________lb16" hidden="1">#REF!</definedName>
    <definedName name="____________________lb17" hidden="1">#REF!</definedName>
    <definedName name="____________________lb18" hidden="1">#REF!</definedName>
    <definedName name="____________________lb19" hidden="1">#REF!</definedName>
    <definedName name="____________________lb2" hidden="1">#REF!</definedName>
    <definedName name="____________________lb20" hidden="1">#REF!</definedName>
    <definedName name="____________________lb21" hidden="1">#REF!</definedName>
    <definedName name="____________________lb22" hidden="1">#REF!</definedName>
    <definedName name="____________________lb23" hidden="1">#REF!</definedName>
    <definedName name="____________________lb24" hidden="1">#REF!</definedName>
    <definedName name="____________________lb25" hidden="1">#REF!</definedName>
    <definedName name="____________________lb27" hidden="1">#REF!</definedName>
    <definedName name="____________________lb28" hidden="1">#REF!</definedName>
    <definedName name="____________________lb29" hidden="1">#REF!</definedName>
    <definedName name="____________________lb3" hidden="1">#REF!</definedName>
    <definedName name="____________________lb30" hidden="1">#REF!</definedName>
    <definedName name="____________________lb31" hidden="1">#REF!</definedName>
    <definedName name="____________________lb32" hidden="1">#REF!</definedName>
    <definedName name="____________________lb4" hidden="1">#REF!</definedName>
    <definedName name="____________________lb5" hidden="1">#REF!</definedName>
    <definedName name="____________________lb6" hidden="1">#REF!</definedName>
    <definedName name="____________________lb7" hidden="1">#REF!</definedName>
    <definedName name="____________________lb8" hidden="1">#REF!</definedName>
    <definedName name="____________________lb9" hidden="1">#REF!</definedName>
    <definedName name="____________________lbc1" hidden="1">#REF!</definedName>
    <definedName name="____________________lbc10" hidden="1">#REF!</definedName>
    <definedName name="____________________lbc11" hidden="1">#REF!</definedName>
    <definedName name="____________________lbc12" hidden="1">#REF!</definedName>
    <definedName name="____________________lbc13" hidden="1">#REF!</definedName>
    <definedName name="____________________lbc14" hidden="1">#REF!</definedName>
    <definedName name="____________________lbc15" hidden="1">#REF!</definedName>
    <definedName name="____________________lbc16" hidden="1">#REF!</definedName>
    <definedName name="____________________lbc17" hidden="1">#REF!</definedName>
    <definedName name="____________________lbc18" hidden="1">#REF!</definedName>
    <definedName name="____________________lbc19" hidden="1">#REF!</definedName>
    <definedName name="____________________lbc2" hidden="1">#REF!</definedName>
    <definedName name="____________________lbc20" hidden="1">#REF!</definedName>
    <definedName name="____________________lbc21" hidden="1">#REF!</definedName>
    <definedName name="____________________lbc22" hidden="1">#REF!</definedName>
    <definedName name="____________________lbc23" hidden="1">#REF!</definedName>
    <definedName name="____________________lbc24" hidden="1">#REF!</definedName>
    <definedName name="____________________lbc25" hidden="1">#REF!</definedName>
    <definedName name="____________________lbc26" hidden="1">#REF!</definedName>
    <definedName name="____________________lbc27" hidden="1">#REF!</definedName>
    <definedName name="____________________lbc28" hidden="1">#REF!</definedName>
    <definedName name="____________________lbc29" hidden="1">#REF!</definedName>
    <definedName name="____________________lbc3" hidden="1">#REF!</definedName>
    <definedName name="____________________lbc31" hidden="1">#REF!</definedName>
    <definedName name="____________________lbc32" hidden="1">#REF!</definedName>
    <definedName name="____________________lbc4" hidden="1">#REF!</definedName>
    <definedName name="____________________lbc5" hidden="1">#REF!</definedName>
    <definedName name="____________________lbc6" hidden="1">#REF!</definedName>
    <definedName name="____________________lbc7" hidden="1">#REF!</definedName>
    <definedName name="____________________lbc8" hidden="1">#REF!</definedName>
    <definedName name="____________________lbc9" hidden="1">#REF!</definedName>
    <definedName name="____________________ld26" hidden="1">#REF!</definedName>
    <definedName name="____________________ld31" hidden="1">#REF!</definedName>
    <definedName name="____________________le31" hidden="1">#REF!</definedName>
    <definedName name="____________________lf31" hidden="1">#REF!</definedName>
    <definedName name="____________________x10" hidden="1">#REF!</definedName>
    <definedName name="____________________x11" hidden="1">#REF!</definedName>
    <definedName name="____________________x12" hidden="1">#REF!</definedName>
    <definedName name="____________________x13" hidden="1">#REF!</definedName>
    <definedName name="____________________x14" hidden="1">#REF!</definedName>
    <definedName name="____________________x15" hidden="1">#REF!</definedName>
    <definedName name="____________________x16" hidden="1">#REF!</definedName>
    <definedName name="____________________x17" hidden="1">#REF!</definedName>
    <definedName name="____________________x18" hidden="1">#REF!</definedName>
    <definedName name="____________________x19" hidden="1">#REF!</definedName>
    <definedName name="____________________x20" hidden="1">#REF!</definedName>
    <definedName name="____________________x21" hidden="1">#REF!</definedName>
    <definedName name="____________________x22" hidden="1">#REF!</definedName>
    <definedName name="____________________x23" hidden="1">#REF!</definedName>
    <definedName name="____________________x24" hidden="1">#REF!</definedName>
    <definedName name="____________________x25" hidden="1">#REF!</definedName>
    <definedName name="____________________x28" hidden="1">#REF!</definedName>
    <definedName name="____________________x29" hidden="1">#REF!</definedName>
    <definedName name="____________________x32" hidden="1">#REF!</definedName>
    <definedName name="____________________x4" hidden="1">#REF!</definedName>
    <definedName name="____________________x5" hidden="1">#REF!</definedName>
    <definedName name="____________________x6" hidden="1">#REF!</definedName>
    <definedName name="____________________x7" hidden="1">#REF!</definedName>
    <definedName name="____________________x8" hidden="1">#REF!</definedName>
    <definedName name="____________________x9" hidden="1">#REF!</definedName>
    <definedName name="___________________INV12">#REF!</definedName>
    <definedName name="___________________INV13">#REF!</definedName>
    <definedName name="___________________inv2" localSheetId="3">#REF!</definedName>
    <definedName name="___________________inv2" localSheetId="4">#REF!</definedName>
    <definedName name="___________________inv2">#REF!</definedName>
    <definedName name="___________________la29" hidden="1">#REF!</definedName>
    <definedName name="___________________la3" hidden="1">#REF!</definedName>
    <definedName name="___________________la31" hidden="1">#REF!</definedName>
    <definedName name="___________________la32" hidden="1">#REF!</definedName>
    <definedName name="___________________la4" hidden="1">#REF!</definedName>
    <definedName name="___________________la5" hidden="1">#REF!</definedName>
    <definedName name="___________________la6" hidden="1">#REF!</definedName>
    <definedName name="___________________la7" hidden="1">#REF!</definedName>
    <definedName name="___________________la8" hidden="1">#REF!</definedName>
    <definedName name="___________________la9" hidden="1">#REF!</definedName>
    <definedName name="___________________lb1" hidden="1">#REF!</definedName>
    <definedName name="___________________lb10" hidden="1">#REF!</definedName>
    <definedName name="___________________lb11" hidden="1">#REF!</definedName>
    <definedName name="___________________lb12" hidden="1">#REF!</definedName>
    <definedName name="___________________lb13" hidden="1">#REF!</definedName>
    <definedName name="___________________lb14" hidden="1">#REF!</definedName>
    <definedName name="___________________lb15" hidden="1">#REF!</definedName>
    <definedName name="___________________lb16" hidden="1">#REF!</definedName>
    <definedName name="___________________lb17" hidden="1">#REF!</definedName>
    <definedName name="___________________lb18" hidden="1">#REF!</definedName>
    <definedName name="___________________lb19" hidden="1">#REF!</definedName>
    <definedName name="___________________lb2" hidden="1">#REF!</definedName>
    <definedName name="___________________lb20" hidden="1">#REF!</definedName>
    <definedName name="___________________lb21" hidden="1">#REF!</definedName>
    <definedName name="___________________lb22" hidden="1">#REF!</definedName>
    <definedName name="___________________lb23" hidden="1">#REF!</definedName>
    <definedName name="___________________lb24" hidden="1">#REF!</definedName>
    <definedName name="___________________lb25" hidden="1">#REF!</definedName>
    <definedName name="___________________lb27" hidden="1">#REF!</definedName>
    <definedName name="___________________lb28" hidden="1">#REF!</definedName>
    <definedName name="___________________lb29" hidden="1">#REF!</definedName>
    <definedName name="___________________lb3" hidden="1">#REF!</definedName>
    <definedName name="___________________lb30" hidden="1">#REF!</definedName>
    <definedName name="___________________lb31" hidden="1">#REF!</definedName>
    <definedName name="___________________lb32" hidden="1">#REF!</definedName>
    <definedName name="___________________lb4" hidden="1">#REF!</definedName>
    <definedName name="___________________lb5" hidden="1">#REF!</definedName>
    <definedName name="___________________lb6" hidden="1">#REF!</definedName>
    <definedName name="___________________lb7" hidden="1">#REF!</definedName>
    <definedName name="___________________lb8" hidden="1">#REF!</definedName>
    <definedName name="___________________lb9" hidden="1">#REF!</definedName>
    <definedName name="___________________lbc1" hidden="1">#REF!</definedName>
    <definedName name="___________________lbc10" hidden="1">#REF!</definedName>
    <definedName name="___________________lbc11" hidden="1">#REF!</definedName>
    <definedName name="___________________lbc12" hidden="1">#REF!</definedName>
    <definedName name="___________________lbc13" hidden="1">#REF!</definedName>
    <definedName name="___________________lbc14" hidden="1">#REF!</definedName>
    <definedName name="___________________lbc15" hidden="1">#REF!</definedName>
    <definedName name="___________________lbc16" hidden="1">#REF!</definedName>
    <definedName name="___________________lbc17" hidden="1">#REF!</definedName>
    <definedName name="___________________lbc18" hidden="1">#REF!</definedName>
    <definedName name="___________________lbc19" hidden="1">#REF!</definedName>
    <definedName name="___________________lbc2" hidden="1">#REF!</definedName>
    <definedName name="___________________lbc20" hidden="1">#REF!</definedName>
    <definedName name="___________________lbc21" hidden="1">#REF!</definedName>
    <definedName name="___________________lbc22" hidden="1">#REF!</definedName>
    <definedName name="___________________lbc23" hidden="1">#REF!</definedName>
    <definedName name="___________________lbc24" hidden="1">#REF!</definedName>
    <definedName name="___________________lbc25" hidden="1">#REF!</definedName>
    <definedName name="___________________lbc26" hidden="1">#REF!</definedName>
    <definedName name="___________________lbc27" hidden="1">#REF!</definedName>
    <definedName name="___________________lbc28" hidden="1">#REF!</definedName>
    <definedName name="___________________lbc29" hidden="1">#REF!</definedName>
    <definedName name="___________________lbc3" hidden="1">#REF!</definedName>
    <definedName name="___________________lbc31" hidden="1">#REF!</definedName>
    <definedName name="___________________lbc32" hidden="1">#REF!</definedName>
    <definedName name="___________________lbc4" hidden="1">#REF!</definedName>
    <definedName name="___________________lbc5" hidden="1">#REF!</definedName>
    <definedName name="___________________lbc6" hidden="1">#REF!</definedName>
    <definedName name="___________________lbc7" hidden="1">#REF!</definedName>
    <definedName name="___________________lbc8" hidden="1">#REF!</definedName>
    <definedName name="___________________lbc9" hidden="1">#REF!</definedName>
    <definedName name="___________________ld26" hidden="1">#REF!</definedName>
    <definedName name="___________________ld31" hidden="1">#REF!</definedName>
    <definedName name="___________________le31" hidden="1">#REF!</definedName>
    <definedName name="___________________lf31" hidden="1">#REF!</definedName>
    <definedName name="___________________x10" hidden="1">#REF!</definedName>
    <definedName name="___________________x11" hidden="1">#REF!</definedName>
    <definedName name="___________________x12" hidden="1">#REF!</definedName>
    <definedName name="___________________x13" hidden="1">#REF!</definedName>
    <definedName name="___________________x14" hidden="1">#REF!</definedName>
    <definedName name="___________________x15" hidden="1">#REF!</definedName>
    <definedName name="___________________x16" hidden="1">#REF!</definedName>
    <definedName name="___________________x17" hidden="1">#REF!</definedName>
    <definedName name="___________________x18" hidden="1">#REF!</definedName>
    <definedName name="___________________x19" hidden="1">#REF!</definedName>
    <definedName name="___________________x20" hidden="1">#REF!</definedName>
    <definedName name="___________________x21" hidden="1">#REF!</definedName>
    <definedName name="___________________x22" hidden="1">#REF!</definedName>
    <definedName name="___________________x23" hidden="1">#REF!</definedName>
    <definedName name="___________________x24" hidden="1">#REF!</definedName>
    <definedName name="___________________x25" hidden="1">#REF!</definedName>
    <definedName name="___________________x28" hidden="1">#REF!</definedName>
    <definedName name="___________________x29" hidden="1">#REF!</definedName>
    <definedName name="___________________x32" hidden="1">#REF!</definedName>
    <definedName name="___________________x4" hidden="1">#REF!</definedName>
    <definedName name="___________________x5" hidden="1">#REF!</definedName>
    <definedName name="___________________x6" hidden="1">#REF!</definedName>
    <definedName name="___________________x7" hidden="1">#REF!</definedName>
    <definedName name="___________________x8" hidden="1">#REF!</definedName>
    <definedName name="___________________x9" hidden="1">#REF!</definedName>
    <definedName name="__________________INV12">#REF!</definedName>
    <definedName name="__________________INV13">#REF!</definedName>
    <definedName name="__________________inv2" localSheetId="3">#REF!</definedName>
    <definedName name="__________________inv2" localSheetId="4">#REF!</definedName>
    <definedName name="__________________inv2">#REF!</definedName>
    <definedName name="__________________la29" hidden="1">#REF!</definedName>
    <definedName name="__________________la3" hidden="1">#REF!</definedName>
    <definedName name="__________________la31" hidden="1">#REF!</definedName>
    <definedName name="__________________la32" hidden="1">#REF!</definedName>
    <definedName name="__________________la4" hidden="1">#REF!</definedName>
    <definedName name="__________________la5" hidden="1">#REF!</definedName>
    <definedName name="__________________la6" hidden="1">#REF!</definedName>
    <definedName name="__________________la7" hidden="1">#REF!</definedName>
    <definedName name="__________________la8" hidden="1">#REF!</definedName>
    <definedName name="__________________la9" hidden="1">#REF!</definedName>
    <definedName name="__________________lb1" hidden="1">#REF!</definedName>
    <definedName name="__________________lb10" hidden="1">#REF!</definedName>
    <definedName name="__________________lb11" hidden="1">#REF!</definedName>
    <definedName name="__________________lb12" hidden="1">#REF!</definedName>
    <definedName name="__________________lb13" hidden="1">#REF!</definedName>
    <definedName name="__________________lb14" hidden="1">#REF!</definedName>
    <definedName name="__________________lb15" hidden="1">#REF!</definedName>
    <definedName name="__________________lb16" hidden="1">#REF!</definedName>
    <definedName name="__________________lb17" hidden="1">#REF!</definedName>
    <definedName name="__________________lb18" hidden="1">#REF!</definedName>
    <definedName name="__________________lb19" hidden="1">#REF!</definedName>
    <definedName name="__________________lb2" hidden="1">#REF!</definedName>
    <definedName name="__________________lb20" hidden="1">#REF!</definedName>
    <definedName name="__________________lb21" hidden="1">#REF!</definedName>
    <definedName name="__________________lb22" hidden="1">#REF!</definedName>
    <definedName name="__________________lb23" hidden="1">#REF!</definedName>
    <definedName name="__________________lb24" hidden="1">#REF!</definedName>
    <definedName name="__________________lb25" hidden="1">#REF!</definedName>
    <definedName name="__________________lb27" hidden="1">#REF!</definedName>
    <definedName name="__________________lb28" hidden="1">#REF!</definedName>
    <definedName name="__________________lb29" hidden="1">#REF!</definedName>
    <definedName name="__________________lb3" hidden="1">#REF!</definedName>
    <definedName name="__________________lb30" hidden="1">#REF!</definedName>
    <definedName name="__________________lb31" hidden="1">#REF!</definedName>
    <definedName name="__________________lb32" hidden="1">#REF!</definedName>
    <definedName name="__________________lb4" hidden="1">#REF!</definedName>
    <definedName name="__________________lb5" hidden="1">#REF!</definedName>
    <definedName name="__________________lb6" hidden="1">#REF!</definedName>
    <definedName name="__________________lb7" hidden="1">#REF!</definedName>
    <definedName name="__________________lb8" hidden="1">#REF!</definedName>
    <definedName name="__________________lb9" hidden="1">#REF!</definedName>
    <definedName name="__________________lbc1" hidden="1">#REF!</definedName>
    <definedName name="__________________lbc10" hidden="1">#REF!</definedName>
    <definedName name="__________________lbc11" hidden="1">#REF!</definedName>
    <definedName name="__________________lbc12" hidden="1">#REF!</definedName>
    <definedName name="__________________lbc13" hidden="1">#REF!</definedName>
    <definedName name="__________________lbc14" hidden="1">#REF!</definedName>
    <definedName name="__________________lbc15" hidden="1">#REF!</definedName>
    <definedName name="__________________lbc16" hidden="1">#REF!</definedName>
    <definedName name="__________________lbc17" hidden="1">#REF!</definedName>
    <definedName name="__________________lbc18" hidden="1">#REF!</definedName>
    <definedName name="__________________lbc19" hidden="1">#REF!</definedName>
    <definedName name="__________________lbc2" hidden="1">#REF!</definedName>
    <definedName name="__________________lbc20" hidden="1">#REF!</definedName>
    <definedName name="__________________lbc21" hidden="1">#REF!</definedName>
    <definedName name="__________________lbc22" hidden="1">#REF!</definedName>
    <definedName name="__________________lbc23" hidden="1">#REF!</definedName>
    <definedName name="__________________lbc24" hidden="1">#REF!</definedName>
    <definedName name="__________________lbc25" hidden="1">#REF!</definedName>
    <definedName name="__________________lbc26" hidden="1">#REF!</definedName>
    <definedName name="__________________lbc27" hidden="1">#REF!</definedName>
    <definedName name="__________________lbc28" hidden="1">#REF!</definedName>
    <definedName name="__________________lbc29" hidden="1">#REF!</definedName>
    <definedName name="__________________lbc3" hidden="1">#REF!</definedName>
    <definedName name="__________________lbc31" hidden="1">#REF!</definedName>
    <definedName name="__________________lbc32" hidden="1">#REF!</definedName>
    <definedName name="__________________lbc4" hidden="1">#REF!</definedName>
    <definedName name="__________________lbc5" hidden="1">#REF!</definedName>
    <definedName name="__________________lbc6" hidden="1">#REF!</definedName>
    <definedName name="__________________lbc7" hidden="1">#REF!</definedName>
    <definedName name="__________________lbc8" hidden="1">#REF!</definedName>
    <definedName name="__________________lbc9" hidden="1">#REF!</definedName>
    <definedName name="__________________ld26" hidden="1">#REF!</definedName>
    <definedName name="__________________ld31" hidden="1">#REF!</definedName>
    <definedName name="__________________le31" hidden="1">#REF!</definedName>
    <definedName name="__________________lf31" hidden="1">#REF!</definedName>
    <definedName name="__________________x10" hidden="1">#REF!</definedName>
    <definedName name="__________________x11" hidden="1">#REF!</definedName>
    <definedName name="__________________x12" hidden="1">#REF!</definedName>
    <definedName name="__________________x13" hidden="1">#REF!</definedName>
    <definedName name="__________________x14" hidden="1">#REF!</definedName>
    <definedName name="__________________x15" hidden="1">#REF!</definedName>
    <definedName name="__________________x16" hidden="1">#REF!</definedName>
    <definedName name="__________________x17" hidden="1">#REF!</definedName>
    <definedName name="__________________x18" hidden="1">#REF!</definedName>
    <definedName name="__________________x19" hidden="1">#REF!</definedName>
    <definedName name="__________________x20" hidden="1">#REF!</definedName>
    <definedName name="__________________x21" hidden="1">#REF!</definedName>
    <definedName name="__________________x22" hidden="1">#REF!</definedName>
    <definedName name="__________________x23" hidden="1">#REF!</definedName>
    <definedName name="__________________x24" hidden="1">#REF!</definedName>
    <definedName name="__________________x25" hidden="1">#REF!</definedName>
    <definedName name="__________________x28" hidden="1">#REF!</definedName>
    <definedName name="__________________x29" hidden="1">#REF!</definedName>
    <definedName name="__________________x32" hidden="1">#REF!</definedName>
    <definedName name="__________________x4" hidden="1">#REF!</definedName>
    <definedName name="__________________x5" hidden="1">#REF!</definedName>
    <definedName name="__________________x6" hidden="1">#REF!</definedName>
    <definedName name="__________________x7" hidden="1">#REF!</definedName>
    <definedName name="__________________x8" hidden="1">#REF!</definedName>
    <definedName name="__________________x9" hidden="1">#REF!</definedName>
    <definedName name="_________________INV12">#REF!</definedName>
    <definedName name="_________________INV13">#REF!</definedName>
    <definedName name="_________________inv2" localSheetId="3">#REF!</definedName>
    <definedName name="_________________inv2" localSheetId="4">#REF!</definedName>
    <definedName name="_________________inv2">#REF!</definedName>
    <definedName name="_________________la29" hidden="1">#REF!</definedName>
    <definedName name="_________________la3" hidden="1">#REF!</definedName>
    <definedName name="_________________la31" hidden="1">#REF!</definedName>
    <definedName name="_________________la32" hidden="1">#REF!</definedName>
    <definedName name="_________________la4" hidden="1">#REF!</definedName>
    <definedName name="_________________la5" hidden="1">#REF!</definedName>
    <definedName name="_________________la6" hidden="1">#REF!</definedName>
    <definedName name="_________________la7" hidden="1">#REF!</definedName>
    <definedName name="_________________la8" hidden="1">#REF!</definedName>
    <definedName name="_________________la9" hidden="1">#REF!</definedName>
    <definedName name="_________________lb1" hidden="1">#REF!</definedName>
    <definedName name="_________________lb10" hidden="1">#REF!</definedName>
    <definedName name="_________________lb11" hidden="1">#REF!</definedName>
    <definedName name="_________________lb12" hidden="1">#REF!</definedName>
    <definedName name="_________________lb13" hidden="1">#REF!</definedName>
    <definedName name="_________________lb14" hidden="1">#REF!</definedName>
    <definedName name="_________________lb15" hidden="1">#REF!</definedName>
    <definedName name="_________________lb16" hidden="1">#REF!</definedName>
    <definedName name="_________________lb17" hidden="1">#REF!</definedName>
    <definedName name="_________________lb18" hidden="1">#REF!</definedName>
    <definedName name="_________________lb19" hidden="1">#REF!</definedName>
    <definedName name="_________________lb2" hidden="1">#REF!</definedName>
    <definedName name="_________________lb20" hidden="1">#REF!</definedName>
    <definedName name="_________________lb21" hidden="1">#REF!</definedName>
    <definedName name="_________________lb22" hidden="1">#REF!</definedName>
    <definedName name="_________________lb23" hidden="1">#REF!</definedName>
    <definedName name="_________________lb24" hidden="1">#REF!</definedName>
    <definedName name="_________________lb25" hidden="1">#REF!</definedName>
    <definedName name="_________________lb27" hidden="1">#REF!</definedName>
    <definedName name="_________________lb28" hidden="1">#REF!</definedName>
    <definedName name="_________________lb29" hidden="1">#REF!</definedName>
    <definedName name="_________________lb3" hidden="1">#REF!</definedName>
    <definedName name="_________________lb30" hidden="1">#REF!</definedName>
    <definedName name="_________________lb31" hidden="1">#REF!</definedName>
    <definedName name="_________________lb32" hidden="1">#REF!</definedName>
    <definedName name="_________________lb4" hidden="1">#REF!</definedName>
    <definedName name="_________________lb5" hidden="1">#REF!</definedName>
    <definedName name="_________________lb6" hidden="1">#REF!</definedName>
    <definedName name="_________________lb7" hidden="1">#REF!</definedName>
    <definedName name="_________________lb8" hidden="1">#REF!</definedName>
    <definedName name="_________________lb9" hidden="1">#REF!</definedName>
    <definedName name="_________________lbc1" hidden="1">#REF!</definedName>
    <definedName name="_________________lbc10" hidden="1">#REF!</definedName>
    <definedName name="_________________lbc11" hidden="1">#REF!</definedName>
    <definedName name="_________________lbc12" hidden="1">#REF!</definedName>
    <definedName name="_________________lbc13" hidden="1">#REF!</definedName>
    <definedName name="_________________lbc14" hidden="1">#REF!</definedName>
    <definedName name="_________________lbc15" hidden="1">#REF!</definedName>
    <definedName name="_________________lbc16" hidden="1">#REF!</definedName>
    <definedName name="_________________lbc17" hidden="1">#REF!</definedName>
    <definedName name="_________________lbc18" hidden="1">#REF!</definedName>
    <definedName name="_________________lbc19" hidden="1">#REF!</definedName>
    <definedName name="_________________lbc2" hidden="1">#REF!</definedName>
    <definedName name="_________________lbc20" hidden="1">#REF!</definedName>
    <definedName name="_________________lbc21" hidden="1">#REF!</definedName>
    <definedName name="_________________lbc22" hidden="1">#REF!</definedName>
    <definedName name="_________________lbc23" hidden="1">#REF!</definedName>
    <definedName name="_________________lbc24" hidden="1">#REF!</definedName>
    <definedName name="_________________lbc25" hidden="1">#REF!</definedName>
    <definedName name="_________________lbc26" hidden="1">#REF!</definedName>
    <definedName name="_________________lbc27" hidden="1">#REF!</definedName>
    <definedName name="_________________lbc28" hidden="1">#REF!</definedName>
    <definedName name="_________________lbc29" hidden="1">#REF!</definedName>
    <definedName name="_________________lbc3" hidden="1">#REF!</definedName>
    <definedName name="_________________lbc31" hidden="1">#REF!</definedName>
    <definedName name="_________________lbc32" hidden="1">#REF!</definedName>
    <definedName name="_________________lbc4" hidden="1">#REF!</definedName>
    <definedName name="_________________lbc5" hidden="1">#REF!</definedName>
    <definedName name="_________________lbc6" hidden="1">#REF!</definedName>
    <definedName name="_________________lbc7" hidden="1">#REF!</definedName>
    <definedName name="_________________lbc8" hidden="1">#REF!</definedName>
    <definedName name="_________________lbc9" hidden="1">#REF!</definedName>
    <definedName name="_________________ld26" hidden="1">#REF!</definedName>
    <definedName name="_________________ld31" hidden="1">#REF!</definedName>
    <definedName name="_________________le31" hidden="1">#REF!</definedName>
    <definedName name="_________________lf31" hidden="1">#REF!</definedName>
    <definedName name="_________________x10" hidden="1">#REF!</definedName>
    <definedName name="_________________x11" hidden="1">#REF!</definedName>
    <definedName name="_________________x12" hidden="1">#REF!</definedName>
    <definedName name="_________________x13" hidden="1">#REF!</definedName>
    <definedName name="_________________x14" hidden="1">#REF!</definedName>
    <definedName name="_________________x15" hidden="1">#REF!</definedName>
    <definedName name="_________________x16" hidden="1">#REF!</definedName>
    <definedName name="_________________x17" hidden="1">#REF!</definedName>
    <definedName name="_________________x18" hidden="1">#REF!</definedName>
    <definedName name="_________________x19" hidden="1">#REF!</definedName>
    <definedName name="_________________x20" hidden="1">#REF!</definedName>
    <definedName name="_________________x21" hidden="1">#REF!</definedName>
    <definedName name="_________________x22" hidden="1">#REF!</definedName>
    <definedName name="_________________x23" hidden="1">#REF!</definedName>
    <definedName name="_________________x24" hidden="1">#REF!</definedName>
    <definedName name="_________________x25" hidden="1">#REF!</definedName>
    <definedName name="_________________x28" hidden="1">#REF!</definedName>
    <definedName name="_________________x29" hidden="1">#REF!</definedName>
    <definedName name="_________________x32" hidden="1">#REF!</definedName>
    <definedName name="_________________x4" hidden="1">#REF!</definedName>
    <definedName name="_________________x5" hidden="1">#REF!</definedName>
    <definedName name="_________________x6" hidden="1">#REF!</definedName>
    <definedName name="_________________x7" hidden="1">#REF!</definedName>
    <definedName name="_________________x8" hidden="1">#REF!</definedName>
    <definedName name="_________________x9" hidden="1">#REF!</definedName>
    <definedName name="________________INV12">#REF!</definedName>
    <definedName name="________________INV13">#REF!</definedName>
    <definedName name="________________inv2" localSheetId="3">#REF!</definedName>
    <definedName name="________________inv2" localSheetId="4">#REF!</definedName>
    <definedName name="________________inv2">#REF!</definedName>
    <definedName name="________________la29" hidden="1">#REF!</definedName>
    <definedName name="________________la3" hidden="1">#REF!</definedName>
    <definedName name="________________la31" hidden="1">#REF!</definedName>
    <definedName name="________________la32" hidden="1">#REF!</definedName>
    <definedName name="________________la4" hidden="1">#REF!</definedName>
    <definedName name="________________la5" hidden="1">#REF!</definedName>
    <definedName name="________________la6" hidden="1">#REF!</definedName>
    <definedName name="________________la7" hidden="1">#REF!</definedName>
    <definedName name="________________la8" hidden="1">#REF!</definedName>
    <definedName name="________________la9" hidden="1">#REF!</definedName>
    <definedName name="________________lb1" hidden="1">#REF!</definedName>
    <definedName name="________________lb10" hidden="1">#REF!</definedName>
    <definedName name="________________lb11" hidden="1">#REF!</definedName>
    <definedName name="________________lb12" hidden="1">#REF!</definedName>
    <definedName name="________________lb13" hidden="1">#REF!</definedName>
    <definedName name="________________lb14" hidden="1">#REF!</definedName>
    <definedName name="________________lb15" hidden="1">#REF!</definedName>
    <definedName name="________________lb16" hidden="1">#REF!</definedName>
    <definedName name="________________lb17" hidden="1">#REF!</definedName>
    <definedName name="________________lb18" hidden="1">#REF!</definedName>
    <definedName name="________________lb19" hidden="1">#REF!</definedName>
    <definedName name="________________lb2" hidden="1">#REF!</definedName>
    <definedName name="________________lb20" hidden="1">#REF!</definedName>
    <definedName name="________________lb21" hidden="1">#REF!</definedName>
    <definedName name="________________lb22" hidden="1">#REF!</definedName>
    <definedName name="________________lb23" hidden="1">#REF!</definedName>
    <definedName name="________________lb24" hidden="1">#REF!</definedName>
    <definedName name="________________lb25" hidden="1">#REF!</definedName>
    <definedName name="________________lb27" hidden="1">#REF!</definedName>
    <definedName name="________________lb28" hidden="1">#REF!</definedName>
    <definedName name="________________lb29" hidden="1">#REF!</definedName>
    <definedName name="________________lb3" hidden="1">#REF!</definedName>
    <definedName name="________________lb30" hidden="1">#REF!</definedName>
    <definedName name="________________lb31" hidden="1">#REF!</definedName>
    <definedName name="________________lb32" hidden="1">#REF!</definedName>
    <definedName name="________________lb4" hidden="1">#REF!</definedName>
    <definedName name="________________lb5" hidden="1">#REF!</definedName>
    <definedName name="________________lb6" hidden="1">#REF!</definedName>
    <definedName name="________________lb7" hidden="1">#REF!</definedName>
    <definedName name="________________lb8" hidden="1">#REF!</definedName>
    <definedName name="________________lb9" hidden="1">#REF!</definedName>
    <definedName name="________________lbc1" hidden="1">#REF!</definedName>
    <definedName name="________________lbc10" hidden="1">#REF!</definedName>
    <definedName name="________________lbc11" hidden="1">#REF!</definedName>
    <definedName name="________________lbc12" hidden="1">#REF!</definedName>
    <definedName name="________________lbc13" hidden="1">#REF!</definedName>
    <definedName name="________________lbc14" hidden="1">#REF!</definedName>
    <definedName name="________________lbc15" hidden="1">#REF!</definedName>
    <definedName name="________________lbc16" hidden="1">#REF!</definedName>
    <definedName name="________________lbc17" hidden="1">#REF!</definedName>
    <definedName name="________________lbc18" hidden="1">#REF!</definedName>
    <definedName name="________________lbc19" hidden="1">#REF!</definedName>
    <definedName name="________________lbc2" hidden="1">#REF!</definedName>
    <definedName name="________________lbc20" hidden="1">#REF!</definedName>
    <definedName name="________________lbc21" hidden="1">#REF!</definedName>
    <definedName name="________________lbc22" hidden="1">#REF!</definedName>
    <definedName name="________________lbc23" hidden="1">#REF!</definedName>
    <definedName name="________________lbc24" hidden="1">#REF!</definedName>
    <definedName name="________________lbc25" hidden="1">#REF!</definedName>
    <definedName name="________________lbc26" hidden="1">#REF!</definedName>
    <definedName name="________________lbc27" hidden="1">#REF!</definedName>
    <definedName name="________________lbc28" hidden="1">#REF!</definedName>
    <definedName name="________________lbc29" hidden="1">#REF!</definedName>
    <definedName name="________________lbc3" hidden="1">#REF!</definedName>
    <definedName name="________________lbc31" hidden="1">#REF!</definedName>
    <definedName name="________________lbc32" hidden="1">#REF!</definedName>
    <definedName name="________________lbc4" hidden="1">#REF!</definedName>
    <definedName name="________________lbc5" hidden="1">#REF!</definedName>
    <definedName name="________________lbc6" hidden="1">#REF!</definedName>
    <definedName name="________________lbc7" hidden="1">#REF!</definedName>
    <definedName name="________________lbc8" hidden="1">#REF!</definedName>
    <definedName name="________________lbc9" hidden="1">#REF!</definedName>
    <definedName name="________________ld26" hidden="1">#REF!</definedName>
    <definedName name="________________ld31" hidden="1">#REF!</definedName>
    <definedName name="________________le31" hidden="1">#REF!</definedName>
    <definedName name="________________lf31" hidden="1">#REF!</definedName>
    <definedName name="________________x10" hidden="1">#REF!</definedName>
    <definedName name="________________x11" hidden="1">#REF!</definedName>
    <definedName name="________________x12" hidden="1">#REF!</definedName>
    <definedName name="________________x13" hidden="1">#REF!</definedName>
    <definedName name="________________x14" hidden="1">#REF!</definedName>
    <definedName name="________________x15" hidden="1">#REF!</definedName>
    <definedName name="________________x16" hidden="1">#REF!</definedName>
    <definedName name="________________x17" hidden="1">#REF!</definedName>
    <definedName name="________________x18" hidden="1">#REF!</definedName>
    <definedName name="________________x19" hidden="1">#REF!</definedName>
    <definedName name="________________x20" hidden="1">#REF!</definedName>
    <definedName name="________________x21" hidden="1">#REF!</definedName>
    <definedName name="________________x22" hidden="1">#REF!</definedName>
    <definedName name="________________x23" hidden="1">#REF!</definedName>
    <definedName name="________________x24" hidden="1">#REF!</definedName>
    <definedName name="________________x25" hidden="1">#REF!</definedName>
    <definedName name="________________x28" hidden="1">#REF!</definedName>
    <definedName name="________________x29" hidden="1">#REF!</definedName>
    <definedName name="________________x32" hidden="1">#REF!</definedName>
    <definedName name="________________x4" hidden="1">#REF!</definedName>
    <definedName name="________________x5" hidden="1">#REF!</definedName>
    <definedName name="________________x6" hidden="1">#REF!</definedName>
    <definedName name="________________x7" hidden="1">#REF!</definedName>
    <definedName name="________________x8" hidden="1">#REF!</definedName>
    <definedName name="________________x9" hidden="1">#REF!</definedName>
    <definedName name="_______________INV12">#REF!</definedName>
    <definedName name="_______________INV13">#REF!</definedName>
    <definedName name="_______________inv2" localSheetId="3">#REF!</definedName>
    <definedName name="_______________inv2" localSheetId="4">#REF!</definedName>
    <definedName name="_______________inv2">#REF!</definedName>
    <definedName name="_______________la29" hidden="1">#REF!</definedName>
    <definedName name="_______________la3" hidden="1">#REF!</definedName>
    <definedName name="_______________la31" hidden="1">#REF!</definedName>
    <definedName name="_______________la32" hidden="1">#REF!</definedName>
    <definedName name="_______________la4" hidden="1">#REF!</definedName>
    <definedName name="_______________la5" hidden="1">#REF!</definedName>
    <definedName name="_______________la6" hidden="1">#REF!</definedName>
    <definedName name="_______________la7" hidden="1">#REF!</definedName>
    <definedName name="_______________la8" hidden="1">#REF!</definedName>
    <definedName name="_______________la9" hidden="1">#REF!</definedName>
    <definedName name="_______________lb1" hidden="1">#REF!</definedName>
    <definedName name="_______________lb10" hidden="1">#REF!</definedName>
    <definedName name="_______________lb11" hidden="1">#REF!</definedName>
    <definedName name="_______________lb12" hidden="1">#REF!</definedName>
    <definedName name="_______________lb13" hidden="1">#REF!</definedName>
    <definedName name="_______________lb14" hidden="1">#REF!</definedName>
    <definedName name="_______________lb15" hidden="1">#REF!</definedName>
    <definedName name="_______________lb16" hidden="1">#REF!</definedName>
    <definedName name="_______________lb17" hidden="1">#REF!</definedName>
    <definedName name="_______________lb18" hidden="1">#REF!</definedName>
    <definedName name="_______________lb19" hidden="1">#REF!</definedName>
    <definedName name="_______________lb2" hidden="1">#REF!</definedName>
    <definedName name="_______________lb20" hidden="1">#REF!</definedName>
    <definedName name="_______________lb21" hidden="1">#REF!</definedName>
    <definedName name="_______________lb22" hidden="1">#REF!</definedName>
    <definedName name="_______________lb23" hidden="1">#REF!</definedName>
    <definedName name="_______________lb24" hidden="1">#REF!</definedName>
    <definedName name="_______________lb25" hidden="1">#REF!</definedName>
    <definedName name="_______________lb27" hidden="1">#REF!</definedName>
    <definedName name="_______________lb28" hidden="1">#REF!</definedName>
    <definedName name="_______________lb29" hidden="1">#REF!</definedName>
    <definedName name="_______________lb3" hidden="1">#REF!</definedName>
    <definedName name="_______________lb30" hidden="1">#REF!</definedName>
    <definedName name="_______________lb31" hidden="1">#REF!</definedName>
    <definedName name="_______________lb32" hidden="1">#REF!</definedName>
    <definedName name="_______________lb4" hidden="1">#REF!</definedName>
    <definedName name="_______________lb5" hidden="1">#REF!</definedName>
    <definedName name="_______________lb6" hidden="1">#REF!</definedName>
    <definedName name="_______________lb7" hidden="1">#REF!</definedName>
    <definedName name="_______________lb8" hidden="1">#REF!</definedName>
    <definedName name="_______________lb9" hidden="1">#REF!</definedName>
    <definedName name="_______________lbc1" hidden="1">#REF!</definedName>
    <definedName name="_______________lbc10" hidden="1">#REF!</definedName>
    <definedName name="_______________lbc11" hidden="1">#REF!</definedName>
    <definedName name="_______________lbc12" hidden="1">#REF!</definedName>
    <definedName name="_______________lbc13" hidden="1">#REF!</definedName>
    <definedName name="_______________lbc14" hidden="1">#REF!</definedName>
    <definedName name="_______________lbc15" hidden="1">#REF!</definedName>
    <definedName name="_______________lbc16" hidden="1">#REF!</definedName>
    <definedName name="_______________lbc17" hidden="1">#REF!</definedName>
    <definedName name="_______________lbc18" hidden="1">#REF!</definedName>
    <definedName name="_______________lbc19" hidden="1">#REF!</definedName>
    <definedName name="_______________lbc2" hidden="1">#REF!</definedName>
    <definedName name="_______________lbc20" hidden="1">#REF!</definedName>
    <definedName name="_______________lbc21" hidden="1">#REF!</definedName>
    <definedName name="_______________lbc22" hidden="1">#REF!</definedName>
    <definedName name="_______________lbc23" hidden="1">#REF!</definedName>
    <definedName name="_______________lbc24" hidden="1">#REF!</definedName>
    <definedName name="_______________lbc25" hidden="1">#REF!</definedName>
    <definedName name="_______________lbc26" hidden="1">#REF!</definedName>
    <definedName name="_______________lbc27" hidden="1">#REF!</definedName>
    <definedName name="_______________lbc28" hidden="1">#REF!</definedName>
    <definedName name="_______________lbc29" hidden="1">#REF!</definedName>
    <definedName name="_______________lbc3" hidden="1">#REF!</definedName>
    <definedName name="_______________lbc31" hidden="1">#REF!</definedName>
    <definedName name="_______________lbc32" hidden="1">#REF!</definedName>
    <definedName name="_______________lbc4" hidden="1">#REF!</definedName>
    <definedName name="_______________lbc5" hidden="1">#REF!</definedName>
    <definedName name="_______________lbc6" hidden="1">#REF!</definedName>
    <definedName name="_______________lbc7" hidden="1">#REF!</definedName>
    <definedName name="_______________lbc8" hidden="1">#REF!</definedName>
    <definedName name="_______________lbc9" hidden="1">#REF!</definedName>
    <definedName name="_______________ld26" hidden="1">#REF!</definedName>
    <definedName name="_______________ld31" hidden="1">#REF!</definedName>
    <definedName name="_______________le31" hidden="1">#REF!</definedName>
    <definedName name="_______________lf31" hidden="1">#REF!</definedName>
    <definedName name="_______________x10" hidden="1">#REF!</definedName>
    <definedName name="_______________x11" hidden="1">#REF!</definedName>
    <definedName name="_______________x12" hidden="1">#REF!</definedName>
    <definedName name="_______________x13" hidden="1">#REF!</definedName>
    <definedName name="_______________x14" hidden="1">#REF!</definedName>
    <definedName name="_______________x15" hidden="1">#REF!</definedName>
    <definedName name="_______________x16" hidden="1">#REF!</definedName>
    <definedName name="_______________x17" hidden="1">#REF!</definedName>
    <definedName name="_______________x18" hidden="1">#REF!</definedName>
    <definedName name="_______________x19" hidden="1">#REF!</definedName>
    <definedName name="_______________x20" hidden="1">#REF!</definedName>
    <definedName name="_______________x21" hidden="1">#REF!</definedName>
    <definedName name="_______________x22" hidden="1">#REF!</definedName>
    <definedName name="_______________x23" hidden="1">#REF!</definedName>
    <definedName name="_______________x24" hidden="1">#REF!</definedName>
    <definedName name="_______________x25" hidden="1">#REF!</definedName>
    <definedName name="_______________x28" hidden="1">#REF!</definedName>
    <definedName name="_______________x29" hidden="1">#REF!</definedName>
    <definedName name="_______________x32" hidden="1">#REF!</definedName>
    <definedName name="_______________x4" hidden="1">#REF!</definedName>
    <definedName name="_______________x5" hidden="1">#REF!</definedName>
    <definedName name="_______________x6" hidden="1">#REF!</definedName>
    <definedName name="_______________x7" hidden="1">#REF!</definedName>
    <definedName name="_______________x8" hidden="1">#REF!</definedName>
    <definedName name="_______________x9" hidden="1">#REF!</definedName>
    <definedName name="______________INV12">#REF!</definedName>
    <definedName name="______________INV13">#REF!</definedName>
    <definedName name="______________inv2" localSheetId="3">#REF!</definedName>
    <definedName name="______________inv2" localSheetId="4">#REF!</definedName>
    <definedName name="______________inv2">#REF!</definedName>
    <definedName name="______________la29" hidden="1">#REF!</definedName>
    <definedName name="______________la3" hidden="1">#REF!</definedName>
    <definedName name="______________la31" hidden="1">#REF!</definedName>
    <definedName name="______________la32" hidden="1">#REF!</definedName>
    <definedName name="______________la4" hidden="1">#REF!</definedName>
    <definedName name="______________la5" hidden="1">#REF!</definedName>
    <definedName name="______________la6" hidden="1">#REF!</definedName>
    <definedName name="______________la7" hidden="1">#REF!</definedName>
    <definedName name="______________la8" hidden="1">#REF!</definedName>
    <definedName name="______________la9" hidden="1">#REF!</definedName>
    <definedName name="______________lb1" hidden="1">#REF!</definedName>
    <definedName name="______________lb10" hidden="1">#REF!</definedName>
    <definedName name="______________lb11" hidden="1">#REF!</definedName>
    <definedName name="______________lb12" hidden="1">#REF!</definedName>
    <definedName name="______________lb13" hidden="1">#REF!</definedName>
    <definedName name="______________lb14" hidden="1">#REF!</definedName>
    <definedName name="______________lb15" hidden="1">#REF!</definedName>
    <definedName name="______________lb16" hidden="1">#REF!</definedName>
    <definedName name="______________lb17" hidden="1">#REF!</definedName>
    <definedName name="______________lb18" hidden="1">#REF!</definedName>
    <definedName name="______________lb19" hidden="1">#REF!</definedName>
    <definedName name="______________lb2" hidden="1">#REF!</definedName>
    <definedName name="______________lb20" hidden="1">#REF!</definedName>
    <definedName name="______________lb21" hidden="1">#REF!</definedName>
    <definedName name="______________lb22" hidden="1">#REF!</definedName>
    <definedName name="______________lb23" hidden="1">#REF!</definedName>
    <definedName name="______________lb24" hidden="1">#REF!</definedName>
    <definedName name="______________lb25" hidden="1">#REF!</definedName>
    <definedName name="______________lb27" hidden="1">#REF!</definedName>
    <definedName name="______________lb28" hidden="1">#REF!</definedName>
    <definedName name="______________lb29" hidden="1">#REF!</definedName>
    <definedName name="______________lb3" hidden="1">#REF!</definedName>
    <definedName name="______________lb30" hidden="1">#REF!</definedName>
    <definedName name="______________lb31" hidden="1">#REF!</definedName>
    <definedName name="______________lb32" hidden="1">#REF!</definedName>
    <definedName name="______________lb4" hidden="1">#REF!</definedName>
    <definedName name="______________lb5" hidden="1">#REF!</definedName>
    <definedName name="______________lb6" hidden="1">#REF!</definedName>
    <definedName name="______________lb7" hidden="1">#REF!</definedName>
    <definedName name="______________lb8" hidden="1">#REF!</definedName>
    <definedName name="______________lb9" hidden="1">#REF!</definedName>
    <definedName name="______________lbc1" hidden="1">#REF!</definedName>
    <definedName name="______________lbc10" hidden="1">#REF!</definedName>
    <definedName name="______________lbc11" hidden="1">#REF!</definedName>
    <definedName name="______________lbc12" hidden="1">#REF!</definedName>
    <definedName name="______________lbc13" hidden="1">#REF!</definedName>
    <definedName name="______________lbc14" hidden="1">#REF!</definedName>
    <definedName name="______________lbc15" hidden="1">#REF!</definedName>
    <definedName name="______________lbc16" hidden="1">#REF!</definedName>
    <definedName name="______________lbc17" hidden="1">#REF!</definedName>
    <definedName name="______________lbc18" hidden="1">#REF!</definedName>
    <definedName name="______________lbc19" hidden="1">#REF!</definedName>
    <definedName name="______________lbc2" hidden="1">#REF!</definedName>
    <definedName name="______________lbc20" hidden="1">#REF!</definedName>
    <definedName name="______________lbc21" hidden="1">#REF!</definedName>
    <definedName name="______________lbc22" hidden="1">#REF!</definedName>
    <definedName name="______________lbc23" hidden="1">#REF!</definedName>
    <definedName name="______________lbc24" hidden="1">#REF!</definedName>
    <definedName name="______________lbc25" hidden="1">#REF!</definedName>
    <definedName name="______________lbc26" hidden="1">#REF!</definedName>
    <definedName name="______________lbc27" hidden="1">#REF!</definedName>
    <definedName name="______________lbc28" hidden="1">#REF!</definedName>
    <definedName name="______________lbc29" hidden="1">#REF!</definedName>
    <definedName name="______________lbc3" hidden="1">#REF!</definedName>
    <definedName name="______________lbc31" hidden="1">#REF!</definedName>
    <definedName name="______________lbc32" hidden="1">#REF!</definedName>
    <definedName name="______________lbc4" hidden="1">#REF!</definedName>
    <definedName name="______________lbc5" hidden="1">#REF!</definedName>
    <definedName name="______________lbc6" hidden="1">#REF!</definedName>
    <definedName name="______________lbc7" hidden="1">#REF!</definedName>
    <definedName name="______________lbc8" hidden="1">#REF!</definedName>
    <definedName name="______________lbc9" hidden="1">#REF!</definedName>
    <definedName name="______________ld26" hidden="1">#REF!</definedName>
    <definedName name="______________ld31" hidden="1">#REF!</definedName>
    <definedName name="______________le31" hidden="1">#REF!</definedName>
    <definedName name="______________lf31" hidden="1">#REF!</definedName>
    <definedName name="______________x10" hidden="1">#REF!</definedName>
    <definedName name="______________x11" hidden="1">#REF!</definedName>
    <definedName name="______________x12" hidden="1">#REF!</definedName>
    <definedName name="______________x13" hidden="1">#REF!</definedName>
    <definedName name="______________x14" hidden="1">#REF!</definedName>
    <definedName name="______________x15" hidden="1">#REF!</definedName>
    <definedName name="______________x16" hidden="1">#REF!</definedName>
    <definedName name="______________x17" hidden="1">#REF!</definedName>
    <definedName name="______________x18" hidden="1">#REF!</definedName>
    <definedName name="______________x19" hidden="1">#REF!</definedName>
    <definedName name="______________x20" hidden="1">#REF!</definedName>
    <definedName name="______________x21" hidden="1">#REF!</definedName>
    <definedName name="______________x22" hidden="1">#REF!</definedName>
    <definedName name="______________x23" hidden="1">#REF!</definedName>
    <definedName name="______________x24" hidden="1">#REF!</definedName>
    <definedName name="______________x25" hidden="1">#REF!</definedName>
    <definedName name="______________x28" hidden="1">#REF!</definedName>
    <definedName name="______________x29" hidden="1">#REF!</definedName>
    <definedName name="______________x32" hidden="1">#REF!</definedName>
    <definedName name="______________x4" hidden="1">#REF!</definedName>
    <definedName name="______________x5" hidden="1">#REF!</definedName>
    <definedName name="______________x6" hidden="1">#REF!</definedName>
    <definedName name="______________x7" hidden="1">#REF!</definedName>
    <definedName name="______________x8" hidden="1">#REF!</definedName>
    <definedName name="______________x9" hidden="1">#REF!</definedName>
    <definedName name="_____________INV12">#REF!</definedName>
    <definedName name="_____________INV13">#REF!</definedName>
    <definedName name="_____________inv2" localSheetId="3">#REF!</definedName>
    <definedName name="_____________inv2" localSheetId="4">#REF!</definedName>
    <definedName name="_____________inv2">#REF!</definedName>
    <definedName name="_____________la29" hidden="1">#REF!</definedName>
    <definedName name="_____________la3" hidden="1">#REF!</definedName>
    <definedName name="_____________la31" hidden="1">#REF!</definedName>
    <definedName name="_____________la32" hidden="1">#REF!</definedName>
    <definedName name="_____________la4" hidden="1">#REF!</definedName>
    <definedName name="_____________la5" hidden="1">#REF!</definedName>
    <definedName name="_____________la6" hidden="1">#REF!</definedName>
    <definedName name="_____________la7" hidden="1">#REF!</definedName>
    <definedName name="_____________la8" hidden="1">#REF!</definedName>
    <definedName name="_____________la9" hidden="1">#REF!</definedName>
    <definedName name="_____________lb1" hidden="1">#REF!</definedName>
    <definedName name="_____________lb10" hidden="1">#REF!</definedName>
    <definedName name="_____________lb11" hidden="1">#REF!</definedName>
    <definedName name="_____________lb12" hidden="1">#REF!</definedName>
    <definedName name="_____________lb13" hidden="1">#REF!</definedName>
    <definedName name="_____________lb14" hidden="1">#REF!</definedName>
    <definedName name="_____________lb15" hidden="1">#REF!</definedName>
    <definedName name="_____________lb16" hidden="1">#REF!</definedName>
    <definedName name="_____________lb17" hidden="1">#REF!</definedName>
    <definedName name="_____________lb18" hidden="1">#REF!</definedName>
    <definedName name="_____________lb19" hidden="1">#REF!</definedName>
    <definedName name="_____________lb2" hidden="1">#REF!</definedName>
    <definedName name="_____________lb20" hidden="1">#REF!</definedName>
    <definedName name="_____________lb21" hidden="1">#REF!</definedName>
    <definedName name="_____________lb22" hidden="1">#REF!</definedName>
    <definedName name="_____________lb23" hidden="1">#REF!</definedName>
    <definedName name="_____________lb24" hidden="1">#REF!</definedName>
    <definedName name="_____________lb25" hidden="1">#REF!</definedName>
    <definedName name="_____________lb27" hidden="1">#REF!</definedName>
    <definedName name="_____________lb28" hidden="1">#REF!</definedName>
    <definedName name="_____________lb29" hidden="1">#REF!</definedName>
    <definedName name="_____________lb3" hidden="1">#REF!</definedName>
    <definedName name="_____________lb30" hidden="1">#REF!</definedName>
    <definedName name="_____________lb31" hidden="1">#REF!</definedName>
    <definedName name="_____________lb32" hidden="1">#REF!</definedName>
    <definedName name="_____________lb4" hidden="1">#REF!</definedName>
    <definedName name="_____________lb5" hidden="1">#REF!</definedName>
    <definedName name="_____________lb6" hidden="1">#REF!</definedName>
    <definedName name="_____________lb7" hidden="1">#REF!</definedName>
    <definedName name="_____________lb8" hidden="1">#REF!</definedName>
    <definedName name="_____________lb9" hidden="1">#REF!</definedName>
    <definedName name="_____________lbc1" hidden="1">#REF!</definedName>
    <definedName name="_____________lbc10" hidden="1">#REF!</definedName>
    <definedName name="_____________lbc11" hidden="1">#REF!</definedName>
    <definedName name="_____________lbc12" hidden="1">#REF!</definedName>
    <definedName name="_____________lbc13" hidden="1">#REF!</definedName>
    <definedName name="_____________lbc14" hidden="1">#REF!</definedName>
    <definedName name="_____________lbc15" hidden="1">#REF!</definedName>
    <definedName name="_____________lbc16" hidden="1">#REF!</definedName>
    <definedName name="_____________lbc17" hidden="1">#REF!</definedName>
    <definedName name="_____________lbc18" hidden="1">#REF!</definedName>
    <definedName name="_____________lbc19" hidden="1">#REF!</definedName>
    <definedName name="_____________lbc2" hidden="1">#REF!</definedName>
    <definedName name="_____________lbc20" hidden="1">#REF!</definedName>
    <definedName name="_____________lbc21" hidden="1">#REF!</definedName>
    <definedName name="_____________lbc22" hidden="1">#REF!</definedName>
    <definedName name="_____________lbc23" hidden="1">#REF!</definedName>
    <definedName name="_____________lbc24" hidden="1">#REF!</definedName>
    <definedName name="_____________lbc25" hidden="1">#REF!</definedName>
    <definedName name="_____________lbc26" hidden="1">#REF!</definedName>
    <definedName name="_____________lbc27" hidden="1">#REF!</definedName>
    <definedName name="_____________lbc28" hidden="1">#REF!</definedName>
    <definedName name="_____________lbc29" hidden="1">#REF!</definedName>
    <definedName name="_____________lbc3" hidden="1">#REF!</definedName>
    <definedName name="_____________lbc31" hidden="1">#REF!</definedName>
    <definedName name="_____________lbc32" hidden="1">#REF!</definedName>
    <definedName name="_____________lbc4" hidden="1">#REF!</definedName>
    <definedName name="_____________lbc5" hidden="1">#REF!</definedName>
    <definedName name="_____________lbc6" hidden="1">#REF!</definedName>
    <definedName name="_____________lbc7" hidden="1">#REF!</definedName>
    <definedName name="_____________lbc8" hidden="1">#REF!</definedName>
    <definedName name="_____________lbc9" hidden="1">#REF!</definedName>
    <definedName name="_____________ld26" hidden="1">#REF!</definedName>
    <definedName name="_____________ld31" hidden="1">#REF!</definedName>
    <definedName name="_____________le31" hidden="1">#REF!</definedName>
    <definedName name="_____________lf31" hidden="1">#REF!</definedName>
    <definedName name="_____________x10" hidden="1">#REF!</definedName>
    <definedName name="_____________x11" hidden="1">#REF!</definedName>
    <definedName name="_____________x12" hidden="1">#REF!</definedName>
    <definedName name="_____________x13" hidden="1">#REF!</definedName>
    <definedName name="_____________x14" hidden="1">#REF!</definedName>
    <definedName name="_____________x15" hidden="1">#REF!</definedName>
    <definedName name="_____________x16" hidden="1">#REF!</definedName>
    <definedName name="_____________x17" hidden="1">#REF!</definedName>
    <definedName name="_____________x18" hidden="1">#REF!</definedName>
    <definedName name="_____________x19" hidden="1">#REF!</definedName>
    <definedName name="_____________x20" hidden="1">#REF!</definedName>
    <definedName name="_____________x21" hidden="1">#REF!</definedName>
    <definedName name="_____________x22" hidden="1">#REF!</definedName>
    <definedName name="_____________x23" hidden="1">#REF!</definedName>
    <definedName name="_____________x24" hidden="1">#REF!</definedName>
    <definedName name="_____________x25" hidden="1">#REF!</definedName>
    <definedName name="_____________x28" hidden="1">#REF!</definedName>
    <definedName name="_____________x29" hidden="1">#REF!</definedName>
    <definedName name="_____________x32" hidden="1">#REF!</definedName>
    <definedName name="_____________x4" hidden="1">#REF!</definedName>
    <definedName name="_____________x5" hidden="1">#REF!</definedName>
    <definedName name="_____________x6" hidden="1">#REF!</definedName>
    <definedName name="_____________x7" hidden="1">#REF!</definedName>
    <definedName name="_____________x8" hidden="1">#REF!</definedName>
    <definedName name="_____________x9" hidden="1">#REF!</definedName>
    <definedName name="____________INV12">#REF!</definedName>
    <definedName name="____________INV13">#REF!</definedName>
    <definedName name="____________inv2" localSheetId="3">#REF!</definedName>
    <definedName name="____________inv2" localSheetId="4">#REF!</definedName>
    <definedName name="____________inv2">#REF!</definedName>
    <definedName name="____________la29" hidden="1">#REF!</definedName>
    <definedName name="____________la3" hidden="1">#REF!</definedName>
    <definedName name="____________la31" hidden="1">#REF!</definedName>
    <definedName name="____________la32" hidden="1">#REF!</definedName>
    <definedName name="____________la4" hidden="1">#REF!</definedName>
    <definedName name="____________la5" hidden="1">#REF!</definedName>
    <definedName name="____________la6" hidden="1">#REF!</definedName>
    <definedName name="____________la7" hidden="1">#REF!</definedName>
    <definedName name="____________la8" hidden="1">#REF!</definedName>
    <definedName name="____________la9" hidden="1">#REF!</definedName>
    <definedName name="____________lb1" hidden="1">#REF!</definedName>
    <definedName name="____________lb10" hidden="1">#REF!</definedName>
    <definedName name="____________lb11" hidden="1">#REF!</definedName>
    <definedName name="____________lb12" hidden="1">#REF!</definedName>
    <definedName name="____________lb13" hidden="1">#REF!</definedName>
    <definedName name="____________lb14" hidden="1">#REF!</definedName>
    <definedName name="____________lb15" hidden="1">#REF!</definedName>
    <definedName name="____________lb16" hidden="1">#REF!</definedName>
    <definedName name="____________lb17" hidden="1">#REF!</definedName>
    <definedName name="____________lb18" hidden="1">#REF!</definedName>
    <definedName name="____________lb19" hidden="1">#REF!</definedName>
    <definedName name="____________lb2" hidden="1">#REF!</definedName>
    <definedName name="____________lb20" hidden="1">#REF!</definedName>
    <definedName name="____________lb21" hidden="1">#REF!</definedName>
    <definedName name="____________lb22" hidden="1">#REF!</definedName>
    <definedName name="____________lb23" hidden="1">#REF!</definedName>
    <definedName name="____________lb24" hidden="1">#REF!</definedName>
    <definedName name="____________lb25" hidden="1">#REF!</definedName>
    <definedName name="____________lb27" hidden="1">#REF!</definedName>
    <definedName name="____________lb28" hidden="1">#REF!</definedName>
    <definedName name="____________lb29" hidden="1">#REF!</definedName>
    <definedName name="____________lb3" hidden="1">#REF!</definedName>
    <definedName name="____________lb30" hidden="1">#REF!</definedName>
    <definedName name="____________lb31" hidden="1">#REF!</definedName>
    <definedName name="____________lb32" hidden="1">#REF!</definedName>
    <definedName name="____________lb4" hidden="1">#REF!</definedName>
    <definedName name="____________lb5" hidden="1">#REF!</definedName>
    <definedName name="____________lb6" hidden="1">#REF!</definedName>
    <definedName name="____________lb7" hidden="1">#REF!</definedName>
    <definedName name="____________lb8" hidden="1">#REF!</definedName>
    <definedName name="____________lb9" hidden="1">#REF!</definedName>
    <definedName name="____________lbc1" hidden="1">#REF!</definedName>
    <definedName name="____________lbc10" hidden="1">#REF!</definedName>
    <definedName name="____________lbc11" hidden="1">#REF!</definedName>
    <definedName name="____________lbc12" hidden="1">#REF!</definedName>
    <definedName name="____________lbc13" hidden="1">#REF!</definedName>
    <definedName name="____________lbc14" hidden="1">#REF!</definedName>
    <definedName name="____________lbc15" hidden="1">#REF!</definedName>
    <definedName name="____________lbc16" hidden="1">#REF!</definedName>
    <definedName name="____________lbc17" hidden="1">#REF!</definedName>
    <definedName name="____________lbc18" hidden="1">#REF!</definedName>
    <definedName name="____________lbc19" hidden="1">#REF!</definedName>
    <definedName name="____________lbc2" hidden="1">#REF!</definedName>
    <definedName name="____________lbc20" hidden="1">#REF!</definedName>
    <definedName name="____________lbc21" hidden="1">#REF!</definedName>
    <definedName name="____________lbc22" hidden="1">#REF!</definedName>
    <definedName name="____________lbc23" hidden="1">#REF!</definedName>
    <definedName name="____________lbc24" hidden="1">#REF!</definedName>
    <definedName name="____________lbc25" hidden="1">#REF!</definedName>
    <definedName name="____________lbc26" hidden="1">#REF!</definedName>
    <definedName name="____________lbc27" hidden="1">#REF!</definedName>
    <definedName name="____________lbc28" hidden="1">#REF!</definedName>
    <definedName name="____________lbc29" hidden="1">#REF!</definedName>
    <definedName name="____________lbc3" hidden="1">#REF!</definedName>
    <definedName name="____________lbc31" hidden="1">#REF!</definedName>
    <definedName name="____________lbc32" hidden="1">#REF!</definedName>
    <definedName name="____________lbc4" hidden="1">#REF!</definedName>
    <definedName name="____________lbc5" hidden="1">#REF!</definedName>
    <definedName name="____________lbc6" hidden="1">#REF!</definedName>
    <definedName name="____________lbc7" hidden="1">#REF!</definedName>
    <definedName name="____________lbc8" hidden="1">#REF!</definedName>
    <definedName name="____________lbc9" hidden="1">#REF!</definedName>
    <definedName name="____________ld26" hidden="1">#REF!</definedName>
    <definedName name="____________ld31" hidden="1">#REF!</definedName>
    <definedName name="____________le31" hidden="1">#REF!</definedName>
    <definedName name="____________lf31" hidden="1">#REF!</definedName>
    <definedName name="____________x10" hidden="1">#REF!</definedName>
    <definedName name="____________x11" hidden="1">#REF!</definedName>
    <definedName name="____________x12" hidden="1">#REF!</definedName>
    <definedName name="____________x13" hidden="1">#REF!</definedName>
    <definedName name="____________x14" hidden="1">#REF!</definedName>
    <definedName name="____________x15" hidden="1">#REF!</definedName>
    <definedName name="____________x16" hidden="1">#REF!</definedName>
    <definedName name="____________x17" hidden="1">#REF!</definedName>
    <definedName name="____________x18" hidden="1">#REF!</definedName>
    <definedName name="____________x19" hidden="1">#REF!</definedName>
    <definedName name="____________x20" hidden="1">#REF!</definedName>
    <definedName name="____________x21" hidden="1">#REF!</definedName>
    <definedName name="____________x22" hidden="1">#REF!</definedName>
    <definedName name="____________x23" hidden="1">#REF!</definedName>
    <definedName name="____________x24" hidden="1">#REF!</definedName>
    <definedName name="____________x25" hidden="1">#REF!</definedName>
    <definedName name="____________x28" hidden="1">#REF!</definedName>
    <definedName name="____________x29" hidden="1">#REF!</definedName>
    <definedName name="____________x32" hidden="1">#REF!</definedName>
    <definedName name="____________x4" hidden="1">#REF!</definedName>
    <definedName name="____________x5" hidden="1">#REF!</definedName>
    <definedName name="____________x6" hidden="1">#REF!</definedName>
    <definedName name="____________x7" hidden="1">#REF!</definedName>
    <definedName name="____________x8" hidden="1">#REF!</definedName>
    <definedName name="____________x9" hidden="1">#REF!</definedName>
    <definedName name="___________INV12">#REF!</definedName>
    <definedName name="___________INV13">#REF!</definedName>
    <definedName name="___________inv2" localSheetId="3">#REF!</definedName>
    <definedName name="___________inv2" localSheetId="4">#REF!</definedName>
    <definedName name="___________inv2">#REF!</definedName>
    <definedName name="___________la29" hidden="1">#REF!</definedName>
    <definedName name="___________la3" hidden="1">#REF!</definedName>
    <definedName name="___________la31" hidden="1">#REF!</definedName>
    <definedName name="___________la32" hidden="1">#REF!</definedName>
    <definedName name="___________la4" hidden="1">#REF!</definedName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INV12">#REF!</definedName>
    <definedName name="__________INV13">#REF!</definedName>
    <definedName name="__________inv2" localSheetId="3">#REF!</definedName>
    <definedName name="__________inv2" localSheetId="4">#REF!</definedName>
    <definedName name="__________inv2">#REF!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INV12">#REF!</definedName>
    <definedName name="_________INV13">#REF!</definedName>
    <definedName name="_________inv2" localSheetId="3">#REF!</definedName>
    <definedName name="_________inv2" localSheetId="4">#REF!</definedName>
    <definedName name="_________inv2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INV12">#REF!</definedName>
    <definedName name="________INV13">#REF!</definedName>
    <definedName name="________inv2" localSheetId="3">#REF!</definedName>
    <definedName name="________inv2" localSheetId="4">#REF!</definedName>
    <definedName name="________inv2">#REF!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INV12">#REF!</definedName>
    <definedName name="_______INV13">#REF!</definedName>
    <definedName name="_______inv2" localSheetId="3">#REF!</definedName>
    <definedName name="_______inv2" localSheetId="4">#REF!</definedName>
    <definedName name="_______inv2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INV12">#REF!</definedName>
    <definedName name="______INV13">#REF!</definedName>
    <definedName name="______inv2" localSheetId="3">#REF!</definedName>
    <definedName name="______inv2" localSheetId="4">#REF!</definedName>
    <definedName name="______inv2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INV12">#REF!</definedName>
    <definedName name="_____INV13">#REF!</definedName>
    <definedName name="_____inv2" localSheetId="3">#REF!</definedName>
    <definedName name="_____inv2" localSheetId="4">#REF!</definedName>
    <definedName name="_____inv2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INV12">#REF!</definedName>
    <definedName name="____INV13">#REF!</definedName>
    <definedName name="____inv2" localSheetId="3">#REF!</definedName>
    <definedName name="____inv2" localSheetId="4">#REF!</definedName>
    <definedName name="____inv2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INV12">#REF!</definedName>
    <definedName name="___INV13">#REF!</definedName>
    <definedName name="___inv2" localSheetId="3">#REF!</definedName>
    <definedName name="___inv2" localSheetId="4">#REF!</definedName>
    <definedName name="___inv2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R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BENZENE" localSheetId="3" hidden="1">#REF!</definedName>
    <definedName name="__123Graph_ABENZENE" localSheetId="4" hidden="1">#REF!</definedName>
    <definedName name="__123Graph_ABENZENE" hidden="1">#REF!</definedName>
    <definedName name="__123Graph_ABUTADIENE" localSheetId="3" hidden="1">#REF!</definedName>
    <definedName name="__123Graph_ABUTADIENE" localSheetId="4" hidden="1">#REF!</definedName>
    <definedName name="__123Graph_ABUTADIENE" hidden="1">#REF!</definedName>
    <definedName name="__123Graph_ACAPRO" localSheetId="3" hidden="1">#REF!</definedName>
    <definedName name="__123Graph_ACAPRO" localSheetId="4" hidden="1">#REF!</definedName>
    <definedName name="__123Graph_ACAPRO" hidden="1">#REF!</definedName>
    <definedName name="__123Graph_AETHYLENE" localSheetId="3" hidden="1">#REF!</definedName>
    <definedName name="__123Graph_AETHYLENE" localSheetId="4" hidden="1">#REF!</definedName>
    <definedName name="__123Graph_AETHYLENE" hidden="1">#REF!</definedName>
    <definedName name="__123Graph_AEVAC" localSheetId="3" hidden="1">#REF!</definedName>
    <definedName name="__123Graph_AEVAC" localSheetId="4" hidden="1">#REF!</definedName>
    <definedName name="__123Graph_AEVAC" hidden="1">#REF!</definedName>
    <definedName name="__123Graph_AHDPE" localSheetId="3" hidden="1">#REF!</definedName>
    <definedName name="__123Graph_AHDPE" localSheetId="4" hidden="1">#REF!</definedName>
    <definedName name="__123Graph_AHDPE" hidden="1">#REF!</definedName>
    <definedName name="__123Graph_ALDPE" localSheetId="3" hidden="1">#REF!</definedName>
    <definedName name="__123Graph_ALDPE" localSheetId="4" hidden="1">#REF!</definedName>
    <definedName name="__123Graph_ALDPE" hidden="1">#REF!</definedName>
    <definedName name="__123Graph_ALLDPE" localSheetId="3" hidden="1">#REF!</definedName>
    <definedName name="__123Graph_ALLDPE" localSheetId="4" hidden="1">#REF!</definedName>
    <definedName name="__123Graph_ALLDPE" hidden="1">#REF!</definedName>
    <definedName name="__123Graph_AMTBE" localSheetId="3" hidden="1">#REF!</definedName>
    <definedName name="__123Graph_AMTBE" localSheetId="4" hidden="1">#REF!</definedName>
    <definedName name="__123Graph_AMTBE" hidden="1">#REF!</definedName>
    <definedName name="__123Graph_ANAPHTHA" localSheetId="3" hidden="1">#REF!</definedName>
    <definedName name="__123Graph_ANAPHTHA" localSheetId="4" hidden="1">#REF!</definedName>
    <definedName name="__123Graph_ANAPHTHA" hidden="1">#REF!</definedName>
    <definedName name="__123Graph_APET" localSheetId="3" hidden="1">#REF!</definedName>
    <definedName name="__123Graph_APET" localSheetId="4" hidden="1">#REF!</definedName>
    <definedName name="__123Graph_APET" hidden="1">#REF!</definedName>
    <definedName name="__123Graph_APP" localSheetId="3" hidden="1">#REF!</definedName>
    <definedName name="__123Graph_APP" localSheetId="4" hidden="1">#REF!</definedName>
    <definedName name="__123Graph_APP" hidden="1">#REF!</definedName>
    <definedName name="__123Graph_APROPYLENE" localSheetId="3" hidden="1">#REF!</definedName>
    <definedName name="__123Graph_APROPYLENE" localSheetId="4" hidden="1">#REF!</definedName>
    <definedName name="__123Graph_APROPYLENE" hidden="1">#REF!</definedName>
    <definedName name="__123Graph_APVC" localSheetId="3" hidden="1">#REF!</definedName>
    <definedName name="__123Graph_APVC" localSheetId="4" hidden="1">#REF!</definedName>
    <definedName name="__123Graph_APVC" hidden="1">#REF!</definedName>
    <definedName name="__123Graph_APX" localSheetId="3" hidden="1">#REF!</definedName>
    <definedName name="__123Graph_APX" localSheetId="4" hidden="1">#REF!</definedName>
    <definedName name="__123Graph_APX" hidden="1">#REF!</definedName>
    <definedName name="__123Graph_ASIDECO" hidden="1">#REF!</definedName>
    <definedName name="__123Graph_ATOL" localSheetId="3" hidden="1">#REF!</definedName>
    <definedName name="__123Graph_ATOL" localSheetId="4" hidden="1">#REF!</definedName>
    <definedName name="__123Graph_ATOL" hidden="1">#REF!</definedName>
    <definedName name="__123Graph_B" localSheetId="3" hidden="1">#REF!</definedName>
    <definedName name="__123Graph_B" localSheetId="4" hidden="1">#REF!</definedName>
    <definedName name="__123Graph_B" hidden="1">#REF!</definedName>
    <definedName name="__123Graph_BBENZENE" localSheetId="3" hidden="1">#REF!</definedName>
    <definedName name="__123Graph_BBENZENE" localSheetId="4" hidden="1">#REF!</definedName>
    <definedName name="__123Graph_BBENZENE" hidden="1">#REF!</definedName>
    <definedName name="__123Graph_BBUTADIENE" localSheetId="3" hidden="1">#REF!</definedName>
    <definedName name="__123Graph_BBUTADIENE" localSheetId="4" hidden="1">#REF!</definedName>
    <definedName name="__123Graph_BBUTADIENE" hidden="1">#REF!</definedName>
    <definedName name="__123Graph_BCAPRO" localSheetId="3" hidden="1">#REF!</definedName>
    <definedName name="__123Graph_BCAPRO" localSheetId="4" hidden="1">#REF!</definedName>
    <definedName name="__123Graph_BCAPRO" hidden="1">#REF!</definedName>
    <definedName name="__123Graph_BETHYLENE" localSheetId="3" hidden="1">#REF!</definedName>
    <definedName name="__123Graph_BETHYLENE" localSheetId="4" hidden="1">#REF!</definedName>
    <definedName name="__123Graph_BETHYLENE" hidden="1">#REF!</definedName>
    <definedName name="__123Graph_BHDPE" localSheetId="3" hidden="1">#REF!</definedName>
    <definedName name="__123Graph_BHDPE" localSheetId="4" hidden="1">#REF!</definedName>
    <definedName name="__123Graph_BHDPE" hidden="1">#REF!</definedName>
    <definedName name="__123Graph_BLDPE" localSheetId="3" hidden="1">#REF!</definedName>
    <definedName name="__123Graph_BLDPE" localSheetId="4" hidden="1">#REF!</definedName>
    <definedName name="__123Graph_BLDPE" hidden="1">#REF!</definedName>
    <definedName name="__123Graph_BLLDPE" localSheetId="3" hidden="1">#REF!</definedName>
    <definedName name="__123Graph_BLLDPE" localSheetId="4" hidden="1">#REF!</definedName>
    <definedName name="__123Graph_BLLDPE" hidden="1">#REF!</definedName>
    <definedName name="__123Graph_BMTBE" localSheetId="3" hidden="1">#REF!</definedName>
    <definedName name="__123Graph_BMTBE" localSheetId="4" hidden="1">#REF!</definedName>
    <definedName name="__123Graph_BMTBE" hidden="1">#REF!</definedName>
    <definedName name="__123Graph_BNAPHTHA" localSheetId="3" hidden="1">#REF!</definedName>
    <definedName name="__123Graph_BNAPHTHA" localSheetId="4" hidden="1">#REF!</definedName>
    <definedName name="__123Graph_BNAPHTHA" hidden="1">#REF!</definedName>
    <definedName name="__123Graph_BPET" localSheetId="3" hidden="1">#REF!</definedName>
    <definedName name="__123Graph_BPET" localSheetId="4" hidden="1">#REF!</definedName>
    <definedName name="__123Graph_BPET" hidden="1">#REF!</definedName>
    <definedName name="__123Graph_BPP" localSheetId="3" hidden="1">#REF!</definedName>
    <definedName name="__123Graph_BPP" localSheetId="4" hidden="1">#REF!</definedName>
    <definedName name="__123Graph_BPP" hidden="1">#REF!</definedName>
    <definedName name="__123Graph_BPROPYLENE" localSheetId="3" hidden="1">#REF!</definedName>
    <definedName name="__123Graph_BPROPYLENE" localSheetId="4" hidden="1">#REF!</definedName>
    <definedName name="__123Graph_BPROPYLENE" hidden="1">#REF!</definedName>
    <definedName name="__123Graph_BPVC" localSheetId="3" hidden="1">#REF!</definedName>
    <definedName name="__123Graph_BPVC" localSheetId="4" hidden="1">#REF!</definedName>
    <definedName name="__123Graph_BPVC" hidden="1">#REF!</definedName>
    <definedName name="__123Graph_BPX" localSheetId="3" hidden="1">#REF!</definedName>
    <definedName name="__123Graph_BPX" localSheetId="4" hidden="1">#REF!</definedName>
    <definedName name="__123Graph_BPX" hidden="1">#REF!</definedName>
    <definedName name="__123Graph_BSIDECO" hidden="1">#REF!</definedName>
    <definedName name="__123Graph_BTOL" localSheetId="3" hidden="1">#REF!</definedName>
    <definedName name="__123Graph_BTOL" localSheetId="4" hidden="1">#REF!</definedName>
    <definedName name="__123Graph_BTOL" hidden="1">#REF!</definedName>
    <definedName name="__123Graph_C" localSheetId="3" hidden="1">#REF!</definedName>
    <definedName name="__123Graph_C" localSheetId="4" hidden="1">#REF!</definedName>
    <definedName name="__123Graph_C" hidden="1">#REF!</definedName>
    <definedName name="__123Graph_CBENZENE" localSheetId="3" hidden="1">#REF!</definedName>
    <definedName name="__123Graph_CBENZENE" localSheetId="4" hidden="1">#REF!</definedName>
    <definedName name="__123Graph_CBENZENE" hidden="1">#REF!</definedName>
    <definedName name="__123Graph_CBUTADIENE" localSheetId="3" hidden="1">#REF!</definedName>
    <definedName name="__123Graph_CBUTADIENE" localSheetId="4" hidden="1">#REF!</definedName>
    <definedName name="__123Graph_CBUTADIENE" hidden="1">#REF!</definedName>
    <definedName name="__123Graph_CCAPRO" localSheetId="3" hidden="1">#REF!</definedName>
    <definedName name="__123Graph_CCAPRO" localSheetId="4" hidden="1">#REF!</definedName>
    <definedName name="__123Graph_CCAPRO" hidden="1">#REF!</definedName>
    <definedName name="__123Graph_CETHYLENE" localSheetId="3" hidden="1">#REF!</definedName>
    <definedName name="__123Graph_CETHYLENE" localSheetId="4" hidden="1">#REF!</definedName>
    <definedName name="__123Graph_CETHYLENE" hidden="1">#REF!</definedName>
    <definedName name="__123Graph_CEVAC" localSheetId="3" hidden="1">#REF!</definedName>
    <definedName name="__123Graph_CEVAC" localSheetId="4" hidden="1">#REF!</definedName>
    <definedName name="__123Graph_CEVAC" hidden="1">#REF!</definedName>
    <definedName name="__123Graph_CHDPE" localSheetId="3" hidden="1">#REF!</definedName>
    <definedName name="__123Graph_CHDPE" localSheetId="4" hidden="1">#REF!</definedName>
    <definedName name="__123Graph_CHDPE" hidden="1">#REF!</definedName>
    <definedName name="__123Graph_CLDPE" localSheetId="3" hidden="1">#REF!</definedName>
    <definedName name="__123Graph_CLDPE" localSheetId="4" hidden="1">#REF!</definedName>
    <definedName name="__123Graph_CLDPE" hidden="1">#REF!</definedName>
    <definedName name="__123Graph_CLLDPE" localSheetId="3" hidden="1">#REF!</definedName>
    <definedName name="__123Graph_CLLDPE" localSheetId="4" hidden="1">#REF!</definedName>
    <definedName name="__123Graph_CLLDPE" hidden="1">#REF!</definedName>
    <definedName name="__123Graph_CMTBE" localSheetId="3" hidden="1">#REF!</definedName>
    <definedName name="__123Graph_CMTBE" localSheetId="4" hidden="1">#REF!</definedName>
    <definedName name="__123Graph_CMTBE" hidden="1">#REF!</definedName>
    <definedName name="__123Graph_CNAPHTHA" localSheetId="3" hidden="1">#REF!</definedName>
    <definedName name="__123Graph_CNAPHTHA" localSheetId="4" hidden="1">#REF!</definedName>
    <definedName name="__123Graph_CNAPHTHA" hidden="1">#REF!</definedName>
    <definedName name="__123Graph_CPET" localSheetId="3" hidden="1">#REF!</definedName>
    <definedName name="__123Graph_CPET" localSheetId="4" hidden="1">#REF!</definedName>
    <definedName name="__123Graph_CPET" hidden="1">#REF!</definedName>
    <definedName name="__123Graph_CPP" localSheetId="3" hidden="1">#REF!</definedName>
    <definedName name="__123Graph_CPP" localSheetId="4" hidden="1">#REF!</definedName>
    <definedName name="__123Graph_CPP" hidden="1">#REF!</definedName>
    <definedName name="__123Graph_CPROPYLENE" localSheetId="3" hidden="1">#REF!</definedName>
    <definedName name="__123Graph_CPROPYLENE" localSheetId="4" hidden="1">#REF!</definedName>
    <definedName name="__123Graph_CPROPYLENE" hidden="1">#REF!</definedName>
    <definedName name="__123Graph_CPVC" localSheetId="3" hidden="1">#REF!</definedName>
    <definedName name="__123Graph_CPVC" localSheetId="4" hidden="1">#REF!</definedName>
    <definedName name="__123Graph_CPVC" hidden="1">#REF!</definedName>
    <definedName name="__123Graph_CPX" localSheetId="3" hidden="1">#REF!</definedName>
    <definedName name="__123Graph_CPX" localSheetId="4" hidden="1">#REF!</definedName>
    <definedName name="__123Graph_CPX" hidden="1">#REF!</definedName>
    <definedName name="__123Graph_CSIDECO" hidden="1">#REF!</definedName>
    <definedName name="__123Graph_CTOL" localSheetId="3" hidden="1">#REF!</definedName>
    <definedName name="__123Graph_CTOL" localSheetId="4" hidden="1">#REF!</definedName>
    <definedName name="__123Graph_CTOL" hidden="1">#REF!</definedName>
    <definedName name="__123Graph_D" localSheetId="3" hidden="1">#REF!</definedName>
    <definedName name="__123Graph_D" localSheetId="4" hidden="1">#REF!</definedName>
    <definedName name="__123Graph_D" hidden="1">#REF!</definedName>
    <definedName name="__123Graph_DBENZENE" localSheetId="3" hidden="1">#REF!</definedName>
    <definedName name="__123Graph_DBENZENE" localSheetId="4" hidden="1">#REF!</definedName>
    <definedName name="__123Graph_DBENZENE" hidden="1">#REF!</definedName>
    <definedName name="__123Graph_DBUTADIENE" localSheetId="3" hidden="1">#REF!</definedName>
    <definedName name="__123Graph_DBUTADIENE" localSheetId="4" hidden="1">#REF!</definedName>
    <definedName name="__123Graph_DBUTADIENE" hidden="1">#REF!</definedName>
    <definedName name="__123Graph_DCAPRO" localSheetId="3" hidden="1">#REF!</definedName>
    <definedName name="__123Graph_DCAPRO" localSheetId="4" hidden="1">#REF!</definedName>
    <definedName name="__123Graph_DCAPRO" hidden="1">#REF!</definedName>
    <definedName name="__123Graph_DETHYLENE" localSheetId="3" hidden="1">#REF!</definedName>
    <definedName name="__123Graph_DETHYLENE" localSheetId="4" hidden="1">#REF!</definedName>
    <definedName name="__123Graph_DETHYLENE" hidden="1">#REF!</definedName>
    <definedName name="__123Graph_DEVAC" localSheetId="3" hidden="1">#REF!</definedName>
    <definedName name="__123Graph_DEVAC" localSheetId="4" hidden="1">#REF!</definedName>
    <definedName name="__123Graph_DEVAC" hidden="1">#REF!</definedName>
    <definedName name="__123Graph_DHDPE" localSheetId="3" hidden="1">#REF!</definedName>
    <definedName name="__123Graph_DHDPE" localSheetId="4" hidden="1">#REF!</definedName>
    <definedName name="__123Graph_DHDPE" hidden="1">#REF!</definedName>
    <definedName name="__123Graph_DLDPE" localSheetId="3" hidden="1">#REF!</definedName>
    <definedName name="__123Graph_DLDPE" localSheetId="4" hidden="1">#REF!</definedName>
    <definedName name="__123Graph_DLDPE" hidden="1">#REF!</definedName>
    <definedName name="__123Graph_DLLDPE" localSheetId="3" hidden="1">#REF!</definedName>
    <definedName name="__123Graph_DLLDPE" localSheetId="4" hidden="1">#REF!</definedName>
    <definedName name="__123Graph_DLLDPE" hidden="1">#REF!</definedName>
    <definedName name="__123Graph_DMTBE" localSheetId="3" hidden="1">#REF!</definedName>
    <definedName name="__123Graph_DMTBE" localSheetId="4" hidden="1">#REF!</definedName>
    <definedName name="__123Graph_DMTBE" hidden="1">#REF!</definedName>
    <definedName name="__123Graph_DNAPHTHA" localSheetId="3" hidden="1">#REF!</definedName>
    <definedName name="__123Graph_DNAPHTHA" localSheetId="4" hidden="1">#REF!</definedName>
    <definedName name="__123Graph_DNAPHTHA" hidden="1">#REF!</definedName>
    <definedName name="__123Graph_DPET" localSheetId="3" hidden="1">#REF!</definedName>
    <definedName name="__123Graph_DPET" localSheetId="4" hidden="1">#REF!</definedName>
    <definedName name="__123Graph_DPET" hidden="1">#REF!</definedName>
    <definedName name="__123Graph_DPP" localSheetId="3" hidden="1">#REF!</definedName>
    <definedName name="__123Graph_DPP" localSheetId="4" hidden="1">#REF!</definedName>
    <definedName name="__123Graph_DPP" hidden="1">#REF!</definedName>
    <definedName name="__123Graph_DPROPYLENE" localSheetId="3" hidden="1">#REF!</definedName>
    <definedName name="__123Graph_DPROPYLENE" localSheetId="4" hidden="1">#REF!</definedName>
    <definedName name="__123Graph_DPROPYLENE" hidden="1">#REF!</definedName>
    <definedName name="__123Graph_DPVC" localSheetId="3" hidden="1">#REF!</definedName>
    <definedName name="__123Graph_DPVC" localSheetId="4" hidden="1">#REF!</definedName>
    <definedName name="__123Graph_DPVC" hidden="1">#REF!</definedName>
    <definedName name="__123Graph_DPX" localSheetId="3" hidden="1">#REF!</definedName>
    <definedName name="__123Graph_DPX" localSheetId="4" hidden="1">#REF!</definedName>
    <definedName name="__123Graph_DPX" hidden="1">#REF!</definedName>
    <definedName name="__123Graph_DTOL" localSheetId="3" hidden="1">#REF!</definedName>
    <definedName name="__123Graph_DTOL" localSheetId="4" hidden="1">#REF!</definedName>
    <definedName name="__123Graph_DTOL" hidden="1">#REF!</definedName>
    <definedName name="__123Graph_E" localSheetId="3" hidden="1">#REF!</definedName>
    <definedName name="__123Graph_E" localSheetId="4" hidden="1">#REF!</definedName>
    <definedName name="__123Graph_E" hidden="1">#REF!</definedName>
    <definedName name="__123Graph_EBENZENE" localSheetId="3" hidden="1">#REF!</definedName>
    <definedName name="__123Graph_EBENZENE" localSheetId="4" hidden="1">#REF!</definedName>
    <definedName name="__123Graph_EBENZENE" hidden="1">#REF!</definedName>
    <definedName name="__123Graph_EBUTADIENE" localSheetId="3" hidden="1">#REF!</definedName>
    <definedName name="__123Graph_EBUTADIENE" localSheetId="4" hidden="1">#REF!</definedName>
    <definedName name="__123Graph_EBUTADIENE" hidden="1">#REF!</definedName>
    <definedName name="__123Graph_ECAPRO" localSheetId="3" hidden="1">#REF!</definedName>
    <definedName name="__123Graph_ECAPRO" localSheetId="4" hidden="1">#REF!</definedName>
    <definedName name="__123Graph_ECAPRO" hidden="1">#REF!</definedName>
    <definedName name="__123Graph_EETHYLENE" localSheetId="3" hidden="1">#REF!</definedName>
    <definedName name="__123Graph_EETHYLENE" localSheetId="4" hidden="1">#REF!</definedName>
    <definedName name="__123Graph_EETHYLENE" hidden="1">#REF!</definedName>
    <definedName name="__123Graph_EHDPE" localSheetId="3" hidden="1">#REF!</definedName>
    <definedName name="__123Graph_EHDPE" localSheetId="4" hidden="1">#REF!</definedName>
    <definedName name="__123Graph_EHDPE" hidden="1">#REF!</definedName>
    <definedName name="__123Graph_ELDPE" localSheetId="3" hidden="1">#REF!</definedName>
    <definedName name="__123Graph_ELDPE" localSheetId="4" hidden="1">#REF!</definedName>
    <definedName name="__123Graph_ELDPE" hidden="1">#REF!</definedName>
    <definedName name="__123Graph_ELLDPE" localSheetId="3" hidden="1">#REF!</definedName>
    <definedName name="__123Graph_ELLDPE" localSheetId="4" hidden="1">#REF!</definedName>
    <definedName name="__123Graph_ELLDPE" hidden="1">#REF!</definedName>
    <definedName name="__123Graph_EMTBE" localSheetId="3" hidden="1">#REF!</definedName>
    <definedName name="__123Graph_EMTBE" localSheetId="4" hidden="1">#REF!</definedName>
    <definedName name="__123Graph_EMTBE" hidden="1">#REF!</definedName>
    <definedName name="__123Graph_ENAPHTHA" localSheetId="3" hidden="1">#REF!</definedName>
    <definedName name="__123Graph_ENAPHTHA" localSheetId="4" hidden="1">#REF!</definedName>
    <definedName name="__123Graph_ENAPHTHA" hidden="1">#REF!</definedName>
    <definedName name="__123Graph_EPET" localSheetId="3" hidden="1">#REF!</definedName>
    <definedName name="__123Graph_EPET" localSheetId="4" hidden="1">#REF!</definedName>
    <definedName name="__123Graph_EPET" hidden="1">#REF!</definedName>
    <definedName name="__123Graph_EPP" localSheetId="3" hidden="1">#REF!</definedName>
    <definedName name="__123Graph_EPP" localSheetId="4" hidden="1">#REF!</definedName>
    <definedName name="__123Graph_EPP" hidden="1">#REF!</definedName>
    <definedName name="__123Graph_EPROPYLENE" localSheetId="3" hidden="1">#REF!</definedName>
    <definedName name="__123Graph_EPROPYLENE" localSheetId="4" hidden="1">#REF!</definedName>
    <definedName name="__123Graph_EPROPYLENE" hidden="1">#REF!</definedName>
    <definedName name="__123Graph_EPVC" localSheetId="3" hidden="1">#REF!</definedName>
    <definedName name="__123Graph_EPVC" localSheetId="4" hidden="1">#REF!</definedName>
    <definedName name="__123Graph_EPVC" hidden="1">#REF!</definedName>
    <definedName name="__123Graph_EPX" localSheetId="3" hidden="1">#REF!</definedName>
    <definedName name="__123Graph_EPX" localSheetId="4" hidden="1">#REF!</definedName>
    <definedName name="__123Graph_EPX" hidden="1">#REF!</definedName>
    <definedName name="__123Graph_ETOL" localSheetId="3" hidden="1">#REF!</definedName>
    <definedName name="__123Graph_ETOL" localSheetId="4" hidden="1">#REF!</definedName>
    <definedName name="__123Graph_ETOL" hidden="1">#REF!</definedName>
    <definedName name="__123Graph_F" localSheetId="3" hidden="1">#REF!</definedName>
    <definedName name="__123Graph_F" localSheetId="4" hidden="1">#REF!</definedName>
    <definedName name="__123Graph_F" hidden="1">#REF!</definedName>
    <definedName name="__123Graph_FBENZENE" localSheetId="3" hidden="1">#REF!</definedName>
    <definedName name="__123Graph_FBENZENE" localSheetId="4" hidden="1">#REF!</definedName>
    <definedName name="__123Graph_FBENZENE" hidden="1">#REF!</definedName>
    <definedName name="__123Graph_FBUTADIENE" localSheetId="3" hidden="1">#REF!</definedName>
    <definedName name="__123Graph_FBUTADIENE" localSheetId="4" hidden="1">#REF!</definedName>
    <definedName name="__123Graph_FBUTADIENE" hidden="1">#REF!</definedName>
    <definedName name="__123Graph_FCAPRO" localSheetId="3" hidden="1">#REF!</definedName>
    <definedName name="__123Graph_FCAPRO" localSheetId="4" hidden="1">#REF!</definedName>
    <definedName name="__123Graph_FCAPRO" hidden="1">#REF!</definedName>
    <definedName name="__123Graph_FETHYLENE" localSheetId="3" hidden="1">#REF!</definedName>
    <definedName name="__123Graph_FETHYLENE" localSheetId="4" hidden="1">#REF!</definedName>
    <definedName name="__123Graph_FETHYLENE" hidden="1">#REF!</definedName>
    <definedName name="__123Graph_FEVAC" localSheetId="3" hidden="1">#REF!</definedName>
    <definedName name="__123Graph_FEVAC" localSheetId="4" hidden="1">#REF!</definedName>
    <definedName name="__123Graph_FEVAC" hidden="1">#REF!</definedName>
    <definedName name="__123Graph_FHDPE" localSheetId="3" hidden="1">#REF!</definedName>
    <definedName name="__123Graph_FHDPE" localSheetId="4" hidden="1">#REF!</definedName>
    <definedName name="__123Graph_FHDPE" hidden="1">#REF!</definedName>
    <definedName name="__123Graph_FLDPE" localSheetId="3" hidden="1">#REF!</definedName>
    <definedName name="__123Graph_FLDPE" localSheetId="4" hidden="1">#REF!</definedName>
    <definedName name="__123Graph_FLDPE" hidden="1">#REF!</definedName>
    <definedName name="__123Graph_FLLDPE" localSheetId="3" hidden="1">#REF!</definedName>
    <definedName name="__123Graph_FLLDPE" localSheetId="4" hidden="1">#REF!</definedName>
    <definedName name="__123Graph_FLLDPE" hidden="1">#REF!</definedName>
    <definedName name="__123Graph_FMTBE" localSheetId="3" hidden="1">#REF!</definedName>
    <definedName name="__123Graph_FMTBE" localSheetId="4" hidden="1">#REF!</definedName>
    <definedName name="__123Graph_FMTBE" hidden="1">#REF!</definedName>
    <definedName name="__123Graph_FNAPHTHA" localSheetId="3" hidden="1">#REF!</definedName>
    <definedName name="__123Graph_FNAPHTHA" localSheetId="4" hidden="1">#REF!</definedName>
    <definedName name="__123Graph_FNAPHTHA" hidden="1">#REF!</definedName>
    <definedName name="__123Graph_FPET" localSheetId="3" hidden="1">#REF!</definedName>
    <definedName name="__123Graph_FPET" localSheetId="4" hidden="1">#REF!</definedName>
    <definedName name="__123Graph_FPET" hidden="1">#REF!</definedName>
    <definedName name="__123Graph_FPP" localSheetId="3" hidden="1">#REF!</definedName>
    <definedName name="__123Graph_FPP" localSheetId="4" hidden="1">#REF!</definedName>
    <definedName name="__123Graph_FPP" hidden="1">#REF!</definedName>
    <definedName name="__123Graph_FPROPYLENE" localSheetId="3" hidden="1">#REF!</definedName>
    <definedName name="__123Graph_FPROPYLENE" localSheetId="4" hidden="1">#REF!</definedName>
    <definedName name="__123Graph_FPROPYLENE" hidden="1">#REF!</definedName>
    <definedName name="__123Graph_FPVC" localSheetId="3" hidden="1">#REF!</definedName>
    <definedName name="__123Graph_FPVC" localSheetId="4" hidden="1">#REF!</definedName>
    <definedName name="__123Graph_FPVC" hidden="1">#REF!</definedName>
    <definedName name="__123Graph_FPX" localSheetId="3" hidden="1">#REF!</definedName>
    <definedName name="__123Graph_FPX" localSheetId="4" hidden="1">#REF!</definedName>
    <definedName name="__123Graph_FPX" hidden="1">#REF!</definedName>
    <definedName name="__123Graph_FTOL" localSheetId="3" hidden="1">#REF!</definedName>
    <definedName name="__123Graph_FTOL" localSheetId="4" hidden="1">#REF!</definedName>
    <definedName name="__123Graph_FTOL" hidden="1">#REF!</definedName>
    <definedName name="__123Graph_X" localSheetId="3" hidden="1">#REF!</definedName>
    <definedName name="__123Graph_X" localSheetId="4" hidden="1">#REF!</definedName>
    <definedName name="__123Graph_X" hidden="1">#REF!</definedName>
    <definedName name="__123Graph_XBENZENE" localSheetId="3" hidden="1">#REF!</definedName>
    <definedName name="__123Graph_XBENZENE" localSheetId="4" hidden="1">#REF!</definedName>
    <definedName name="__123Graph_XBENZENE" hidden="1">#REF!</definedName>
    <definedName name="__123Graph_XBUTADIENE" localSheetId="3" hidden="1">#REF!</definedName>
    <definedName name="__123Graph_XBUTADIENE" localSheetId="4" hidden="1">#REF!</definedName>
    <definedName name="__123Graph_XBUTADIENE" hidden="1">#REF!</definedName>
    <definedName name="__123Graph_XCAPRO" localSheetId="3" hidden="1">#REF!</definedName>
    <definedName name="__123Graph_XCAPRO" localSheetId="4" hidden="1">#REF!</definedName>
    <definedName name="__123Graph_XCAPRO" hidden="1">#REF!</definedName>
    <definedName name="__123Graph_XETHYLENE" localSheetId="3" hidden="1">#REF!</definedName>
    <definedName name="__123Graph_XETHYLENE" localSheetId="4" hidden="1">#REF!</definedName>
    <definedName name="__123Graph_XETHYLENE" hidden="1">#REF!</definedName>
    <definedName name="__123Graph_XEVAC" localSheetId="3" hidden="1">#REF!</definedName>
    <definedName name="__123Graph_XEVAC" localSheetId="4" hidden="1">#REF!</definedName>
    <definedName name="__123Graph_XEVAC" hidden="1">#REF!</definedName>
    <definedName name="__123Graph_XHDPE" localSheetId="3" hidden="1">#REF!</definedName>
    <definedName name="__123Graph_XHDPE" localSheetId="4" hidden="1">#REF!</definedName>
    <definedName name="__123Graph_XHDPE" hidden="1">#REF!</definedName>
    <definedName name="__123Graph_XLDPE" localSheetId="3" hidden="1">#REF!</definedName>
    <definedName name="__123Graph_XLDPE" localSheetId="4" hidden="1">#REF!</definedName>
    <definedName name="__123Graph_XLDPE" hidden="1">#REF!</definedName>
    <definedName name="__123Graph_XLLDPE" localSheetId="3" hidden="1">#REF!</definedName>
    <definedName name="__123Graph_XLLDPE" localSheetId="4" hidden="1">#REF!</definedName>
    <definedName name="__123Graph_XLLDPE" hidden="1">#REF!</definedName>
    <definedName name="__123Graph_XMTBE" localSheetId="3" hidden="1">#REF!</definedName>
    <definedName name="__123Graph_XMTBE" localSheetId="4" hidden="1">#REF!</definedName>
    <definedName name="__123Graph_XMTBE" hidden="1">#REF!</definedName>
    <definedName name="__123Graph_XNAPHTHA" localSheetId="3" hidden="1">#REF!</definedName>
    <definedName name="__123Graph_XNAPHTHA" localSheetId="4" hidden="1">#REF!</definedName>
    <definedName name="__123Graph_XNAPHTHA" hidden="1">#REF!</definedName>
    <definedName name="__123Graph_XPET" localSheetId="3" hidden="1">#REF!</definedName>
    <definedName name="__123Graph_XPET" localSheetId="4" hidden="1">#REF!</definedName>
    <definedName name="__123Graph_XPET" hidden="1">#REF!</definedName>
    <definedName name="__123Graph_XPP" localSheetId="3" hidden="1">#REF!</definedName>
    <definedName name="__123Graph_XPP" localSheetId="4" hidden="1">#REF!</definedName>
    <definedName name="__123Graph_XPP" hidden="1">#REF!</definedName>
    <definedName name="__123Graph_XPROPYLENE" localSheetId="3" hidden="1">#REF!</definedName>
    <definedName name="__123Graph_XPROPYLENE" localSheetId="4" hidden="1">#REF!</definedName>
    <definedName name="__123Graph_XPROPYLENE" hidden="1">#REF!</definedName>
    <definedName name="__123Graph_XPVC" localSheetId="3" hidden="1">#REF!</definedName>
    <definedName name="__123Graph_XPVC" localSheetId="4" hidden="1">#REF!</definedName>
    <definedName name="__123Graph_XPVC" hidden="1">#REF!</definedName>
    <definedName name="__123Graph_XPX" localSheetId="3" hidden="1">#REF!</definedName>
    <definedName name="__123Graph_XPX" localSheetId="4" hidden="1">#REF!</definedName>
    <definedName name="__123Graph_XPX" hidden="1">#REF!</definedName>
    <definedName name="__123Graph_XSIDECO" hidden="1">#REF!</definedName>
    <definedName name="__123Graph_XTOL" localSheetId="3" hidden="1">#REF!</definedName>
    <definedName name="__123Graph_XTOL" localSheetId="4" hidden="1">#REF!</definedName>
    <definedName name="__123Graph_XTOL" hidden="1">#REF!</definedName>
    <definedName name="__3__123Graph_XCHART_1" localSheetId="3" hidden="1">#REF!</definedName>
    <definedName name="__3__123Graph_XCHART_1" localSheetId="4" hidden="1">#REF!</definedName>
    <definedName name="__3__123Graph_XCHART_1" hidden="1">#REF!</definedName>
    <definedName name="__4RiskStatFunctionsUpdateFr_q">1</definedName>
    <definedName name="__INV12">#REF!</definedName>
    <definedName name="__INV13">#REF!</definedName>
    <definedName name="__inv2" localSheetId="3">#REF!</definedName>
    <definedName name="__inv2" localSheetId="4">#REF!</definedName>
    <definedName name="__inv2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R">#REF!</definedName>
    <definedName name="__TitleTemp">#NAME?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_" localSheetId="3">#REF!</definedName>
    <definedName name="_1_" localSheetId="4">#REF!</definedName>
    <definedName name="_1_">#REF!</definedName>
    <definedName name="_1____MÃO_DE_OBRA_DIRETA">#REF!</definedName>
    <definedName name="_1__123Graph_ACHART_1" localSheetId="3" hidden="1">#REF!</definedName>
    <definedName name="_1__123Graph_ACHART_1" localSheetId="4" hidden="1">#REF!</definedName>
    <definedName name="_1__123Graph_ACHART_1" hidden="1">#REF!</definedName>
    <definedName name="_101001">"sfev"</definedName>
    <definedName name="_10el" localSheetId="3">#REF!</definedName>
    <definedName name="_10el" localSheetId="4">#REF!</definedName>
    <definedName name="_10el">#REF!</definedName>
    <definedName name="_11.SERV.TECNIC">#REF!</definedName>
    <definedName name="_11_A">#REF!</definedName>
    <definedName name="_11f" localSheetId="3">#REF!</definedName>
    <definedName name="_11f" localSheetId="4">#REF!</definedName>
    <definedName name="_11f">#REF!</definedName>
    <definedName name="_12.GAST_GERAIS">#REF!</definedName>
    <definedName name="_12_A">#REF!</definedName>
    <definedName name="_12fe" localSheetId="3">#REF!</definedName>
    <definedName name="_12fe" localSheetId="4">#REF!</definedName>
    <definedName name="_12fe">#REF!</definedName>
    <definedName name="_13.1___MATERIAL_CONSUMO">#REF!</definedName>
    <definedName name="_13.2___MATERIAL_APLICAÇÃO">#REF!</definedName>
    <definedName name="_13.3__FERRAMENTAS">#REF!</definedName>
    <definedName name="_13.P._PERMAN.">#REF!</definedName>
    <definedName name="_13____MATERIAIS_E_FERRAMENTAS">#REF!</definedName>
    <definedName name="_13_A">#REF!</definedName>
    <definedName name="_13five" localSheetId="3">#REF!</definedName>
    <definedName name="_13five" localSheetId="4">#REF!</definedName>
    <definedName name="_13five">#REF!</definedName>
    <definedName name="_14_">#REF!</definedName>
    <definedName name="_14____MATERIAL_DE_SEGURANÇA">#REF!</definedName>
    <definedName name="_14_A">#REF!</definedName>
    <definedName name="_14fivez" localSheetId="3">#REF!</definedName>
    <definedName name="_14fivez" localSheetId="4">#REF!</definedName>
    <definedName name="_14fivez">#REF!</definedName>
    <definedName name="_15.IMPL._CANT">#REF!</definedName>
    <definedName name="_15____DIVERSOS">#REF!</definedName>
    <definedName name="_15h" localSheetId="3">#REF!</definedName>
    <definedName name="_15h" localSheetId="4">#REF!</definedName>
    <definedName name="_15h">#REF!</definedName>
    <definedName name="_16.1___EQUIPAMENTOS_MAIORES">#REF!</definedName>
    <definedName name="_16.2___EQUIPAMENTOS_MENORES">#REF!</definedName>
    <definedName name="_16.3___VEÍCULOS" localSheetId="3">#REF!</definedName>
    <definedName name="_16.3___VEÍCULOS" localSheetId="4">#REF!</definedName>
    <definedName name="_16.3___VEÍCULOS">#REF!</definedName>
    <definedName name="_16.4___COMBÚSTIVEL" localSheetId="3">#REF!</definedName>
    <definedName name="_16.4___COMBÚSTIVEL" localSheetId="4">#REF!</definedName>
    <definedName name="_16.4___COMBÚSTIVEL">#REF!</definedName>
    <definedName name="_16.5___EQUIPAMENTOS_DE_ESCRITÓRIO" localSheetId="3">#REF!</definedName>
    <definedName name="_16.5___EQUIPAMENTOS_DE_ESCRITÓRIO" localSheetId="4">#REF!</definedName>
    <definedName name="_16.5___EQUIPAMENTOS_DE_ESCRITÓRIO">#REF!</definedName>
    <definedName name="_16.EQUIPAM.">#REF!</definedName>
    <definedName name="_16___EQUIPAMENTOS">#REF!</definedName>
    <definedName name="_16in" localSheetId="3">#REF!</definedName>
    <definedName name="_16in" localSheetId="4">#REF!</definedName>
    <definedName name="_16in">#REF!</definedName>
    <definedName name="_17.1_MENSALISTA">#REF!</definedName>
    <definedName name="_17.2___HORISTA">#REF!</definedName>
    <definedName name="_17.OPER._CANT.">#REF!</definedName>
    <definedName name="_17___DIREÇÃO_TÉCNICA_ADMINISTRATIVA">#REF!</definedName>
    <definedName name="_17land" localSheetId="3">#REF!</definedName>
    <definedName name="_17land" localSheetId="4">#REF!</definedName>
    <definedName name="_17land">#REF!</definedName>
    <definedName name="_18___CANTEIRO___INSTALAÇÃO___MANUTENÇÃO">#REF!</definedName>
    <definedName name="_18_A">#REF!</definedName>
    <definedName name="_18li" localSheetId="3">#REF!</definedName>
    <definedName name="_18li" localSheetId="4">#REF!</definedName>
    <definedName name="_18li">#REF!</definedName>
    <definedName name="_19.TRANC_LIMP.">#REF!</definedName>
    <definedName name="_19___TRANSPORTE_DE_PESSOAL">#REF!</definedName>
    <definedName name="_19mo" localSheetId="3">#REF!</definedName>
    <definedName name="_19mo" localSheetId="4">#REF!</definedName>
    <definedName name="_19mo">#REF!</definedName>
    <definedName name="_2__123Graph_ACHART_1" localSheetId="3" hidden="1">#REF!</definedName>
    <definedName name="_2__123Graph_ACHART_1" localSheetId="4" hidden="1">#REF!</definedName>
    <definedName name="_2__123Graph_ACHART_1" hidden="1">#REF!</definedName>
    <definedName name="_2__123Graph_BCHART_1" localSheetId="3" hidden="1">#REF!</definedName>
    <definedName name="_2__123Graph_BCHART_1" localSheetId="4" hidden="1">#REF!</definedName>
    <definedName name="_2__123Graph_BCHART_1" hidden="1">#REF!</definedName>
    <definedName name="_20___MOBILIZAÇÃO___DESMOBILIZAÇÃO">#REF!</definedName>
    <definedName name="_20nine" localSheetId="3">#REF!</definedName>
    <definedName name="_20nine" localSheetId="4">#REF!</definedName>
    <definedName name="_20nine">#REF!</definedName>
    <definedName name="_21_">#REF!</definedName>
    <definedName name="_21___REFEIÇÃO_REFEITÓRIO">#REF!</definedName>
    <definedName name="_21_A">#REF!</definedName>
    <definedName name="_21ninef" localSheetId="3">#REF!</definedName>
    <definedName name="_21ninef" localSheetId="4">#REF!</definedName>
    <definedName name="_21ninef">#REF!</definedName>
    <definedName name="_22___VÁRIOS">#REF!</definedName>
    <definedName name="_22ninen" localSheetId="3">#REF!</definedName>
    <definedName name="_22ninen" localSheetId="4">#REF!</definedName>
    <definedName name="_22ninen">#REF!</definedName>
    <definedName name="_23_">#REF!</definedName>
    <definedName name="_23___SERVIÇOS_DE_TERCEIROS">#REF!</definedName>
    <definedName name="_23_A">#REF!</definedName>
    <definedName name="_23ninese" localSheetId="3">#REF!</definedName>
    <definedName name="_23ninese" localSheetId="4">#REF!</definedName>
    <definedName name="_23ninese">#REF!</definedName>
    <definedName name="_24nineth" localSheetId="3">#REF!</definedName>
    <definedName name="_24nineth" localSheetId="4">#REF!</definedName>
    <definedName name="_24nineth">#REF!</definedName>
    <definedName name="_25.PREP.TERREN">#REF!</definedName>
    <definedName name="_25one" localSheetId="3">#REF!</definedName>
    <definedName name="_25one" localSheetId="4">#REF!</definedName>
    <definedName name="_25one">#REF!</definedName>
    <definedName name="_26_A">#REF!</definedName>
    <definedName name="_26onef" localSheetId="3">#REF!</definedName>
    <definedName name="_26onef" localSheetId="4">#REF!</definedName>
    <definedName name="_26onef">#REF!</definedName>
    <definedName name="_27.FUND._ESCOR">#REF!</definedName>
    <definedName name="_27oneth" localSheetId="3">#REF!</definedName>
    <definedName name="_27oneth" localSheetId="4">#REF!</definedName>
    <definedName name="_27oneth">#REF!</definedName>
    <definedName name="_28_A">#REF!</definedName>
    <definedName name="_28onez" localSheetId="3">#REF!</definedName>
    <definedName name="_28onez" localSheetId="4">#REF!</definedName>
    <definedName name="_28onez">#REF!</definedName>
    <definedName name="_29_">#REF!</definedName>
    <definedName name="_29_A">#REF!</definedName>
    <definedName name="_29p" localSheetId="3">#REF!</definedName>
    <definedName name="_29p" localSheetId="4">#REF!</definedName>
    <definedName name="_29p">#REF!</definedName>
    <definedName name="_2al" localSheetId="3">#REF!</definedName>
    <definedName name="_2al" localSheetId="4">#REF!</definedName>
    <definedName name="_2al">#REF!</definedName>
    <definedName name="_3_">#REF!</definedName>
    <definedName name="_3__123Graph_XCHART_1" localSheetId="3" hidden="1">#REF!</definedName>
    <definedName name="_3__123Graph_XCHART_1" localSheetId="4" hidden="1">#REF!</definedName>
    <definedName name="_3__123Graph_XCHART_1" hidden="1">#REF!</definedName>
    <definedName name="_3_A">#REF!</definedName>
    <definedName name="_30_">#REF!</definedName>
    <definedName name="_30_A">#REF!</definedName>
    <definedName name="_30pa" localSheetId="3">#REF!</definedName>
    <definedName name="_30pa" localSheetId="4">#REF!</definedName>
    <definedName name="_30pa">#REF!</definedName>
    <definedName name="_31_">#REF!</definedName>
    <definedName name="_31_32_33.C_A">#REF!</definedName>
    <definedName name="_31pack" localSheetId="3">#REF!</definedName>
    <definedName name="_31pack" localSheetId="4">#REF!</definedName>
    <definedName name="_31pack">#REF!</definedName>
    <definedName name="_32r" localSheetId="3">#REF!</definedName>
    <definedName name="_32r" localSheetId="4">#REF!</definedName>
    <definedName name="_32r">#REF!</definedName>
    <definedName name="_33S" localSheetId="3">#REF!</definedName>
    <definedName name="_33S" localSheetId="4">#REF!</definedName>
    <definedName name="_33S">#REF!</definedName>
    <definedName name="_34se" localSheetId="3">#REF!</definedName>
    <definedName name="_34se" localSheetId="4">#REF!</definedName>
    <definedName name="_34se">#REF!</definedName>
    <definedName name="_35sevenei" localSheetId="3">#REF!</definedName>
    <definedName name="_35sevenei" localSheetId="4">#REF!</definedName>
    <definedName name="_35sevenei">#REF!</definedName>
    <definedName name="_36sevenn" localSheetId="3">#REF!</definedName>
    <definedName name="_36sevenn" localSheetId="4">#REF!</definedName>
    <definedName name="_36sevenn">#REF!</definedName>
    <definedName name="_37sevense" localSheetId="3">#REF!</definedName>
    <definedName name="_37sevense" localSheetId="4">#REF!</definedName>
    <definedName name="_37sevense">#REF!</definedName>
    <definedName name="_38sevenz" localSheetId="3">#REF!</definedName>
    <definedName name="_38sevenz" localSheetId="4">#REF!</definedName>
    <definedName name="_38sevenz">#REF!</definedName>
    <definedName name="_39str" localSheetId="3">#REF!</definedName>
    <definedName name="_39str" localSheetId="4">#REF!</definedName>
    <definedName name="_39str">#REF!</definedName>
    <definedName name="_3c" localSheetId="3">#REF!</definedName>
    <definedName name="_3c" localSheetId="4">#REF!</definedName>
    <definedName name="_3c">#REF!</definedName>
    <definedName name="_4_">#REF!</definedName>
    <definedName name="_4__123Graph_BCHART_1" localSheetId="3" hidden="1">#REF!</definedName>
    <definedName name="_4__123Graph_BCHART_1" localSheetId="4" hidden="1">#REF!</definedName>
    <definedName name="_4__123Graph_BCHART_1" hidden="1">#REF!</definedName>
    <definedName name="_4_A">#REF!</definedName>
    <definedName name="_40t" localSheetId="3">#REF!</definedName>
    <definedName name="_40t" localSheetId="4">#REF!</definedName>
    <definedName name="_40t">#REF!</definedName>
    <definedName name="_41.ALVENARIA">#REF!</definedName>
    <definedName name="_4135_A">#REF!</definedName>
    <definedName name="_4136_">#REF!</definedName>
    <definedName name="_4136_A">#REF!</definedName>
    <definedName name="_4138_">#REF!</definedName>
    <definedName name="_4138_A">#REF!</definedName>
    <definedName name="_4139_">#REF!</definedName>
    <definedName name="_4139_A">#REF!</definedName>
    <definedName name="_4140_">#REF!</definedName>
    <definedName name="_4140_A">#REF!</definedName>
    <definedName name="_4141_">#REF!</definedName>
    <definedName name="_4141_A">#REF!</definedName>
    <definedName name="_4142_">#REF!</definedName>
    <definedName name="_4142_A">#REF!</definedName>
    <definedName name="_4143_">#REF!</definedName>
    <definedName name="_4143_A">#REF!</definedName>
    <definedName name="_4144_">#REF!</definedName>
    <definedName name="_4144_A">#REF!</definedName>
    <definedName name="_4145_">#REF!</definedName>
    <definedName name="_4145_A">#REF!</definedName>
    <definedName name="_4146_">#REF!</definedName>
    <definedName name="_4146_A">#REF!</definedName>
    <definedName name="_4147_">#REF!</definedName>
    <definedName name="_4147_A">#REF!</definedName>
    <definedName name="_4148_">#REF!</definedName>
    <definedName name="_4148_A">#REF!</definedName>
    <definedName name="_4149_">#REF!</definedName>
    <definedName name="_4149_A">#REF!</definedName>
    <definedName name="_4150_">#REF!</definedName>
    <definedName name="_4150_A">#REF!</definedName>
    <definedName name="_4151_">#REF!</definedName>
    <definedName name="_4151_A">#REF!</definedName>
    <definedName name="_4152_">#REF!</definedName>
    <definedName name="_4152_A">#REF!</definedName>
    <definedName name="_4197_">#REF!</definedName>
    <definedName name="_4197_A">#REF!</definedName>
    <definedName name="_41threez" localSheetId="3">#REF!</definedName>
    <definedName name="_41threez" localSheetId="4">#REF!</definedName>
    <definedName name="_41threez">#REF!</definedName>
    <definedName name="_4201_">#REF!</definedName>
    <definedName name="_4201_A">#REF!</definedName>
    <definedName name="_4202_">#REF!</definedName>
    <definedName name="_4202_A">#REF!</definedName>
    <definedName name="_4245_">#REF!</definedName>
    <definedName name="_4245_A">#REF!</definedName>
    <definedName name="_42to" localSheetId="3">#REF!</definedName>
    <definedName name="_42to" localSheetId="4">#REF!</definedName>
    <definedName name="_42to">#REF!</definedName>
    <definedName name="_4301_">#REF!</definedName>
    <definedName name="_4301_A">#REF!</definedName>
    <definedName name="_4302_">#REF!</definedName>
    <definedName name="_4302_A">#REF!</definedName>
    <definedName name="_4303_">#REF!</definedName>
    <definedName name="_4303_A">#REF!</definedName>
    <definedName name="_4305_">#REF!</definedName>
    <definedName name="_4305_A">#REF!</definedName>
    <definedName name="_4306_">#REF!</definedName>
    <definedName name="_4306_A">#REF!</definedName>
    <definedName name="_4307_">#REF!</definedName>
    <definedName name="_4307_A">#REF!</definedName>
    <definedName name="_4308_">#REF!</definedName>
    <definedName name="_4308_A">#REF!</definedName>
    <definedName name="_4309_">#REF!</definedName>
    <definedName name="_4309_A">#REF!</definedName>
    <definedName name="_4310_">#REF!</definedName>
    <definedName name="_4310_A">#REF!</definedName>
    <definedName name="_4312_">#REF!</definedName>
    <definedName name="_4312_A">#REF!</definedName>
    <definedName name="_4313_">#REF!</definedName>
    <definedName name="_4313_A">#REF!</definedName>
    <definedName name="_4314_">#REF!</definedName>
    <definedName name="_4314_A">#REF!</definedName>
    <definedName name="_4315_">#REF!</definedName>
    <definedName name="_4315_A">#REF!</definedName>
    <definedName name="_4319_">#REF!</definedName>
    <definedName name="_4319_A">#REF!</definedName>
    <definedName name="_4320_">#REF!</definedName>
    <definedName name="_4320_A">#REF!</definedName>
    <definedName name="_4321_">#REF!</definedName>
    <definedName name="_4321_A">#REF!</definedName>
    <definedName name="_4322_">#REF!</definedName>
    <definedName name="_4322_A">#REF!</definedName>
    <definedName name="_4323_">#REF!</definedName>
    <definedName name="_4323_A">#REF!</definedName>
    <definedName name="_4324_">#REF!</definedName>
    <definedName name="_4324_A">#REF!</definedName>
    <definedName name="_4325_">#REF!</definedName>
    <definedName name="_4325_A">#REF!</definedName>
    <definedName name="_4326_">#REF!</definedName>
    <definedName name="_4326_A">#REF!</definedName>
    <definedName name="_4327_">#REF!</definedName>
    <definedName name="_4327_A">#REF!</definedName>
    <definedName name="_4328_">#REF!</definedName>
    <definedName name="_4328_A">#REF!</definedName>
    <definedName name="_4329_">#REF!</definedName>
    <definedName name="_4329_A">#REF!</definedName>
    <definedName name="_4330_">#REF!</definedName>
    <definedName name="_4330_A">#REF!</definedName>
    <definedName name="_4332_">#REF!</definedName>
    <definedName name="_4332_A">#REF!</definedName>
    <definedName name="_4334_">#REF!</definedName>
    <definedName name="_4334_A">#REF!</definedName>
    <definedName name="_4336_">#REF!</definedName>
    <definedName name="_4336_A">#REF!</definedName>
    <definedName name="_4337_">#REF!</definedName>
    <definedName name="_4337_A">#REF!</definedName>
    <definedName name="_4339_">#REF!</definedName>
    <definedName name="_4339_A">#REF!</definedName>
    <definedName name="_4340_">#REF!</definedName>
    <definedName name="_4340_A">#REF!</definedName>
    <definedName name="_4344_">#REF!</definedName>
    <definedName name="_4344_A">#REF!</definedName>
    <definedName name="_4346_">#REF!</definedName>
    <definedName name="_4346_A">#REF!</definedName>
    <definedName name="_4347_">#REF!</definedName>
    <definedName name="_4347_A">#REF!</definedName>
    <definedName name="_4349_">#REF!</definedName>
    <definedName name="_4349_A">#REF!</definedName>
    <definedName name="_4351_">#REF!</definedName>
    <definedName name="_4351_A">#REF!</definedName>
    <definedName name="_4352_">#REF!</definedName>
    <definedName name="_4352_A">#REF!</definedName>
    <definedName name="_4353_">#REF!</definedName>
    <definedName name="_4353_A">#REF!</definedName>
    <definedName name="_4354_">#REF!</definedName>
    <definedName name="_4354_A">#REF!</definedName>
    <definedName name="_43two" localSheetId="3">#REF!</definedName>
    <definedName name="_43two" localSheetId="4">#REF!</definedName>
    <definedName name="_43two">#REF!</definedName>
    <definedName name="_4411_">#REF!</definedName>
    <definedName name="_4411_A">#REF!</definedName>
    <definedName name="_4412_">#REF!</definedName>
    <definedName name="_4412_A">#REF!</definedName>
    <definedName name="_4413_">#REF!</definedName>
    <definedName name="_4413_A">#REF!</definedName>
    <definedName name="_4416_">#REF!</definedName>
    <definedName name="_4416_A">#REF!</definedName>
    <definedName name="_4417_">#REF!</definedName>
    <definedName name="_4417_A">#REF!</definedName>
    <definedName name="_4418_">#REF!</definedName>
    <definedName name="_4418_A">#REF!</definedName>
    <definedName name="_4419_">#REF!</definedName>
    <definedName name="_4419_A">#REF!</definedName>
    <definedName name="_4427_">#REF!</definedName>
    <definedName name="_4427_A">#REF!</definedName>
    <definedName name="_4428_">#REF!</definedName>
    <definedName name="_4428_A">#REF!</definedName>
    <definedName name="_4429_">#REF!</definedName>
    <definedName name="_4429_A">#REF!</definedName>
    <definedName name="_4430_">#REF!</definedName>
    <definedName name="_4430_A">#REF!</definedName>
    <definedName name="_4431_">#REF!</definedName>
    <definedName name="_4431_A">#REF!</definedName>
    <definedName name="_4432_">#REF!</definedName>
    <definedName name="_4432_A">#REF!</definedName>
    <definedName name="_4433_">#REF!</definedName>
    <definedName name="_4433_A">#REF!</definedName>
    <definedName name="_4435_">#REF!</definedName>
    <definedName name="_4435_A">#REF!</definedName>
    <definedName name="_4437_">#REF!</definedName>
    <definedName name="_4437_A">#REF!</definedName>
    <definedName name="_4438_">#REF!</definedName>
    <definedName name="_4438_A">#REF!</definedName>
    <definedName name="_4439_">#REF!</definedName>
    <definedName name="_4439_A">#REF!</definedName>
    <definedName name="_4441_">#REF!</definedName>
    <definedName name="_4441_A">#REF!</definedName>
    <definedName name="_4442_">#REF!</definedName>
    <definedName name="_4442_A">#REF!</definedName>
    <definedName name="_4444_">#REF!</definedName>
    <definedName name="_4444_A">#REF!</definedName>
    <definedName name="_4445_">#REF!</definedName>
    <definedName name="_4445_A">#REF!</definedName>
    <definedName name="_4446_">#REF!</definedName>
    <definedName name="_4446_A">#REF!</definedName>
    <definedName name="_4447_">#REF!</definedName>
    <definedName name="_4447_A">#REF!</definedName>
    <definedName name="_4448_">#REF!</definedName>
    <definedName name="_4448_A">#REF!</definedName>
    <definedName name="_4449_">#REF!</definedName>
    <definedName name="_4449_A">#REF!</definedName>
    <definedName name="_4450_">#REF!</definedName>
    <definedName name="_4450_A">#REF!</definedName>
    <definedName name="_4451_">#REF!</definedName>
    <definedName name="_4451_A">#REF!</definedName>
    <definedName name="_4452_">#REF!</definedName>
    <definedName name="_4452_A">#REF!</definedName>
    <definedName name="_4454_">#REF!</definedName>
    <definedName name="_4454_A">#REF!</definedName>
    <definedName name="_4455_">#REF!</definedName>
    <definedName name="_4455_A">#REF!</definedName>
    <definedName name="_4456_">#REF!</definedName>
    <definedName name="_4456_A">#REF!</definedName>
    <definedName name="_4458_">#REF!</definedName>
    <definedName name="_4458_A">#REF!</definedName>
    <definedName name="_4460_">#REF!</definedName>
    <definedName name="_4460_A">#REF!</definedName>
    <definedName name="_4464_">#REF!</definedName>
    <definedName name="_4464_A">#REF!</definedName>
    <definedName name="_4465_">#REF!</definedName>
    <definedName name="_4465_A">#REF!</definedName>
    <definedName name="_4471_">#REF!</definedName>
    <definedName name="_4471_A">#REF!</definedName>
    <definedName name="_4472_">#REF!</definedName>
    <definedName name="_4472_A">#REF!</definedName>
    <definedName name="_4474_">#REF!</definedName>
    <definedName name="_4474_A">#REF!</definedName>
    <definedName name="_4475_">#REF!</definedName>
    <definedName name="_4475_A">#REF!</definedName>
    <definedName name="_4477_">#REF!</definedName>
    <definedName name="_4477_A">#REF!</definedName>
    <definedName name="_4481_">#REF!</definedName>
    <definedName name="_4481_A">#REF!</definedName>
    <definedName name="_4484_">#REF!</definedName>
    <definedName name="_4484_A">#REF!</definedName>
    <definedName name="_4485_">#REF!</definedName>
    <definedName name="_4485_A">#REF!</definedName>
    <definedName name="_4486_">#REF!</definedName>
    <definedName name="_4486_A">#REF!</definedName>
    <definedName name="_4487_">#REF!</definedName>
    <definedName name="_4487_A">#REF!</definedName>
    <definedName name="_4488_">#REF!</definedName>
    <definedName name="_4488_A">#REF!</definedName>
    <definedName name="_4491_">#REF!</definedName>
    <definedName name="_4491_A">#REF!</definedName>
    <definedName name="_4493_">#REF!</definedName>
    <definedName name="_4493_A">#REF!</definedName>
    <definedName name="_4494_">#REF!</definedName>
    <definedName name="_4494_A">#REF!</definedName>
    <definedName name="_4495_">#REF!</definedName>
    <definedName name="_4495_A">#REF!</definedName>
    <definedName name="_4496_">#REF!</definedName>
    <definedName name="_4496_A">#REF!</definedName>
    <definedName name="_4497_">#REF!</definedName>
    <definedName name="_4497_A">#REF!</definedName>
    <definedName name="_4499_">#REF!</definedName>
    <definedName name="_4499_A">#REF!</definedName>
    <definedName name="_44twoz" localSheetId="3">#REF!</definedName>
    <definedName name="_44twoz" localSheetId="4">#REF!</definedName>
    <definedName name="_44twoz">#REF!</definedName>
    <definedName name="_4500_">#REF!</definedName>
    <definedName name="_4500_A">#REF!</definedName>
    <definedName name="_4501_">#REF!</definedName>
    <definedName name="_4501_A">#REF!</definedName>
    <definedName name="_4502_">#REF!</definedName>
    <definedName name="_4502_A">#REF!</definedName>
    <definedName name="_4507_">#REF!</definedName>
    <definedName name="_4507_A">#REF!</definedName>
    <definedName name="_4509_">#REF!</definedName>
    <definedName name="_4509_A">#REF!</definedName>
    <definedName name="_4511_">#REF!</definedName>
    <definedName name="_4511_A">#REF!</definedName>
    <definedName name="_4513_">#REF!</definedName>
    <definedName name="_4513_A">#REF!</definedName>
    <definedName name="_4514_">#REF!</definedName>
    <definedName name="_4514_A">#REF!</definedName>
    <definedName name="_4515_">#REF!</definedName>
    <definedName name="_4515_A">#REF!</definedName>
    <definedName name="_4516_">#REF!</definedName>
    <definedName name="_4516_A">#REF!</definedName>
    <definedName name="_4519_">#REF!</definedName>
    <definedName name="_4519_A">#REF!</definedName>
    <definedName name="_4520_">#REF!</definedName>
    <definedName name="_4520_A">#REF!</definedName>
    <definedName name="_4521_">#REF!</definedName>
    <definedName name="_4521_A">#REF!</definedName>
    <definedName name="_4522_">#REF!</definedName>
    <definedName name="_4522_A">#REF!</definedName>
    <definedName name="_4524_">#REF!</definedName>
    <definedName name="_4524_A">#REF!</definedName>
    <definedName name="_4525_">#REF!</definedName>
    <definedName name="_4525_A">#REF!</definedName>
    <definedName name="_4529_">#REF!</definedName>
    <definedName name="_4529_A">#REF!</definedName>
    <definedName name="_4530_">#REF!</definedName>
    <definedName name="_4530_A">#REF!</definedName>
    <definedName name="_4535_">#REF!</definedName>
    <definedName name="_4535_A">#REF!</definedName>
    <definedName name="_4541_">#REF!</definedName>
    <definedName name="_4541_A">#REF!</definedName>
    <definedName name="_4542_">#REF!</definedName>
    <definedName name="_4542_A">#REF!</definedName>
    <definedName name="_4543_">#REF!</definedName>
    <definedName name="_4543_A">#REF!</definedName>
    <definedName name="_4544_">#REF!</definedName>
    <definedName name="_4544_A">#REF!</definedName>
    <definedName name="_4545_">#REF!</definedName>
    <definedName name="_4545_A">#REF!</definedName>
    <definedName name="_4549_">#REF!</definedName>
    <definedName name="_4549_A">#REF!</definedName>
    <definedName name="_4552_">#REF!</definedName>
    <definedName name="_4552_A">#REF!</definedName>
    <definedName name="_4553_">#REF!</definedName>
    <definedName name="_4553_A">#REF!</definedName>
    <definedName name="_4554_">#REF!</definedName>
    <definedName name="_4554_A">#REF!</definedName>
    <definedName name="_4555_">#REF!</definedName>
    <definedName name="_4555_A">#REF!</definedName>
    <definedName name="_4561_">#REF!</definedName>
    <definedName name="_4561_A">#REF!</definedName>
    <definedName name="_4563_">#REF!</definedName>
    <definedName name="_4563_A">#REF!</definedName>
    <definedName name="_4565_">#REF!</definedName>
    <definedName name="_4565_A">#REF!</definedName>
    <definedName name="_4566_">#REF!</definedName>
    <definedName name="_4566_A">#REF!</definedName>
    <definedName name="_4569_">#REF!</definedName>
    <definedName name="_4569_A">#REF!</definedName>
    <definedName name="_4570_">#REF!</definedName>
    <definedName name="_4570_A">#REF!</definedName>
    <definedName name="_4572_">#REF!</definedName>
    <definedName name="_4572_A">#REF!</definedName>
    <definedName name="_4573_">#REF!</definedName>
    <definedName name="_4573_A">#REF!</definedName>
    <definedName name="_4574_">#REF!</definedName>
    <definedName name="_4574_A">#REF!</definedName>
    <definedName name="_4575_">#REF!</definedName>
    <definedName name="_4575_A">#REF!</definedName>
    <definedName name="_4576_">#REF!</definedName>
    <definedName name="_4576_A">#REF!</definedName>
    <definedName name="_4577_">#REF!</definedName>
    <definedName name="_4577_A">#REF!</definedName>
    <definedName name="_4578_">#REF!</definedName>
    <definedName name="_4578_A">#REF!</definedName>
    <definedName name="_4579_">#REF!</definedName>
    <definedName name="_4579_A">#REF!</definedName>
    <definedName name="_4580_">#REF!</definedName>
    <definedName name="_4580_A">#REF!</definedName>
    <definedName name="_4586_">#REF!</definedName>
    <definedName name="_4586_A">#REF!</definedName>
    <definedName name="_4587_">#REF!</definedName>
    <definedName name="_4587_A">#REF!</definedName>
    <definedName name="_4588_">#REF!</definedName>
    <definedName name="_4588_A">#REF!</definedName>
    <definedName name="_4589_">#REF!</definedName>
    <definedName name="_4589_A">#REF!</definedName>
    <definedName name="_4591_">#REF!</definedName>
    <definedName name="_4591_A">#REF!</definedName>
    <definedName name="_4592_">#REF!</definedName>
    <definedName name="_4592_A">#REF!</definedName>
    <definedName name="_4596_">#REF!</definedName>
    <definedName name="_4596_A">#REF!</definedName>
    <definedName name="_4599_">#REF!</definedName>
    <definedName name="_4599_A">#REF!</definedName>
    <definedName name="_45wa" localSheetId="3">#REF!</definedName>
    <definedName name="_45wa" localSheetId="4">#REF!</definedName>
    <definedName name="_45wa">#REF!</definedName>
    <definedName name="_4600_">#REF!</definedName>
    <definedName name="_4600_A">#REF!</definedName>
    <definedName name="_4602_">#REF!</definedName>
    <definedName name="_4602_A">#REF!</definedName>
    <definedName name="_4606_">#REF!</definedName>
    <definedName name="_4606_A">#REF!</definedName>
    <definedName name="_4607_">#REF!</definedName>
    <definedName name="_4607_A">#REF!</definedName>
    <definedName name="_4608_">#REF!</definedName>
    <definedName name="_4608_A">#REF!</definedName>
    <definedName name="_4610_">#REF!</definedName>
    <definedName name="_4610_A">#REF!</definedName>
    <definedName name="_4611_">#REF!</definedName>
    <definedName name="_4611_A">#REF!</definedName>
    <definedName name="_4612_">#REF!</definedName>
    <definedName name="_4612_A">#REF!</definedName>
    <definedName name="_4613_">#REF!</definedName>
    <definedName name="_4613_A">#REF!</definedName>
    <definedName name="_4614_">#REF!</definedName>
    <definedName name="_4614_A">#REF!</definedName>
    <definedName name="_4615_">#REF!</definedName>
    <definedName name="_4615_A">#REF!</definedName>
    <definedName name="_4617_">#REF!</definedName>
    <definedName name="_4617_A">#REF!</definedName>
    <definedName name="_4621_">#REF!</definedName>
    <definedName name="_4621_A">#REF!</definedName>
    <definedName name="_4625_">#REF!</definedName>
    <definedName name="_4625_A">#REF!</definedName>
    <definedName name="_4626_">#REF!</definedName>
    <definedName name="_4626_A">#REF!</definedName>
    <definedName name="_4627_">#REF!</definedName>
    <definedName name="_4627_A">#REF!</definedName>
    <definedName name="_4628_">#REF!</definedName>
    <definedName name="_4628_A">#REF!</definedName>
    <definedName name="_4629_">#REF!</definedName>
    <definedName name="_4629_A">#REF!</definedName>
    <definedName name="_4635_">#REF!</definedName>
    <definedName name="_4635_A">#REF!</definedName>
    <definedName name="_4636_">#REF!</definedName>
    <definedName name="_4636_A">#REF!</definedName>
    <definedName name="_4637_">#REF!</definedName>
    <definedName name="_4637_A">#REF!</definedName>
    <definedName name="_4638_">#REF!</definedName>
    <definedName name="_4638_A">#REF!</definedName>
    <definedName name="_4639_">#REF!</definedName>
    <definedName name="_4639_A">#REF!</definedName>
    <definedName name="_4641_">#REF!</definedName>
    <definedName name="_4641_A">#REF!</definedName>
    <definedName name="_47.IMP._ISOLA.">#REF!</definedName>
    <definedName name="_4dr" localSheetId="3">#REF!</definedName>
    <definedName name="_4dr" localSheetId="4">#REF!</definedName>
    <definedName name="_4dr">#REF!</definedName>
    <definedName name="_4RiskStatFunctionsUpdateFr_q">1</definedName>
    <definedName name="_5__123Graph_XCHART_1" localSheetId="3" hidden="1">#REF!</definedName>
    <definedName name="_5__123Graph_XCHART_1" localSheetId="4" hidden="1">#REF!</definedName>
    <definedName name="_5__123Graph_X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5e" localSheetId="3">#REF!</definedName>
    <definedName name="_5e" localSheetId="4">#REF!</definedName>
    <definedName name="_5e">#REF!</definedName>
    <definedName name="_60_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6eight" localSheetId="3">#REF!</definedName>
    <definedName name="_6eight" localSheetId="4">#REF!</definedName>
    <definedName name="_6eight">#REF!</definedName>
    <definedName name="_71_73.I.ELET_H">#REF!</definedName>
    <definedName name="_77.OUTRAS_INST.">#REF!</definedName>
    <definedName name="_78.ELEVADORES">#REF!</definedName>
    <definedName name="_7eightei" localSheetId="3">#REF!</definedName>
    <definedName name="_7eightei" localSheetId="4">#REF!</definedName>
    <definedName name="_7eightei">#REF!</definedName>
    <definedName name="_81.APAR._SANIT">#REF!</definedName>
    <definedName name="_83_85.PINT_LIM">#REF!</definedName>
    <definedName name="_8eightf" localSheetId="3">#REF!</definedName>
    <definedName name="_8eightf" localSheetId="4">#REF!</definedName>
    <definedName name="_8eightf">#REF!</definedName>
    <definedName name="_9eightn" localSheetId="3">#REF!</definedName>
    <definedName name="_9eightn" localSheetId="4">#REF!</definedName>
    <definedName name="_9eightn">#REF!</definedName>
    <definedName name="_A">#REF!</definedName>
    <definedName name="_A1">#REF!</definedName>
    <definedName name="_cab1">#REF!</definedName>
    <definedName name="_COM">#REF!</definedName>
    <definedName name="_COM010201">#REF!</definedName>
    <definedName name="_COM010202">#REF!</definedName>
    <definedName name="_COM010205">#REF!</definedName>
    <definedName name="_COM010206">#REF!</definedName>
    <definedName name="_COM010207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compila">#REF!</definedName>
    <definedName name="_D3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6" localSheetId="11">{0;0;0;0;9;#N/A;0.75;0.75;1;1;1;FALSE;FALSE;FALSE;FALSE;FALSE;#N/A;1;100;#N/A;#N/A;"&amp;A";"Page &amp;P"}</definedName>
    <definedName name="_D6" localSheetId="3">{0;0;0;0;9;#N/A;0.75;0.75;1;1;1;FALSE;FALSE;FALSE;FALSE;FALSE;#N/A;1;100;#N/A;#N/A;"&amp;A";"Page &amp;P"}</definedName>
    <definedName name="_D6" localSheetId="2">{0;0;0;0;9;#N/A;0.75;0.75;1;1;1;FALSE;FALSE;FALSE;FALSE;FALSE;#N/A;1;100;#N/A;#N/A;"&amp;A";"Page &amp;P"}</definedName>
    <definedName name="_D6" localSheetId="0">{0;0;0;0;9;#N/A;0.75;0.75;1;1;1;FALSE;FALSE;FALSE;FALSE;FALSE;#N/A;1;100;#N/A;#N/A;"&amp;A";"Page &amp;P"}</definedName>
    <definedName name="_D6" localSheetId="4">{0;0;0;0;9;#N/A;0.75;0.75;1;1;1;FALSE;FALSE;FALSE;FALSE;FALSE;#N/A;1;100;#N/A;#N/A;"&amp;A";"Page &amp;P"}</definedName>
    <definedName name="_D6">{0;0;0;0;9;#N/A;0.75;0.75;1;1;1;FALSE;FALSE;FALSE;FALSE;FALSE;#N/A;1;100;#N/A;#N/A;"&amp;A";"Page &amp;P"}</definedName>
    <definedName name="_D7" localSheetId="11">{0;0;0;0;9;#N/A;0.75;0.75;1;1;1;FALSE;FALSE;FALSE;FALSE;FALSE;#N/A;1;100;#N/A;#N/A;"&amp;A";"Page &amp;P"}</definedName>
    <definedName name="_D7" localSheetId="3">{0;0;0;0;9;#N/A;0.75;0.75;1;1;1;FALSE;FALSE;FALSE;FALSE;FALSE;#N/A;1;100;#N/A;#N/A;"&amp;A";"Page &amp;P"}</definedName>
    <definedName name="_D7" localSheetId="2">{0;0;0;0;9;#N/A;0.75;0.75;1;1;1;FALSE;FALSE;FALSE;FALSE;FALSE;#N/A;1;100;#N/A;#N/A;"&amp;A";"Page &amp;P"}</definedName>
    <definedName name="_D7" localSheetId="0">{0;0;0;0;9;#N/A;0.75;0.75;1;1;1;FALSE;FALSE;FALSE;FALSE;FALSE;#N/A;1;100;#N/A;#N/A;"&amp;A";"Page &amp;P"}</definedName>
    <definedName name="_D7" localSheetId="4">{0;0;0;0;9;#N/A;0.75;0.75;1;1;1;FALSE;FALSE;FALSE;FALSE;FALSE;#N/A;1;100;#N/A;#N/A;"&amp;A";"Page &amp;P"}</definedName>
    <definedName name="_D7">{0;0;0;0;9;#N/A;0.75;0.75;1;1;1;FALSE;FALSE;FALSE;FALSE;FALSE;#N/A;1;100;#N/A;#N/A;"&amp;A";"Page &amp;P"}</definedName>
    <definedName name="_D8" localSheetId="11">{0;0;0;0;9;#N/A;0.75;0.75;1;1;1;FALSE;FALSE;FALSE;FALSE;FALSE;#N/A;1;100;#N/A;#N/A;"&amp;A";"Page &amp;P"}</definedName>
    <definedName name="_D8" localSheetId="3">{0;0;0;0;9;#N/A;0.75;0.75;1;1;1;FALSE;FALSE;FALSE;FALSE;FALSE;#N/A;1;100;#N/A;#N/A;"&amp;A";"Page &amp;P"}</definedName>
    <definedName name="_D8" localSheetId="2">{0;0;0;0;9;#N/A;0.75;0.75;1;1;1;FALSE;FALSE;FALSE;FALSE;FALSE;#N/A;1;100;#N/A;#N/A;"&amp;A";"Page &amp;P"}</definedName>
    <definedName name="_D8" localSheetId="0">{0;0;0;0;9;#N/A;0.75;0.75;1;1;1;FALSE;FALSE;FALSE;FALSE;FALSE;#N/A;1;100;#N/A;#N/A;"&amp;A";"Page &amp;P"}</definedName>
    <definedName name="_D8" localSheetId="4">{0;0;0;0;9;#N/A;0.75;0.75;1;1;1;FALSE;FALSE;FALSE;FALSE;FALSE;#N/A;1;100;#N/A;#N/A;"&amp;A";"Page &amp;P"}</definedName>
    <definedName name="_D8">{0;0;0;0;9;#N/A;0.75;0.75;1;1;1;FALSE;FALSE;FALSE;FALSE;FALSE;#N/A;1;100;#N/A;#N/A;"&amp;A";"Page &amp;P"}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'Base_Resultado Mensal_V2'!$A$2:$O$295</definedName>
    <definedName name="_xlnm._FilterDatabase" localSheetId="13" hidden="1">'FATURAS Analitico CENTRO CUSTO '!$A$1:$I$525</definedName>
    <definedName name="_xlnm._FilterDatabase" localSheetId="12" hidden="1">'Resumo_Recebidas 2025_2026'!$A$1:$K$105</definedName>
    <definedName name="_GLB2">#REF!</definedName>
    <definedName name="_i3">#REF!</definedName>
    <definedName name="_INV12">#REF!</definedName>
    <definedName name="_INV13">#REF!</definedName>
    <definedName name="_inv2" localSheetId="3">#REF!</definedName>
    <definedName name="_inv2" localSheetId="4">#REF!</definedName>
    <definedName name="_inv2">#REF!</definedName>
    <definedName name="_ISS_">#REF!</definedName>
    <definedName name="_j" hidden="1">#REF!</definedName>
    <definedName name="_Key1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3865">#REF!</definedName>
    <definedName name="_oae1">#REF!</definedName>
    <definedName name="_Order1" hidden="1">255</definedName>
    <definedName name="_Order2" hidden="1">255</definedName>
    <definedName name="_P00Balance">#REF!</definedName>
    <definedName name="_P00Cash">#REF!</definedName>
    <definedName name="_P00Debt">#REF!</definedName>
    <definedName name="_P00debt1">#REF!</definedName>
    <definedName name="_P00debt2">#REF!</definedName>
    <definedName name="_P00Deprec.">#REF!</definedName>
    <definedName name="_Parse_Out" hidden="1">#REF!</definedName>
    <definedName name="_pav1">#REF!</definedName>
    <definedName name="_PM1">#REF!</definedName>
    <definedName name="_PM2">#REF!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e1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1" localSheetId="11">{0;0;0;0;9;#N/A;0.75;0.75;1;1;1;FALSE;FALSE;FALSE;FALSE;FALSE;#N/A;1;100;#N/A;#N/A;"&amp;A";"Page &amp;P"}</definedName>
    <definedName name="_qe11" localSheetId="3">{0;0;0;0;9;#N/A;0.75;0.75;1;1;1;FALSE;FALSE;FALSE;FALSE;FALSE;#N/A;1;100;#N/A;#N/A;"&amp;A";"Page &amp;P"}</definedName>
    <definedName name="_qe11" localSheetId="2">{0;0;0;0;9;#N/A;0.75;0.75;1;1;1;FALSE;FALSE;FALSE;FALSE;FALSE;#N/A;1;100;#N/A;#N/A;"&amp;A";"Page &amp;P"}</definedName>
    <definedName name="_qe11" localSheetId="0">{0;0;0;0;9;#N/A;0.75;0.75;1;1;1;FALSE;FALSE;FALSE;FALSE;FALSE;#N/A;1;100;#N/A;#N/A;"&amp;A";"Page &amp;P"}</definedName>
    <definedName name="_qe11" localSheetId="4">{0;0;0;0;9;#N/A;0.75;0.75;1;1;1;FALSE;FALSE;FALSE;FALSE;FALSE;#N/A;1;100;#N/A;#N/A;"&amp;A";"Page &amp;P"}</definedName>
    <definedName name="_qe11">{0;0;0;0;9;#N/A;0.75;0.75;1;1;1;FALSE;FALSE;FALSE;FALSE;FALSE;#N/A;1;100;#N/A;#N/A;"&amp;A";"Page &amp;P"}</definedName>
    <definedName name="_qe2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4" localSheetId="11">{0;0;0;0;9;#N/A;0.75;0.75;1;1;1;FALSE;FALSE;FALSE;FALSE;FALSE;#N/A;1;100;#N/A;#N/A;"&amp;A";"Page &amp;P"}</definedName>
    <definedName name="_qe4" localSheetId="3">{0;0;0;0;9;#N/A;0.75;0.75;1;1;1;FALSE;FALSE;FALSE;FALSE;FALSE;#N/A;1;100;#N/A;#N/A;"&amp;A";"Page &amp;P"}</definedName>
    <definedName name="_qe4" localSheetId="2">{0;0;0;0;9;#N/A;0.75;0.75;1;1;1;FALSE;FALSE;FALSE;FALSE;FALSE;#N/A;1;100;#N/A;#N/A;"&amp;A";"Page &amp;P"}</definedName>
    <definedName name="_qe4" localSheetId="0">{0;0;0;0;9;#N/A;0.75;0.75;1;1;1;FALSE;FALSE;FALSE;FALSE;FALSE;#N/A;1;100;#N/A;#N/A;"&amp;A";"Page &amp;P"}</definedName>
    <definedName name="_qe4" localSheetId="4">{0;0;0;0;9;#N/A;0.75;0.75;1;1;1;FALSE;FALSE;FALSE;FALSE;FALSE;#N/A;1;100;#N/A;#N/A;"&amp;A";"Page &amp;P"}</definedName>
    <definedName name="_qe4">{0;0;0;0;9;#N/A;0.75;0.75;1;1;1;FALSE;FALSE;FALSE;FALSE;FALSE;#N/A;1;100;#N/A;#N/A;"&amp;A";"Page &amp;P"}</definedName>
    <definedName name="_qe5" localSheetId="11">{0;0;0;0;9;#N/A;0.75;0.75;1;1;1;FALSE;FALSE;FALSE;FALSE;FALSE;#N/A;1;100;#N/A;#N/A;"&amp;A";"Page &amp;P"}</definedName>
    <definedName name="_qe5" localSheetId="3">{0;0;0;0;9;#N/A;0.75;0.75;1;1;1;FALSE;FALSE;FALSE;FALSE;FALSE;#N/A;1;100;#N/A;#N/A;"&amp;A";"Page &amp;P"}</definedName>
    <definedName name="_qe5" localSheetId="2">{0;0;0;0;9;#N/A;0.75;0.75;1;1;1;FALSE;FALSE;FALSE;FALSE;FALSE;#N/A;1;100;#N/A;#N/A;"&amp;A";"Page &amp;P"}</definedName>
    <definedName name="_qe5" localSheetId="0">{0;0;0;0;9;#N/A;0.75;0.75;1;1;1;FALSE;FALSE;FALSE;FALSE;FALSE;#N/A;1;100;#N/A;#N/A;"&amp;A";"Page &amp;P"}</definedName>
    <definedName name="_qe5" localSheetId="4">{0;0;0;0;9;#N/A;0.75;0.75;1;1;1;FALSE;FALSE;FALSE;FALSE;FALSE;#N/A;1;100;#N/A;#N/A;"&amp;A";"Page &amp;P"}</definedName>
    <definedName name="_qe5">{0;0;0;0;9;#N/A;0.75;0.75;1;1;1;FALSE;FALSE;FALSE;FALSE;FALSE;#N/A;1;100;#N/A;#N/A;"&amp;A";"Page &amp;P"}</definedName>
    <definedName name="_qe6" localSheetId="11">{0;0;0;0;9;#N/A;0.75;0.75;1;1;1;FALSE;FALSE;FALSE;FALSE;FALSE;#N/A;1;100;#N/A;#N/A;"&amp;A";"Page &amp;P"}</definedName>
    <definedName name="_qe6" localSheetId="3">{0;0;0;0;9;#N/A;0.75;0.75;1;1;1;FALSE;FALSE;FALSE;FALSE;FALSE;#N/A;1;100;#N/A;#N/A;"&amp;A";"Page &amp;P"}</definedName>
    <definedName name="_qe6" localSheetId="2">{0;0;0;0;9;#N/A;0.75;0.75;1;1;1;FALSE;FALSE;FALSE;FALSE;FALSE;#N/A;1;100;#N/A;#N/A;"&amp;A";"Page &amp;P"}</definedName>
    <definedName name="_qe6" localSheetId="0">{0;0;0;0;9;#N/A;0.75;0.75;1;1;1;FALSE;FALSE;FALSE;FALSE;FALSE;#N/A;1;100;#N/A;#N/A;"&amp;A";"Page &amp;P"}</definedName>
    <definedName name="_qe6" localSheetId="4">{0;0;0;0;9;#N/A;0.75;0.75;1;1;1;FALSE;FALSE;FALSE;FALSE;FALSE;#N/A;1;100;#N/A;#N/A;"&amp;A";"Page &amp;P"}</definedName>
    <definedName name="_qe6">{0;0;0;0;9;#N/A;0.75;0.75;1;1;1;FALSE;FALSE;FALSE;FALSE;FALSE;#N/A;1;100;#N/A;#N/A;"&amp;A";"Page &amp;P"}</definedName>
    <definedName name="_qe7" localSheetId="1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8" localSheetId="1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9" localSheetId="11">{0;0;0;0;258;#N/A;0.75;0.75;1;1;2;FALSE;FALSE;FALSE;FALSE;FALSE;#N/A;1;#N/A;1;1;"&amp;A";"Page &amp;P"}</definedName>
    <definedName name="_qe9" localSheetId="3">{0;0;0;0;258;#N/A;0.75;0.75;1;1;2;FALSE;FALSE;FALSE;FALSE;FALSE;#N/A;1;#N/A;1;1;"&amp;A";"Page &amp;P"}</definedName>
    <definedName name="_qe9" localSheetId="2">{0;0;0;0;258;#N/A;0.75;0.75;1;1;2;FALSE;FALSE;FALSE;FALSE;FALSE;#N/A;1;#N/A;1;1;"&amp;A";"Page &amp;P"}</definedName>
    <definedName name="_qe9" localSheetId="0">{0;0;0;0;258;#N/A;0.75;0.75;1;1;2;FALSE;FALSE;FALSE;FALSE;FALSE;#N/A;1;#N/A;1;1;"&amp;A";"Page &amp;P"}</definedName>
    <definedName name="_qe9" localSheetId="4">{0;0;0;0;258;#N/A;0.75;0.75;1;1;2;FALSE;FALSE;FALSE;FALSE;FALSE;#N/A;1;#N/A;1;1;"&amp;A";"Page &amp;P"}</definedName>
    <definedName name="_qe9">{0;0;0;0;258;#N/A;0.75;0.75;1;1;2;FALSE;FALSE;FALSE;FALSE;FALSE;#N/A;1;#N/A;1;1;"&amp;A";"Page &amp;P"}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qw1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r">#N/A</definedName>
    <definedName name="_RC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port">0</definedName>
    <definedName name="_RES1">#N/A</definedName>
    <definedName name="_Res99">#REF!</definedName>
    <definedName name="_RET1" localSheetId="3">#REF!</definedName>
    <definedName name="_RET1" localSheetId="4">#REF!</definedName>
    <definedName name="_RET1">#REF!</definedName>
    <definedName name="_Sort" hidden="1">#REF!</definedName>
    <definedName name="_svi2">#REF!</definedName>
    <definedName name="_Table1_In1" hidden="1">#REF!</definedName>
    <definedName name="_Table1_Out" hidden="1">#REF!</definedName>
    <definedName name="_ter1">#REF!</definedName>
    <definedName name="_TT102" localSheetId="3">#REF!</definedName>
    <definedName name="_TT102" localSheetId="4">#REF!</definedName>
    <definedName name="_TT102">#REF!</definedName>
    <definedName name="_TT107" localSheetId="3">#REF!</definedName>
    <definedName name="_TT107" localSheetId="4">#REF!</definedName>
    <definedName name="_TT107">#REF!</definedName>
    <definedName name="_TT121" localSheetId="3">#REF!</definedName>
    <definedName name="_TT121" localSheetId="4">#REF!</definedName>
    <definedName name="_TT121">#REF!</definedName>
    <definedName name="_TT123" localSheetId="3">#REF!</definedName>
    <definedName name="_TT123" localSheetId="4">#REF!</definedName>
    <definedName name="_TT123">#REF!</definedName>
    <definedName name="_TT19" localSheetId="3">#REF!</definedName>
    <definedName name="_TT19" localSheetId="4">#REF!</definedName>
    <definedName name="_TT19">#REF!</definedName>
    <definedName name="_TT20" localSheetId="3">#REF!</definedName>
    <definedName name="_TT20" localSheetId="4">#REF!</definedName>
    <definedName name="_TT20">#REF!</definedName>
    <definedName name="_TT21" localSheetId="3">#REF!</definedName>
    <definedName name="_TT21" localSheetId="4">#REF!</definedName>
    <definedName name="_TT21">#REF!</definedName>
    <definedName name="_TT22" localSheetId="3">#REF!</definedName>
    <definedName name="_TT22" localSheetId="4">#REF!</definedName>
    <definedName name="_TT22">#REF!</definedName>
    <definedName name="_TT26" localSheetId="3">#REF!</definedName>
    <definedName name="_TT26" localSheetId="4">#REF!</definedName>
    <definedName name="_TT26">#REF!</definedName>
    <definedName name="_TT27" localSheetId="3">#REF!</definedName>
    <definedName name="_TT27" localSheetId="4">#REF!</definedName>
    <definedName name="_TT27">#REF!</definedName>
    <definedName name="_TT28" localSheetId="3">#REF!</definedName>
    <definedName name="_TT28" localSheetId="4">#REF!</definedName>
    <definedName name="_TT28">#REF!</definedName>
    <definedName name="_TT30" localSheetId="3">#REF!</definedName>
    <definedName name="_TT30" localSheetId="4">#REF!</definedName>
    <definedName name="_TT30">#REF!</definedName>
    <definedName name="_TT31" localSheetId="3">#REF!</definedName>
    <definedName name="_TT31" localSheetId="4">#REF!</definedName>
    <definedName name="_TT31">#REF!</definedName>
    <definedName name="_TT32" localSheetId="3">#REF!</definedName>
    <definedName name="_TT32" localSheetId="4">#REF!</definedName>
    <definedName name="_TT32">#REF!</definedName>
    <definedName name="_TT33" localSheetId="3">#REF!</definedName>
    <definedName name="_TT33" localSheetId="4">#REF!</definedName>
    <definedName name="_TT33">#REF!</definedName>
    <definedName name="_TT34" localSheetId="3">#REF!</definedName>
    <definedName name="_TT34" localSheetId="4">#REF!</definedName>
    <definedName name="_TT34">#REF!</definedName>
    <definedName name="_TT36" localSheetId="3">#REF!</definedName>
    <definedName name="_TT36" localSheetId="4">#REF!</definedName>
    <definedName name="_TT36">#REF!</definedName>
    <definedName name="_TT37" localSheetId="3">#REF!</definedName>
    <definedName name="_TT37" localSheetId="4">#REF!</definedName>
    <definedName name="_TT37">#REF!</definedName>
    <definedName name="_TT38" localSheetId="3">#REF!</definedName>
    <definedName name="_TT38" localSheetId="4">#REF!</definedName>
    <definedName name="_TT38">#REF!</definedName>
    <definedName name="_TT39" localSheetId="3">#REF!</definedName>
    <definedName name="_TT39" localSheetId="4">#REF!</definedName>
    <definedName name="_TT39">#REF!</definedName>
    <definedName name="_TT40" localSheetId="3">#REF!</definedName>
    <definedName name="_TT40" localSheetId="4">#REF!</definedName>
    <definedName name="_TT40">#REF!</definedName>
    <definedName name="_TT5" localSheetId="3">#REF!</definedName>
    <definedName name="_TT5" localSheetId="4">#REF!</definedName>
    <definedName name="_TT5">#REF!</definedName>
    <definedName name="_TT52" localSheetId="3">#REF!</definedName>
    <definedName name="_TT52" localSheetId="4">#REF!</definedName>
    <definedName name="_TT52">#REF!</definedName>
    <definedName name="_TT53" localSheetId="3">#REF!</definedName>
    <definedName name="_TT53" localSheetId="4">#REF!</definedName>
    <definedName name="_TT53">#REF!</definedName>
    <definedName name="_TT54" localSheetId="3">#REF!</definedName>
    <definedName name="_TT54" localSheetId="4">#REF!</definedName>
    <definedName name="_TT54">#REF!</definedName>
    <definedName name="_TT55" localSheetId="3">#REF!</definedName>
    <definedName name="_TT55" localSheetId="4">#REF!</definedName>
    <definedName name="_TT55">#REF!</definedName>
    <definedName name="_TT6" localSheetId="3">#REF!</definedName>
    <definedName name="_TT6" localSheetId="4">#REF!</definedName>
    <definedName name="_TT6">#REF!</definedName>
    <definedName name="_TT60" localSheetId="3">#REF!</definedName>
    <definedName name="_TT60" localSheetId="4">#REF!</definedName>
    <definedName name="_TT60">#REF!</definedName>
    <definedName name="_TT61" localSheetId="3">#REF!</definedName>
    <definedName name="_TT61" localSheetId="4">#REF!</definedName>
    <definedName name="_TT61">#REF!</definedName>
    <definedName name="_TT69" localSheetId="3">#REF!</definedName>
    <definedName name="_TT69" localSheetId="4">#REF!</definedName>
    <definedName name="_TT69">#REF!</definedName>
    <definedName name="_TT7" localSheetId="3">#REF!</definedName>
    <definedName name="_TT7" localSheetId="4">#REF!</definedName>
    <definedName name="_TT7">#REF!</definedName>
    <definedName name="_TT70" localSheetId="3">#REF!</definedName>
    <definedName name="_TT70" localSheetId="4">#REF!</definedName>
    <definedName name="_TT70">#REF!</definedName>
    <definedName name="_TT71" localSheetId="3">#REF!</definedName>
    <definedName name="_TT71" localSheetId="4">#REF!</definedName>
    <definedName name="_TT71">#REF!</definedName>
    <definedName name="_TT74" localSheetId="3">#REF!</definedName>
    <definedName name="_TT74" localSheetId="4">#REF!</definedName>
    <definedName name="_TT74">#REF!</definedName>
    <definedName name="_TT75" localSheetId="3">#REF!</definedName>
    <definedName name="_TT75" localSheetId="4">#REF!</definedName>
    <definedName name="_TT75">#REF!</definedName>
    <definedName name="_TT76" localSheetId="3">#REF!</definedName>
    <definedName name="_TT76" localSheetId="4">#REF!</definedName>
    <definedName name="_TT76">#REF!</definedName>
    <definedName name="_TT77" localSheetId="3">#REF!</definedName>
    <definedName name="_TT77" localSheetId="4">#REF!</definedName>
    <definedName name="_TT77">#REF!</definedName>
    <definedName name="_TT78" localSheetId="3">#REF!</definedName>
    <definedName name="_TT78" localSheetId="4">#REF!</definedName>
    <definedName name="_TT78">#REF!</definedName>
    <definedName name="_TT79" localSheetId="3">#REF!</definedName>
    <definedName name="_TT79" localSheetId="4">#REF!</definedName>
    <definedName name="_TT79">#REF!</definedName>
    <definedName name="_TT94" localSheetId="3">#REF!</definedName>
    <definedName name="_TT94" localSheetId="4">#REF!</definedName>
    <definedName name="_TT94">#REF!</definedName>
    <definedName name="_TT95" localSheetId="3">#REF!</definedName>
    <definedName name="_TT95" localSheetId="4">#REF!</definedName>
    <definedName name="_TT95">#REF!</definedName>
    <definedName name="_TT97" localSheetId="3">#REF!</definedName>
    <definedName name="_TT97" localSheetId="4">#REF!</definedName>
    <definedName name="_TT97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_wq1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0" localSheetId="11">{0;0;0;0;258;#N/A;0.75;0.75;1;1;2;FALSE;FALSE;FALSE;FALSE;FALSE;#N/A;1;#N/A;1;1;"&amp;A";"Page &amp;P"}</definedName>
    <definedName name="_wq10" localSheetId="3">{0;0;0;0;258;#N/A;0.75;0.75;1;1;2;FALSE;FALSE;FALSE;FALSE;FALSE;#N/A;1;#N/A;1;1;"&amp;A";"Page &amp;P"}</definedName>
    <definedName name="_wq10" localSheetId="2">{0;0;0;0;258;#N/A;0.75;0.75;1;1;2;FALSE;FALSE;FALSE;FALSE;FALSE;#N/A;1;#N/A;1;1;"&amp;A";"Page &amp;P"}</definedName>
    <definedName name="_wq10" localSheetId="0">{0;0;0;0;258;#N/A;0.75;0.75;1;1;2;FALSE;FALSE;FALSE;FALSE;FALSE;#N/A;1;#N/A;1;1;"&amp;A";"Page &amp;P"}</definedName>
    <definedName name="_wq10" localSheetId="4">{0;0;0;0;258;#N/A;0.75;0.75;1;1;2;FALSE;FALSE;FALSE;FALSE;FALSE;#N/A;1;#N/A;1;1;"&amp;A";"Page &amp;P"}</definedName>
    <definedName name="_wq10">{0;0;0;0;258;#N/A;0.75;0.75;1;1;2;FALSE;FALSE;FALSE;FALSE;FALSE;#N/A;1;#N/A;1;1;"&amp;A";"Page &amp;P"}</definedName>
    <definedName name="_wq11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2" localSheetId="11">{0;0;0;0;9;#N/A;0.75;0.75;1;1;1;FALSE;FALSE;FALSE;FALSE;FALSE;#N/A;1;100;#N/A;#N/A;"&amp;A";"Page &amp;P"}</definedName>
    <definedName name="_wq12" localSheetId="3">{0;0;0;0;9;#N/A;0.75;0.75;1;1;1;FALSE;FALSE;FALSE;FALSE;FALSE;#N/A;1;100;#N/A;#N/A;"&amp;A";"Page &amp;P"}</definedName>
    <definedName name="_wq12" localSheetId="2">{0;0;0;0;9;#N/A;0.75;0.75;1;1;1;FALSE;FALSE;FALSE;FALSE;FALSE;#N/A;1;100;#N/A;#N/A;"&amp;A";"Page &amp;P"}</definedName>
    <definedName name="_wq12" localSheetId="0">{0;0;0;0;9;#N/A;0.75;0.75;1;1;1;FALSE;FALSE;FALSE;FALSE;FALSE;#N/A;1;100;#N/A;#N/A;"&amp;A";"Page &amp;P"}</definedName>
    <definedName name="_wq12" localSheetId="4">{0;0;0;0;9;#N/A;0.75;0.75;1;1;1;FALSE;FALSE;FALSE;FALSE;FALSE;#N/A;1;100;#N/A;#N/A;"&amp;A";"Page &amp;P"}</definedName>
    <definedName name="_wq12">{0;0;0;0;9;#N/A;0.75;0.75;1;1;1;FALSE;FALSE;FALSE;FALSE;FALSE;#N/A;1;100;#N/A;#N/A;"&amp;A";"Page &amp;P"}</definedName>
    <definedName name="_wq2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4" localSheetId="11">{0;0;0;0;9;#N/A;0.75;0.75;1;1;1;FALSE;FALSE;FALSE;FALSE;FALSE;#N/A;1;100;#N/A;#N/A;"&amp;A";"Page &amp;P"}</definedName>
    <definedName name="_wq4" localSheetId="3">{0;0;0;0;9;#N/A;0.75;0.75;1;1;1;FALSE;FALSE;FALSE;FALSE;FALSE;#N/A;1;100;#N/A;#N/A;"&amp;A";"Page &amp;P"}</definedName>
    <definedName name="_wq4" localSheetId="2">{0;0;0;0;9;#N/A;0.75;0.75;1;1;1;FALSE;FALSE;FALSE;FALSE;FALSE;#N/A;1;100;#N/A;#N/A;"&amp;A";"Page &amp;P"}</definedName>
    <definedName name="_wq4" localSheetId="0">{0;0;0;0;9;#N/A;0.75;0.75;1;1;1;FALSE;FALSE;FALSE;FALSE;FALSE;#N/A;1;100;#N/A;#N/A;"&amp;A";"Page &amp;P"}</definedName>
    <definedName name="_wq4" localSheetId="4">{0;0;0;0;9;#N/A;0.75;0.75;1;1;1;FALSE;FALSE;FALSE;FALSE;FALSE;#N/A;1;100;#N/A;#N/A;"&amp;A";"Page &amp;P"}</definedName>
    <definedName name="_wq4">{0;0;0;0;9;#N/A;0.75;0.75;1;1;1;FALSE;FALSE;FALSE;FALSE;FALSE;#N/A;1;100;#N/A;#N/A;"&amp;A";"Page &amp;P"}</definedName>
    <definedName name="_wq5" localSheetId="11">{0;0;0;0;9;#N/A;0.75;0.75;1;1;1;FALSE;FALSE;FALSE;FALSE;FALSE;#N/A;1;100;#N/A;#N/A;"&amp;A";"Page &amp;P"}</definedName>
    <definedName name="_wq5" localSheetId="3">{0;0;0;0;9;#N/A;0.75;0.75;1;1;1;FALSE;FALSE;FALSE;FALSE;FALSE;#N/A;1;100;#N/A;#N/A;"&amp;A";"Page &amp;P"}</definedName>
    <definedName name="_wq5" localSheetId="2">{0;0;0;0;9;#N/A;0.75;0.75;1;1;1;FALSE;FALSE;FALSE;FALSE;FALSE;#N/A;1;100;#N/A;#N/A;"&amp;A";"Page &amp;P"}</definedName>
    <definedName name="_wq5" localSheetId="0">{0;0;0;0;9;#N/A;0.75;0.75;1;1;1;FALSE;FALSE;FALSE;FALSE;FALSE;#N/A;1;100;#N/A;#N/A;"&amp;A";"Page &amp;P"}</definedName>
    <definedName name="_wq5" localSheetId="4">{0;0;0;0;9;#N/A;0.75;0.75;1;1;1;FALSE;FALSE;FALSE;FALSE;FALSE;#N/A;1;100;#N/A;#N/A;"&amp;A";"Page &amp;P"}</definedName>
    <definedName name="_wq5">{0;0;0;0;9;#N/A;0.75;0.75;1;1;1;FALSE;FALSE;FALSE;FALSE;FALSE;#N/A;1;100;#N/A;#N/A;"&amp;A";"Page &amp;P"}</definedName>
    <definedName name="_wq6" localSheetId="11">{0;0;0;0;9;#N/A;0.75;0.75;1;1;1;FALSE;FALSE;FALSE;FALSE;FALSE;#N/A;1;100;#N/A;#N/A;"&amp;A";"Page &amp;P"}</definedName>
    <definedName name="_wq6" localSheetId="3">{0;0;0;0;9;#N/A;0.75;0.75;1;1;1;FALSE;FALSE;FALSE;FALSE;FALSE;#N/A;1;100;#N/A;#N/A;"&amp;A";"Page &amp;P"}</definedName>
    <definedName name="_wq6" localSheetId="2">{0;0;0;0;9;#N/A;0.75;0.75;1;1;1;FALSE;FALSE;FALSE;FALSE;FALSE;#N/A;1;100;#N/A;#N/A;"&amp;A";"Page &amp;P"}</definedName>
    <definedName name="_wq6" localSheetId="0">{0;0;0;0;9;#N/A;0.75;0.75;1;1;1;FALSE;FALSE;FALSE;FALSE;FALSE;#N/A;1;100;#N/A;#N/A;"&amp;A";"Page &amp;P"}</definedName>
    <definedName name="_wq6" localSheetId="4">{0;0;0;0;9;#N/A;0.75;0.75;1;1;1;FALSE;FALSE;FALSE;FALSE;FALSE;#N/A;1;100;#N/A;#N/A;"&amp;A";"Page &amp;P"}</definedName>
    <definedName name="_wq6">{0;0;0;0;9;#N/A;0.75;0.75;1;1;1;FALSE;FALSE;FALSE;FALSE;FALSE;#N/A;1;100;#N/A;#N/A;"&amp;A";"Page &amp;P"}</definedName>
    <definedName name="_wq7" localSheetId="1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8" localSheetId="1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Z1srAssp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Balance" localSheetId="11">{0;0;0;0;9;#N/A;0.75;0.75;1;1;1;FALSE;FALSE;FALSE;FALSE;FALSE;#N/A;1;100;#N/A;#N/A;"&amp;A";"Page &amp;P"}</definedName>
    <definedName name="_ZBalance" localSheetId="3">{0;0;0;0;9;#N/A;0.75;0.75;1;1;1;FALSE;FALSE;FALSE;FALSE;FALSE;#N/A;1;100;#N/A;#N/A;"&amp;A";"Page &amp;P"}</definedName>
    <definedName name="_ZBalance" localSheetId="2">{0;0;0;0;9;#N/A;0.75;0.75;1;1;1;FALSE;FALSE;FALSE;FALSE;FALSE;#N/A;1;100;#N/A;#N/A;"&amp;A";"Page &amp;P"}</definedName>
    <definedName name="_ZBalance" localSheetId="0">{0;0;0;0;9;#N/A;0.75;0.75;1;1;1;FALSE;FALSE;FALSE;FALSE;FALSE;#N/A;1;100;#N/A;#N/A;"&amp;A";"Page &amp;P"}</definedName>
    <definedName name="_ZBalance" localSheetId="4">{0;0;0;0;9;#N/A;0.75;0.75;1;1;1;FALSE;FALSE;FALSE;FALSE;FALSE;#N/A;1;100;#N/A;#N/A;"&amp;A";"Page &amp;P"}</definedName>
    <definedName name="_ZBalance">{0;0;0;0;9;#N/A;0.75;0.75;1;1;1;FALSE;FALSE;FALSE;FALSE;FALSE;#N/A;1;100;#N/A;#N/A;"&amp;A";"Page &amp;P"}</definedName>
    <definedName name="_ZCash" localSheetId="11">{0;0;0;0;9;#N/A;0.75;0.75;1;1;1;FALSE;FALSE;FALSE;FALSE;FALSE;#N/A;1;100;#N/A;#N/A;"&amp;A";"Page &amp;P"}</definedName>
    <definedName name="_ZCash" localSheetId="3">{0;0;0;0;9;#N/A;0.75;0.75;1;1;1;FALSE;FALSE;FALSE;FALSE;FALSE;#N/A;1;100;#N/A;#N/A;"&amp;A";"Page &amp;P"}</definedName>
    <definedName name="_ZCash" localSheetId="2">{0;0;0;0;9;#N/A;0.75;0.75;1;1;1;FALSE;FALSE;FALSE;FALSE;FALSE;#N/A;1;100;#N/A;#N/A;"&amp;A";"Page &amp;P"}</definedName>
    <definedName name="_ZCash" localSheetId="0">{0;0;0;0;9;#N/A;0.75;0.75;1;1;1;FALSE;FALSE;FALSE;FALSE;FALSE;#N/A;1;100;#N/A;#N/A;"&amp;A";"Page &amp;P"}</definedName>
    <definedName name="_ZCash" localSheetId="4">{0;0;0;0;9;#N/A;0.75;0.75;1;1;1;FALSE;FALSE;FALSE;FALSE;FALSE;#N/A;1;100;#N/A;#N/A;"&amp;A";"Page &amp;P"}</definedName>
    <definedName name="_ZCash">{0;0;0;0;9;#N/A;0.75;0.75;1;1;1;FALSE;FALSE;FALSE;FALSE;FALSE;#N/A;1;100;#N/A;#N/A;"&amp;A";"Page &amp;P"}</definedName>
    <definedName name="_ZDebt" localSheetId="11">{0;0;0;0;9;#N/A;0.75;0.75;1;1;1;FALSE;FALSE;FALSE;FALSE;FALSE;#N/A;1;100;#N/A;#N/A;"&amp;A";"Page &amp;P"}</definedName>
    <definedName name="_ZDebt" localSheetId="3">{0;0;0;0;9;#N/A;0.75;0.75;1;1;1;FALSE;FALSE;FALSE;FALSE;FALSE;#N/A;1;100;#N/A;#N/A;"&amp;A";"Page &amp;P"}</definedName>
    <definedName name="_ZDebt" localSheetId="2">{0;0;0;0;9;#N/A;0.75;0.75;1;1;1;FALSE;FALSE;FALSE;FALSE;FALSE;#N/A;1;100;#N/A;#N/A;"&amp;A";"Page &amp;P"}</definedName>
    <definedName name="_ZDebt" localSheetId="0">{0;0;0;0;9;#N/A;0.75;0.75;1;1;1;FALSE;FALSE;FALSE;FALSE;FALSE;#N/A;1;100;#N/A;#N/A;"&amp;A";"Page &amp;P"}</definedName>
    <definedName name="_ZDebt" localSheetId="4">{0;0;0;0;9;#N/A;0.75;0.75;1;1;1;FALSE;FALSE;FALSE;FALSE;FALSE;#N/A;1;100;#N/A;#N/A;"&amp;A";"Page &amp;P"}</definedName>
    <definedName name="_ZDebt">{0;0;0;0;9;#N/A;0.75;0.75;1;1;1;FALSE;FALSE;FALSE;FALSE;FALSE;#N/A;1;100;#N/A;#N/A;"&amp;A";"Page &amp;P"}</definedName>
    <definedName name="_Zdebt1" localSheetId="1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2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4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2" localSheetId="1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prec." localSheetId="11">{0;0;0;0;258;#N/A;0.75;0.75;1;1;2;FALSE;FALSE;FALSE;FALSE;FALSE;#N/A;1;#N/A;1;1;"&amp;A";"Page &amp;P"}</definedName>
    <definedName name="_ZDeprec." localSheetId="3">{0;0;0;0;258;#N/A;0.75;0.75;1;1;2;FALSE;FALSE;FALSE;FALSE;FALSE;#N/A;1;#N/A;1;1;"&amp;A";"Page &amp;P"}</definedName>
    <definedName name="_ZDeprec." localSheetId="2">{0;0;0;0;258;#N/A;0.75;0.75;1;1;2;FALSE;FALSE;FALSE;FALSE;FALSE;#N/A;1;#N/A;1;1;"&amp;A";"Page &amp;P"}</definedName>
    <definedName name="_ZDeprec." localSheetId="0">{0;0;0;0;258;#N/A;0.75;0.75;1;1;2;FALSE;FALSE;FALSE;FALSE;FALSE;#N/A;1;#N/A;1;1;"&amp;A";"Page &amp;P"}</definedName>
    <definedName name="_ZDeprec." localSheetId="4">{0;0;0;0;258;#N/A;0.75;0.75;1;1;2;FALSE;FALSE;FALSE;FALSE;FALSE;#N/A;1;#N/A;1;1;"&amp;A";"Page &amp;P"}</definedName>
    <definedName name="_ZDeprec.">{0;0;0;0;258;#N/A;0.75;0.75;1;1;2;FALSE;FALSE;FALSE;FALSE;FALSE;#N/A;1;#N/A;1;1;"&amp;A";"Page &amp;P"}</definedName>
    <definedName name="a">#REF!</definedName>
    <definedName name="A_I_C_V">#N/A</definedName>
    <definedName name="A_M_FRA">#N/A</definedName>
    <definedName name="A_METROS">#N/A</definedName>
    <definedName name="A4_PB_PADRAO.XLS">#REF!</definedName>
    <definedName name="AA">#N/A</definedName>
    <definedName name="aaa" localSheetId="11" hidden="1">{#N/A,#N/A,FALSE,"Plan1";#N/A,#N/A,FALSE,"Plan2"}</definedName>
    <definedName name="aaa" localSheetId="3" hidden="1">{#N/A,#N/A,FALSE,"Plan1";#N/A,#N/A,FALSE,"Plan2"}</definedName>
    <definedName name="aaa" localSheetId="2" hidden="1">{#N/A,#N/A,FALSE,"Plan1";#N/A,#N/A,FALSE,"Plan2"}</definedName>
    <definedName name="aaa" localSheetId="0" hidden="1">{#N/A,#N/A,FALSE,"Plan1";#N/A,#N/A,FALSE,"Plan2"}</definedName>
    <definedName name="aaa" localSheetId="4" hidden="1">{#N/A,#N/A,FALSE,"Plan1";#N/A,#N/A,FALSE,"Plan2"}</definedName>
    <definedName name="aaa" hidden="1">{#N/A,#N/A,FALSE,"Plan1";#N/A,#N/A,FALSE,"Plan2"}</definedName>
    <definedName name="aaaa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a" localSheetId="11" hidden="1">{"tabela",#N/A,FALSE,"Tabela";"decoração",#N/A,FALSE,"Decor.";"Informações",#N/A,FALSE,"Inform."}</definedName>
    <definedName name="aaaaa" localSheetId="3" hidden="1">{"tabela",#N/A,FALSE,"Tabela";"decoração",#N/A,FALSE,"Decor.";"Informações",#N/A,FALSE,"Inform."}</definedName>
    <definedName name="aaaaa" localSheetId="2" hidden="1">{"tabela",#N/A,FALSE,"Tabela";"decoração",#N/A,FALSE,"Decor.";"Informações",#N/A,FALSE,"Inform."}</definedName>
    <definedName name="aaaaa" localSheetId="0" hidden="1">{"tabela",#N/A,FALSE,"Tabela";"decoração",#N/A,FALSE,"Decor.";"Informações",#N/A,FALSE,"Inform."}</definedName>
    <definedName name="aaaaa" localSheetId="4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>#N/A</definedName>
    <definedName name="aaaaaaaa" localSheetId="3">#REF!</definedName>
    <definedName name="aaaaaaaa" localSheetId="4">#REF!</definedName>
    <definedName name="aaaaaaaa">#REF!</definedName>
    <definedName name="aaaaa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11" hidden="1">{#N/A,#N/A,FALSE,"Plan1";#N/A,#N/A,FALSE,"Plan2"}</definedName>
    <definedName name="aaacccc" localSheetId="3" hidden="1">{#N/A,#N/A,FALSE,"Plan1";#N/A,#N/A,FALSE,"Plan2"}</definedName>
    <definedName name="aaacccc" localSheetId="2" hidden="1">{#N/A,#N/A,FALSE,"Plan1";#N/A,#N/A,FALSE,"Plan2"}</definedName>
    <definedName name="aaacccc" localSheetId="0" hidden="1">{#N/A,#N/A,FALSE,"Plan1";#N/A,#N/A,FALSE,"Plan2"}</definedName>
    <definedName name="aaacccc" localSheetId="4" hidden="1">{#N/A,#N/A,FALSE,"Plan1";#N/A,#N/A,FALSE,"Plan2"}</definedName>
    <definedName name="aaacccc" hidden="1">{#N/A,#N/A,FALSE,"Plan1";#N/A,#N/A,FALSE,"Plan2"}</definedName>
    <definedName name="aadd">#REF!</definedName>
    <definedName name="ACCOMMODATION">#REF!</definedName>
    <definedName name="ACCS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o">#REF!</definedName>
    <definedName name="ACPVC">#REF!</definedName>
    <definedName name="acres_mat_imp" localSheetId="3">#REF!</definedName>
    <definedName name="acres_mat_imp" localSheetId="4">#REF!</definedName>
    <definedName name="acres_mat_imp">#REF!</definedName>
    <definedName name="Acresc" localSheetId="3">#REF!</definedName>
    <definedName name="Acresc" localSheetId="4">#REF!</definedName>
    <definedName name="Acresc">#REF!</definedName>
    <definedName name="Acrs_juros" localSheetId="3">#REF!</definedName>
    <definedName name="Acrs_juros" localSheetId="4">#REF!</definedName>
    <definedName name="Acrs_juros">#REF!</definedName>
    <definedName name="ACUM">#REF!</definedName>
    <definedName name="ACUM_EMPRESA">#REF!</definedName>
    <definedName name="ACwvu.PLANILHA2." hidden="1">#REF!</definedName>
    <definedName name="ad" localSheetId="1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iantamento">#REF!</definedName>
    <definedName name="adic">#REF!</definedName>
    <definedName name="adm_cs" localSheetId="3">#REF!</definedName>
    <definedName name="adm_cs" localSheetId="4">#REF!</definedName>
    <definedName name="adm_cs">#REF!</definedName>
    <definedName name="adm_cs_asahi" localSheetId="3">#REF!</definedName>
    <definedName name="adm_cs_asahi" localSheetId="4">#REF!</definedName>
    <definedName name="adm_cs_asahi">#REF!</definedName>
    <definedName name="adm_edc" localSheetId="3">#REF!</definedName>
    <definedName name="adm_edc" localSheetId="4">#REF!</definedName>
    <definedName name="adm_edc">#REF!</definedName>
    <definedName name="ADS">#REF!</definedName>
    <definedName name="adsfg">#N/A</definedName>
    <definedName name="AERO">#REF!</definedName>
    <definedName name="AEWFDS" localSheetId="11" hidden="1">{#N/A,#N/A,FALSE,"Plan1";#N/A,#N/A,FALSE,"Plan2"}</definedName>
    <definedName name="AEWFDS" localSheetId="3" hidden="1">{#N/A,#N/A,FALSE,"Plan1";#N/A,#N/A,FALSE,"Plan2"}</definedName>
    <definedName name="AEWFDS" localSheetId="2" hidden="1">{#N/A,#N/A,FALSE,"Plan1";#N/A,#N/A,FALSE,"Plan2"}</definedName>
    <definedName name="AEWFDS" localSheetId="0" hidden="1">{#N/A,#N/A,FALSE,"Plan1";#N/A,#N/A,FALSE,"Plan2"}</definedName>
    <definedName name="AEWFDS" localSheetId="4" hidden="1">{#N/A,#N/A,FALSE,"Plan1";#N/A,#N/A,FALSE,"Plan2"}</definedName>
    <definedName name="AEWFDS" hidden="1">{#N/A,#N/A,FALSE,"Plan1";#N/A,#N/A,FALSE,"Plan2"}</definedName>
    <definedName name="af" localSheetId="3">#REF!</definedName>
    <definedName name="af" localSheetId="4">#REF!</definedName>
    <definedName name="af">#REF!</definedName>
    <definedName name="AGO">#REF!</definedName>
    <definedName name="Agosto">#REF!</definedName>
    <definedName name="AH" localSheetId="3">#REF!</definedName>
    <definedName name="AH" localSheetId="4">#REF!</definedName>
    <definedName name="AH">#REF!</definedName>
    <definedName name="AIR">#REF!</definedName>
    <definedName name="AJUSTES">#REF!</definedName>
    <definedName name="ALBA">#REF!</definedName>
    <definedName name="aliq_cofins" localSheetId="3">#REF!</definedName>
    <definedName name="aliq_cofins" localSheetId="4">#REF!</definedName>
    <definedName name="aliq_cofins">#REF!</definedName>
    <definedName name="aliq_cpmf">#REF!</definedName>
    <definedName name="aliq_pis" localSheetId="3">#REF!</definedName>
    <definedName name="aliq_pis" localSheetId="4">#REF!</definedName>
    <definedName name="aliq_pis">#REF!</definedName>
    <definedName name="alternativa" localSheetId="3">#REF!</definedName>
    <definedName name="alternativa" localSheetId="4">#REF!</definedName>
    <definedName name="alternativa">#REF!</definedName>
    <definedName name="AM_1">#REF!</definedName>
    <definedName name="AM_2">#REF!</definedName>
    <definedName name="AM_3">#REF!</definedName>
    <definedName name="amigo" localSheetId="11">_L31C18</definedName>
    <definedName name="amigo" localSheetId="9">_L31C18</definedName>
    <definedName name="amigo" localSheetId="3">_L31C18</definedName>
    <definedName name="amigo" localSheetId="10">_L31C18</definedName>
    <definedName name="amigo" localSheetId="2">_L31C18</definedName>
    <definedName name="amigo" localSheetId="8">_L31C18</definedName>
    <definedName name="amigo" localSheetId="0">_L31C18</definedName>
    <definedName name="amigo" localSheetId="4">_L31C18</definedName>
    <definedName name="amigo">_L31C18</definedName>
    <definedName name="AMOR">#REF!</definedName>
    <definedName name="amortizaciones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nalise2">#REF!</definedName>
    <definedName name="ANDRE">TRUE</definedName>
    <definedName name="ANO">#REF!</definedName>
    <definedName name="Ano_30">#REF!</definedName>
    <definedName name="ano_desativacao" localSheetId="3">#REF!</definedName>
    <definedName name="ano_desativacao" localSheetId="4">#REF!</definedName>
    <definedName name="ano_desativacao">#REF!</definedName>
    <definedName name="ano_monsanto" localSheetId="3">#REF!</definedName>
    <definedName name="ano_monsanto" localSheetId="4">#REF!</definedName>
    <definedName name="ano_monsanto">#REF!</definedName>
    <definedName name="ano_referencia" localSheetId="3">#REF!</definedName>
    <definedName name="ano_referencia" localSheetId="4">#REF!</definedName>
    <definedName name="ano_referencia">#REF!</definedName>
    <definedName name="anscount" hidden="1">1</definedName>
    <definedName name="ANTIGA">#REF!</definedName>
    <definedName name="anuais_longa">#REF!</definedName>
    <definedName name="APOPPCAM">#REF!</definedName>
    <definedName name="aporte_ano1" localSheetId="3">#REF!</definedName>
    <definedName name="aporte_ano1" localSheetId="4">#REF!</definedName>
    <definedName name="aporte_ano1">#REF!</definedName>
    <definedName name="aportetotal" localSheetId="3">#REF!</definedName>
    <definedName name="aportetotal" localSheetId="4">#REF!</definedName>
    <definedName name="aportetotal">#REF!</definedName>
    <definedName name="ARA_Threshold">#REF!</definedName>
    <definedName name="area" localSheetId="11" hidden="1">{#N/A,#N/A,FALSE,"Plan1";#N/A,#N/A,FALSE,"Plan2"}</definedName>
    <definedName name="area" localSheetId="3" hidden="1">{#N/A,#N/A,FALSE,"Plan1";#N/A,#N/A,FALSE,"Plan2"}</definedName>
    <definedName name="area" localSheetId="2" hidden="1">{#N/A,#N/A,FALSE,"Plan1";#N/A,#N/A,FALSE,"Plan2"}</definedName>
    <definedName name="area" localSheetId="0" hidden="1">{#N/A,#N/A,FALSE,"Plan1";#N/A,#N/A,FALSE,"Plan2"}</definedName>
    <definedName name="area" localSheetId="4" hidden="1">{#N/A,#N/A,FALSE,"Plan1";#N/A,#N/A,FALSE,"Plan2"}</definedName>
    <definedName name="area" hidden="1">{#N/A,#N/A,FALSE,"Plan1";#N/A,#N/A,FALSE,"Plan2"}</definedName>
    <definedName name="area_base" localSheetId="3">#REF!</definedName>
    <definedName name="area_base" localSheetId="4">#REF!</definedName>
    <definedName name="area_base">#REF!</definedName>
    <definedName name="ÁREA_DE_ENTRADA_DE_C_PROD_CABO" localSheetId="3">#REF!</definedName>
    <definedName name="ÁREA_DE_ENTRADA_DE_C_PROD_CABO" localSheetId="4">#REF!</definedName>
    <definedName name="ÁREA_DE_ENTRADA_DE_C_PROD_CABO">#REF!</definedName>
    <definedName name="ÁREA_DE_ENTRADA_DE_C_PROD_CAXIAS" localSheetId="3">#REF!</definedName>
    <definedName name="ÁREA_DE_ENTRADA_DE_C_PROD_CAXIAS" localSheetId="4">#REF!</definedName>
    <definedName name="ÁREA_DE_ENTRADA_DE_C_PROD_CAXIAS">#REF!</definedName>
    <definedName name="ÁREA_DE_ENTRADA_DE_C_PROD_TRIUNFO" localSheetId="3">#REF!</definedName>
    <definedName name="ÁREA_DE_ENTRADA_DE_C_PROD_TRIUNFO" localSheetId="4">#REF!</definedName>
    <definedName name="ÁREA_DE_ENTRADA_DE_C_PROD_TRIUNFO">#REF!</definedName>
    <definedName name="Area_de_impressao1">#REF!</definedName>
    <definedName name="AREA_FRAC">#N/A</definedName>
    <definedName name="Área_impressão_IM" localSheetId="3">#REF!</definedName>
    <definedName name="Área_impressão_IM" localSheetId="4">#REF!</definedName>
    <definedName name="Área_impressão_IM">#REF!</definedName>
    <definedName name="AREA_LEG">#N/A</definedName>
    <definedName name="AREA_MUN">#N/A</definedName>
    <definedName name="AREA_TRANSFERENCIA">#REF!</definedName>
    <definedName name="AREA2">#REF!</definedName>
    <definedName name="AreaEprd">#REF!</definedName>
    <definedName name="AREAFRAC">#N/A</definedName>
    <definedName name="AREAMAODEOBRATOTAL" localSheetId="3">#REF!</definedName>
    <definedName name="AREAMAODEOBRATOTAL" localSheetId="4">#REF!</definedName>
    <definedName name="AREAMAODEOBRATOTAL">#REF!</definedName>
    <definedName name="AreaPaste">#REF!</definedName>
    <definedName name="AreaTitulo">#REF!</definedName>
    <definedName name="Arial">#REF!</definedName>
    <definedName name="ARP_Threshold">#REF!</definedName>
    <definedName name="arquivos_nomes" localSheetId="3">#REF!</definedName>
    <definedName name="arquivos_nomes" localSheetId="4">#REF!</definedName>
    <definedName name="arquivos_nomes">#REF!</definedName>
    <definedName name="Arred" localSheetId="3">#REF!</definedName>
    <definedName name="Arred" localSheetId="4">#REF!</definedName>
    <definedName name="Arred">#REF!</definedName>
    <definedName name="as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>#REF!</definedName>
    <definedName name="asdfasf" hidden="1">#REF!</definedName>
    <definedName name="asdfg">#N/A</definedName>
    <definedName name="asdsfsda" localSheetId="1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NITRO">#REF!</definedName>
    <definedName name="ASPROPPET">#REF!</definedName>
    <definedName name="ASPVC">#REF!</definedName>
    <definedName name="ass" localSheetId="3">#REF!</definedName>
    <definedName name="ass" localSheetId="4">#REF!</definedName>
    <definedName name="ass">#REF!</definedName>
    <definedName name="assoccons1">#REF!</definedName>
    <definedName name="AT" localSheetId="3">#REF!</definedName>
    <definedName name="AT" localSheetId="4">#REF!</definedName>
    <definedName name="AT">#REF!</definedName>
    <definedName name="ativo">#REF!</definedName>
    <definedName name="ato1_curta" localSheetId="3">#REF!</definedName>
    <definedName name="ato1_curta" localSheetId="4">#REF!</definedName>
    <definedName name="ato1_curta">#REF!</definedName>
    <definedName name="ato1_longa">#REF!</definedName>
    <definedName name="ato2_curta" localSheetId="3">#REF!</definedName>
    <definedName name="ato2_curta" localSheetId="4">#REF!</definedName>
    <definedName name="ato2_curta">#REF!</definedName>
    <definedName name="ato2_longa">#REF!</definedName>
    <definedName name="aux">#REF!</definedName>
    <definedName name="auxiliar">#REF!</definedName>
    <definedName name="aval">#REF!</definedName>
    <definedName name="AWA">#REF!</definedName>
    <definedName name="B">#REF!</definedName>
    <definedName name="Bal_soc_ativo">#REF!</definedName>
    <definedName name="balance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ÇO">#REF!</definedName>
    <definedName name="BALANÇO_CMI">#REF!</definedName>
    <definedName name="BALANÇO_CMI_UFIR">#REF!</definedName>
    <definedName name="BALANÇO_CMI_US">#REF!</definedName>
    <definedName name="BALANÇO_LS">#REF!</definedName>
    <definedName name="Balanço_soc_passivo">#REF!</definedName>
    <definedName name="balcop">#REF!</definedName>
    <definedName name="BalType" hidden="1">TRUE</definedName>
    <definedName name="BALUFIR">#REF!</definedName>
    <definedName name="BASE" localSheetId="3">#REF!</definedName>
    <definedName name="BASE" localSheetId="4">#REF!</definedName>
    <definedName name="BASE">#REF!</definedName>
    <definedName name="base_calculo_inv_dce" localSheetId="3">#REF!</definedName>
    <definedName name="base_calculo_inv_dce" localSheetId="4">#REF!</definedName>
    <definedName name="base_calculo_inv_dce">#REF!</definedName>
    <definedName name="BB">#N/A</definedName>
    <definedName name="BBB">#N/A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_moedas" localSheetId="3">#REF!</definedName>
    <definedName name="bd_moedas" localSheetId="4">#REF!</definedName>
    <definedName name="bd_moedas">#REF!</definedName>
    <definedName name="bdi">#REF!</definedName>
    <definedName name="BDI.">#REF!</definedName>
    <definedName name="BG_Del" hidden="1">15</definedName>
    <definedName name="BG_Ins" hidden="1">4</definedName>
    <definedName name="BG_Mod" hidden="1">6</definedName>
    <definedName name="bh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kl_real">#REF!</definedName>
    <definedName name="blp_real">#REF!</definedName>
    <definedName name="BLPH1" hidden="1">#REF!</definedName>
    <definedName name="BLPH11" localSheetId="3" hidden="1">#REF!</definedName>
    <definedName name="BLPH11" localSheetId="4" hidden="1">#REF!</definedName>
    <definedName name="BLPH11" hidden="1">#REF!</definedName>
    <definedName name="BLPH12" localSheetId="3" hidden="1">#REF!</definedName>
    <definedName name="BLPH12" localSheetId="4" hidden="1">#REF!</definedName>
    <definedName name="BLPH12" hidden="1">#REF!</definedName>
    <definedName name="BLPH13" localSheetId="3" hidden="1">#REF!</definedName>
    <definedName name="BLPH13" localSheetId="4" hidden="1">#REF!</definedName>
    <definedName name="BLPH13" hidden="1">#REF!</definedName>
    <definedName name="BLPH14" hidden="1">#REF!</definedName>
    <definedName name="BLPH15" hidden="1">#REF!</definedName>
    <definedName name="BLPH2" localSheetId="3" hidden="1">#REF!</definedName>
    <definedName name="BLPH2" localSheetId="4" hidden="1">#REF!</definedName>
    <definedName name="BLPH2" hidden="1">#REF!</definedName>
    <definedName name="BLPH3" localSheetId="3" hidden="1">#REF!</definedName>
    <definedName name="BLPH3" localSheetId="4" hidden="1">#REF!</definedName>
    <definedName name="BLPH3" hidden="1">#REF!</definedName>
    <definedName name="BLPH4" localSheetId="3" hidden="1">#REF!</definedName>
    <definedName name="BLPH4" localSheetId="4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localSheetId="3" hidden="1">#REF!</definedName>
    <definedName name="BLPH5" localSheetId="4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localSheetId="3" hidden="1">#REF!</definedName>
    <definedName name="BLPH6" localSheetId="4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localSheetId="3" hidden="1">#REF!</definedName>
    <definedName name="BLPH67" localSheetId="4" hidden="1">#REF!</definedName>
    <definedName name="BLPH67" hidden="1">#REF!</definedName>
    <definedName name="BLPH68" localSheetId="3" hidden="1">#REF!</definedName>
    <definedName name="BLPH68" localSheetId="4" hidden="1">#REF!</definedName>
    <definedName name="BLPH68" hidden="1">#REF!</definedName>
    <definedName name="BLPH69" localSheetId="3" hidden="1">#REF!</definedName>
    <definedName name="BLPH69" localSheetId="4" hidden="1">#REF!</definedName>
    <definedName name="BLPH69" hidden="1">#REF!</definedName>
    <definedName name="BLPH7" localSheetId="3" hidden="1">#REF!</definedName>
    <definedName name="BLPH7" localSheetId="4" hidden="1">#REF!</definedName>
    <definedName name="BLPH7" hidden="1">#REF!</definedName>
    <definedName name="BLPH70" localSheetId="3" hidden="1">#REF!</definedName>
    <definedName name="BLPH70" localSheetId="4" hidden="1">#REF!</definedName>
    <definedName name="BLPH70" hidden="1">#REF!</definedName>
    <definedName name="BLPH71" localSheetId="3" hidden="1">#REF!</definedName>
    <definedName name="BLPH71" localSheetId="4" hidden="1">#REF!</definedName>
    <definedName name="BLPH71" hidden="1">#REF!</definedName>
    <definedName name="BLPH72" localSheetId="3" hidden="1">#REF!</definedName>
    <definedName name="BLPH72" localSheetId="4" hidden="1">#REF!</definedName>
    <definedName name="BLPH72" hidden="1">#REF!</definedName>
    <definedName name="BLPH73" localSheetId="3" hidden="1">#REF!</definedName>
    <definedName name="BLPH73" localSheetId="4" hidden="1">#REF!</definedName>
    <definedName name="BLPH73" hidden="1">#REF!</definedName>
    <definedName name="BLPH74" localSheetId="3" hidden="1">#REF!</definedName>
    <definedName name="BLPH74" localSheetId="4" hidden="1">#REF!</definedName>
    <definedName name="BLPH74" hidden="1">#REF!</definedName>
    <definedName name="BLPH75" localSheetId="3" hidden="1">#REF!</definedName>
    <definedName name="BLPH75" localSheetId="4" hidden="1">#REF!</definedName>
    <definedName name="BLPH75" hidden="1">#REF!</definedName>
    <definedName name="BLPH76" localSheetId="3" hidden="1">#REF!</definedName>
    <definedName name="BLPH76" localSheetId="4" hidden="1">#REF!</definedName>
    <definedName name="BLPH76" hidden="1">#REF!</definedName>
    <definedName name="BLPH77" localSheetId="3" hidden="1">#REF!</definedName>
    <definedName name="BLPH77" localSheetId="4" hidden="1">#REF!</definedName>
    <definedName name="BLPH77" hidden="1">#REF!</definedName>
    <definedName name="BLPH78" hidden="1">#REF!</definedName>
    <definedName name="BLPH79" hidden="1">#REF!</definedName>
    <definedName name="BLPH8" localSheetId="3" hidden="1">#REF!</definedName>
    <definedName name="BLPH8" localSheetId="4" hidden="1">#REF!</definedName>
    <definedName name="BLPH8" hidden="1">#REF!</definedName>
    <definedName name="BLPH80" hidden="1">#REF!</definedName>
    <definedName name="BLPH81" hidden="1">#REF!</definedName>
    <definedName name="BLPH82" localSheetId="3" hidden="1">#REF!</definedName>
    <definedName name="BLPH82" localSheetId="4" hidden="1">#REF!</definedName>
    <definedName name="BLPH82" hidden="1">#REF!</definedName>
    <definedName name="BLPH83" localSheetId="3" hidden="1">#REF!</definedName>
    <definedName name="BLPH83" localSheetId="4" hidden="1">#REF!</definedName>
    <definedName name="BLPH83" hidden="1">#REF!</definedName>
    <definedName name="BLPH9" localSheetId="3" hidden="1">#REF!</definedName>
    <definedName name="BLPH9" localSheetId="4" hidden="1">#REF!</definedName>
    <definedName name="BLPH9" hidden="1">#REF!</definedName>
    <definedName name="Bomba_putzmeister">#REF!</definedName>
    <definedName name="BP">#REF!</definedName>
    <definedName name="BR">#REF!</definedName>
    <definedName name="BTN_INPC">#REF!</definedName>
    <definedName name="C.Variáveis_PET_PTA" localSheetId="3">#REF!</definedName>
    <definedName name="C.Variáveis_PET_PTA" localSheetId="4">#REF!</definedName>
    <definedName name="C.Variáveis_PET_PTA">#REF!</definedName>
    <definedName name="C_">#REF!</definedName>
    <definedName name="C_G_LAT">#N/A</definedName>
    <definedName name="C_G_LON">#N/A</definedName>
    <definedName name="C_M_LAT">#N/A</definedName>
    <definedName name="C_M_LON">#N/A</definedName>
    <definedName name="C_S_LAT">#N/A</definedName>
    <definedName name="C_S_LON">#N/A</definedName>
    <definedName name="cab_cortes">#REF!</definedName>
    <definedName name="cab_dmt">#REF!</definedName>
    <definedName name="cab_limpeza">#REF!</definedName>
    <definedName name="cabmeio">#REF!</definedName>
    <definedName name="CAD">#REF!</definedName>
    <definedName name="CAPA1">#REF!</definedName>
    <definedName name="CAR">#REF!</definedName>
    <definedName name="CARLA" hidden="1">#REF!</definedName>
    <definedName name="Cases" localSheetId="3">#REF!</definedName>
    <definedName name="Cases" localSheetId="4">#REF!</definedName>
    <definedName name="Cases">#REF!</definedName>
    <definedName name="CASH_FLOW">#REF!</definedName>
    <definedName name="caso" localSheetId="3">#REF!</definedName>
    <definedName name="caso" localSheetId="4">#REF!</definedName>
    <definedName name="caso">#REF!</definedName>
    <definedName name="cbnm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ghmk" localSheetId="11" hidden="1">{"'Índice'!$A$1:$K$49"}</definedName>
    <definedName name="cbnmghmk" localSheetId="3" hidden="1">{"'Índice'!$A$1:$K$49"}</definedName>
    <definedName name="cbnmghmk" localSheetId="2" hidden="1">{"'Índice'!$A$1:$K$49"}</definedName>
    <definedName name="cbnmghmk" localSheetId="0" hidden="1">{"'Índice'!$A$1:$K$49"}</definedName>
    <definedName name="cbnmghmk" localSheetId="4" hidden="1">{"'Índice'!$A$1:$K$49"}</definedName>
    <definedName name="cbnmghmk" hidden="1">{"'Índice'!$A$1:$K$49"}</definedName>
    <definedName name="CCC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ççç" localSheetId="11" hidden="1">{#N/A,#N/A,FALSE,"Plan1";#N/A,#N/A,FALSE,"Plan2"}</definedName>
    <definedName name="ççç" localSheetId="3" hidden="1">{#N/A,#N/A,FALSE,"Plan1";#N/A,#N/A,FALSE,"Plan2"}</definedName>
    <definedName name="ççç" localSheetId="2" hidden="1">{#N/A,#N/A,FALSE,"Plan1";#N/A,#N/A,FALSE,"Plan2"}</definedName>
    <definedName name="ççç" localSheetId="0" hidden="1">{#N/A,#N/A,FALSE,"Plan1";#N/A,#N/A,FALSE,"Plan2"}</definedName>
    <definedName name="ççç" localSheetId="4" hidden="1">{#N/A,#N/A,FALSE,"Plan1";#N/A,#N/A,FALSE,"Plan2"}</definedName>
    <definedName name="ççç" hidden="1">{#N/A,#N/A,FALSE,"Plan1";#N/A,#N/A,FALSE,"Plan2"}</definedName>
    <definedName name="cccc" localSheetId="11" hidden="1">{#N/A,#N/A,FALSE,"Plan1";#N/A,#N/A,FALSE,"Plan2"}</definedName>
    <definedName name="cccc" localSheetId="3" hidden="1">{#N/A,#N/A,FALSE,"Plan1";#N/A,#N/A,FALSE,"Plan2"}</definedName>
    <definedName name="cccc" localSheetId="2" hidden="1">{#N/A,#N/A,FALSE,"Plan1";#N/A,#N/A,FALSE,"Plan2"}</definedName>
    <definedName name="cccc" localSheetId="0" hidden="1">{#N/A,#N/A,FALSE,"Plan1";#N/A,#N/A,FALSE,"Plan2"}</definedName>
    <definedName name="cccc" localSheetId="4" hidden="1">{#N/A,#N/A,FALSE,"Plan1";#N/A,#N/A,FALSE,"Plan2"}</definedName>
    <definedName name="cccc" hidden="1">{#N/A,#N/A,FALSE,"Plan1";#N/A,#N/A,FALSE,"Plan2"}</definedName>
    <definedName name="ççççççç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d" localSheetId="1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4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e">#N/A</definedName>
    <definedName name="CEL">#REF!</definedName>
    <definedName name="cel_aaorcam" localSheetId="3">#REF!</definedName>
    <definedName name="cel_aaorcam" localSheetId="4">#REF!</definedName>
    <definedName name="cel_aaorcam">#REF!</definedName>
    <definedName name="cel_MoedaSelecao" localSheetId="3">#REF!</definedName>
    <definedName name="cel_MoedaSelecao" localSheetId="4">#REF!</definedName>
    <definedName name="cel_MoedaSelecao">#REF!</definedName>
    <definedName name="cel_MoedaVersao" localSheetId="3">#REF!</definedName>
    <definedName name="cel_MoedaVersao" localSheetId="4">#REF!</definedName>
    <definedName name="cel_MoedaVersao">#REF!</definedName>
    <definedName name="cel_nmorcam" localSheetId="3">#REF!</definedName>
    <definedName name="cel_nmorcam" localSheetId="4">#REF!</definedName>
    <definedName name="cel_nmorcam">#REF!</definedName>
    <definedName name="cel_PrimoAno" localSheetId="3">#REF!</definedName>
    <definedName name="cel_PrimoAno" localSheetId="4">#REF!</definedName>
    <definedName name="cel_PrimoAno">#REF!</definedName>
    <definedName name="CELULA">#REF!</definedName>
    <definedName name="cenario" localSheetId="3">#REF!</definedName>
    <definedName name="cenario" localSheetId="4">#REF!</definedName>
    <definedName name="cenario">#REF!</definedName>
    <definedName name="Cenários" localSheetId="3">#REF!</definedName>
    <definedName name="Cenários" localSheetId="4">#REF!</definedName>
    <definedName name="Cenários">#REF!</definedName>
    <definedName name="cf_cs_asahi" localSheetId="3">#REF!</definedName>
    <definedName name="cf_cs_asahi" localSheetId="4">#REF!</definedName>
    <definedName name="cf_cs_asahi">#REF!</definedName>
    <definedName name="cfData">40178</definedName>
    <definedName name="cfTipo">"Anual"</definedName>
    <definedName name="CFTOT_">#REF!</definedName>
    <definedName name="CFTOT_A">#REF!</definedName>
    <definedName name="cghm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AV">#REF!</definedName>
    <definedName name="chaves">#REF!</definedName>
    <definedName name="CHF">#REF!</definedName>
    <definedName name="chmgbnmk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l2disp_cl2elet" localSheetId="3">#REF!</definedName>
    <definedName name="cl2disp_cl2elet" localSheetId="4">#REF!</definedName>
    <definedName name="cl2disp_cl2elet">#REF!</definedName>
    <definedName name="CLAS_ECO">#N/A</definedName>
    <definedName name="CLAS_LOC">#N/A</definedName>
    <definedName name="cloro_monsanto" localSheetId="3">#REF!</definedName>
    <definedName name="cloro_monsanto" localSheetId="4">#REF!</definedName>
    <definedName name="cloro_monsanto">#REF!</definedName>
    <definedName name="cmai29" localSheetId="3">#REF!</definedName>
    <definedName name="cmai29" localSheetId="4">#REF!</definedName>
    <definedName name="cmai29">#REF!</definedName>
    <definedName name="cnmg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OD_DIST">#N/A</definedName>
    <definedName name="COD_ME_R">#N/A</definedName>
    <definedName name="COD_MI_R">#N/A</definedName>
    <definedName name="COD_MUNI">#N/A</definedName>
    <definedName name="COD_UF">#N/A</definedName>
    <definedName name="CODIGO">#REF!</definedName>
    <definedName name="Código">#REF!</definedName>
    <definedName name="Código.">#REF!</definedName>
    <definedName name="COFINS" localSheetId="3">#REF!</definedName>
    <definedName name="COFINS" localSheetId="4">#REF!</definedName>
    <definedName name="COFINS">#REF!</definedName>
    <definedName name="COM">#REF!</definedName>
    <definedName name="compra_terreno">#REF!</definedName>
    <definedName name="conquista">#REF!</definedName>
    <definedName name="cons">#REF!</definedName>
    <definedName name="considera_ICMS_credito_PVC" localSheetId="3">#REF!</definedName>
    <definedName name="considera_ICMS_credito_PVC" localSheetId="4">#REF!</definedName>
    <definedName name="considera_ICMS_credito_PVC">#REF!</definedName>
    <definedName name="considera_venda_H2" localSheetId="3">#REF!</definedName>
    <definedName name="considera_venda_H2" localSheetId="4">#REF!</definedName>
    <definedName name="considera_venda_H2">#REF!</definedName>
    <definedName name="consol">#REF!</definedName>
    <definedName name="consol_acumulado_fim" localSheetId="3">#REF!</definedName>
    <definedName name="consol_acumulado_fim" localSheetId="4">#REF!</definedName>
    <definedName name="consol_acumulado_fim">#REF!</definedName>
    <definedName name="consol_acumulado_inicio" localSheetId="3">#REF!</definedName>
    <definedName name="consol_acumulado_inicio" localSheetId="4">#REF!</definedName>
    <definedName name="consol_acumulado_inicio">#REF!</definedName>
    <definedName name="consol_mes_inicio" localSheetId="3">#REF!</definedName>
    <definedName name="consol_mes_inicio" localSheetId="4">#REF!</definedName>
    <definedName name="consol_mes_inicio">#REF!</definedName>
    <definedName name="consol_trimest" localSheetId="3">#REF!</definedName>
    <definedName name="consol_trimest" localSheetId="4">#REF!</definedName>
    <definedName name="consol_trimest">#REF!</definedName>
    <definedName name="consol_trimestre_anterior_fim" localSheetId="3">#REF!</definedName>
    <definedName name="consol_trimestre_anterior_fim" localSheetId="4">#REF!</definedName>
    <definedName name="consol_trimestre_anterior_fim">#REF!</definedName>
    <definedName name="consol_trimestre_anterior_inicio" localSheetId="3">#REF!</definedName>
    <definedName name="consol_trimestre_anterior_inicio" localSheetId="4">#REF!</definedName>
    <definedName name="consol_trimestre_anterior_inicio">#REF!</definedName>
    <definedName name="consol_trimestre_fim" localSheetId="3">#REF!</definedName>
    <definedName name="consol_trimestre_fim" localSheetId="4">#REF!</definedName>
    <definedName name="consol_trimestre_fim">#REF!</definedName>
    <definedName name="consol_trimestre_inicio" localSheetId="3">#REF!</definedName>
    <definedName name="consol_trimestre_inicio" localSheetId="4">#REF!</definedName>
    <definedName name="consol_trimestre_inicio">#REF!</definedName>
    <definedName name="consolidation1">#REF!</definedName>
    <definedName name="consolidation2">#REF!</definedName>
    <definedName name="CONSUMO_BUTADIENO_ESTIRENO_EM_TONELADAS" localSheetId="3">#REF!</definedName>
    <definedName name="CONSUMO_BUTADIENO_ESTIRENO_EM_TONELADAS" localSheetId="4">#REF!</definedName>
    <definedName name="CONSUMO_BUTADIENO_ESTIRENO_EM_TONELADAS">#REF!</definedName>
    <definedName name="cont_cs" localSheetId="3">#REF!</definedName>
    <definedName name="cont_cs" localSheetId="4">#REF!</definedName>
    <definedName name="cont_cs">#REF!</definedName>
    <definedName name="cont_cs_asahi" localSheetId="3">#REF!</definedName>
    <definedName name="cont_cs_asahi" localSheetId="4">#REF!</definedName>
    <definedName name="cont_cs_asahi">#REF!</definedName>
    <definedName name="cont_dce" localSheetId="3">#REF!</definedName>
    <definedName name="cont_dce" localSheetId="4">#REF!</definedName>
    <definedName name="cont_dce">#REF!</definedName>
    <definedName name="contasareceber">#REF!</definedName>
    <definedName name="corte">#REF!</definedName>
    <definedName name="COT">#REF!</definedName>
    <definedName name="CREN">#REF!</definedName>
    <definedName name="_xlnm.Criteria">#REF!</definedName>
    <definedName name="CRITÉRIOS_IM">#REF!</definedName>
    <definedName name="CRTL_RESULTADO">#REF!</definedName>
    <definedName name="CS">#REF!</definedName>
    <definedName name="CSLL" localSheetId="3">#REF!</definedName>
    <definedName name="CSLL" localSheetId="4">#REF!</definedName>
    <definedName name="CSLL">#REF!</definedName>
    <definedName name="ct_cloro_uhde" localSheetId="3">#REF!</definedName>
    <definedName name="ct_cloro_uhde" localSheetId="4">#REF!</definedName>
    <definedName name="ct_cloro_uhde">#REF!</definedName>
    <definedName name="ct_energ_utilid_DCE" localSheetId="3">#REF!</definedName>
    <definedName name="ct_energ_utilid_DCE" localSheetId="4">#REF!</definedName>
    <definedName name="ct_energ_utilid_DCE">#REF!</definedName>
    <definedName name="curta_1617">#REF!</definedName>
    <definedName name="CURTA1" localSheetId="3">#REF!</definedName>
    <definedName name="CURTA1" localSheetId="4">#REF!</definedName>
    <definedName name="CURTA1">#REF!</definedName>
    <definedName name="CURVA">#REF!</definedName>
    <definedName name="curvaresumo">#REF!</definedName>
    <definedName name="CUSTO">#REF!</definedName>
    <definedName name="CUSTO_DAS_DESAPROPRIAÇÕES">#REF!</definedName>
    <definedName name="CUSTO_DE_COMBUSTÍVEL_E_LUFRIFICANTES">#REF!</definedName>
    <definedName name="custo_desativacao" localSheetId="3">#REF!</definedName>
    <definedName name="custo_desativacao" localSheetId="4">#REF!</definedName>
    <definedName name="custo_desativacao">#REF!</definedName>
    <definedName name="CUSTO_FIXO_CAXIAS" localSheetId="3">#REF!</definedName>
    <definedName name="CUSTO_FIXO_CAXIAS" localSheetId="4">#REF!</definedName>
    <definedName name="CUSTO_FIXO_CAXIAS">#REF!</definedName>
    <definedName name="custo_fixo_cs_nova" localSheetId="3">#REF!</definedName>
    <definedName name="custo_fixo_cs_nova" localSheetId="4">#REF!</definedName>
    <definedName name="custo_fixo_cs_nova">#REF!</definedName>
    <definedName name="custo_fixo_dce_nova" localSheetId="3">#REF!</definedName>
    <definedName name="custo_fixo_dce_nova" localSheetId="4">#REF!</definedName>
    <definedName name="custo_fixo_dce_nova">#REF!</definedName>
    <definedName name="custoprod" localSheetId="1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S">#REF!</definedName>
    <definedName name="C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_DCE_sem_mp" localSheetId="3">#REF!</definedName>
    <definedName name="cv_DCE_sem_mp" localSheetId="4">#REF!</definedName>
    <definedName name="cv_DCE_sem_mp">#REF!</definedName>
    <definedName name="cvcvc">#N/A</definedName>
    <definedName name="d">#REF!</definedName>
    <definedName name="DA_Cargos">#REF!</definedName>
    <definedName name="DA_Impostos">#REF!</definedName>
    <definedName name="DA_Insalubridade">#REF!</definedName>
    <definedName name="DA_Margem">#REF!</definedName>
    <definedName name="DA_Nextel">#REF!</definedName>
    <definedName name="DA_Noturno">#REF!</definedName>
    <definedName name="DA_Periculosidade">#REF!</definedName>
    <definedName name="DA_Preço">#REF!</definedName>
    <definedName name="DA_PreçoGer">#REF!</definedName>
    <definedName name="DA_Rádio">#REF!</definedName>
    <definedName name="DA_TotalA">#REF!</definedName>
    <definedName name="DA_TotalB">#REF!</definedName>
    <definedName name="DA_TotalC">#REF!</definedName>
    <definedName name="DA_TotalD">#REF!</definedName>
    <definedName name="dados">#REF!</definedName>
    <definedName name="DADOSA" localSheetId="3">#REF!</definedName>
    <definedName name="DADOSA" localSheetId="4">#REF!</definedName>
    <definedName name="DADOSA">#REF!</definedName>
    <definedName name="dads">#REF!</definedName>
    <definedName name="DANIEL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ta">#REF!</definedName>
    <definedName name="Data_Ini" localSheetId="3">#REF!</definedName>
    <definedName name="Data_Ini" localSheetId="4">#REF!</definedName>
    <definedName name="Data_Ini">#REF!</definedName>
    <definedName name="data_rel_oper">#REF!</definedName>
    <definedName name="DATA1">#REF!</definedName>
    <definedName name="DATA2">#REF!</definedName>
    <definedName name="_xlnm.Database">#REF!</definedName>
    <definedName name="DATAS">#REF!</definedName>
    <definedName name="DB_Cargos">#REF!</definedName>
    <definedName name="DB_Computador">#REF!</definedName>
    <definedName name="DB_Impostos">#REF!</definedName>
    <definedName name="DB_Margem">#REF!</definedName>
    <definedName name="DB_Nextel">#REF!</definedName>
    <definedName name="DB_Noturno">#REF!</definedName>
    <definedName name="DB_NR10">#REF!</definedName>
    <definedName name="DB_Periculosidade">#REF!</definedName>
    <definedName name="DB_Preço">#REF!</definedName>
    <definedName name="DB_PreçoGer">#REF!</definedName>
    <definedName name="DB_Radio">#REF!</definedName>
    <definedName name="DB_TotalA">#REF!</definedName>
    <definedName name="DB_TotalB">#REF!</definedName>
    <definedName name="DB_TotalC">#REF!</definedName>
    <definedName name="DB_TotalD">#REF!</definedName>
    <definedName name="DC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hart26" hidden="1">#REF!</definedName>
    <definedName name="dchart31" hidden="1">#REF!</definedName>
    <definedName name="d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">#N/A</definedName>
    <definedName name="dddd">#N/A</definedName>
    <definedName name="ddddd" localSheetId="11" hidden="1">{#N/A,#N/A,FALSE,"Plan1";#N/A,#N/A,FALSE,"Plan2"}</definedName>
    <definedName name="ddddd" localSheetId="3" hidden="1">{#N/A,#N/A,FALSE,"Plan1";#N/A,#N/A,FALSE,"Plan2"}</definedName>
    <definedName name="ddddd" localSheetId="2" hidden="1">{#N/A,#N/A,FALSE,"Plan1";#N/A,#N/A,FALSE,"Plan2"}</definedName>
    <definedName name="ddddd" localSheetId="0" hidden="1">{#N/A,#N/A,FALSE,"Plan1";#N/A,#N/A,FALSE,"Plan2"}</definedName>
    <definedName name="ddddd" localSheetId="4" hidden="1">{#N/A,#N/A,FALSE,"Plan1";#N/A,#N/A,FALSE,"Plan2"}</definedName>
    <definedName name="ddddd" hidden="1">{#N/A,#N/A,FALSE,"Plan1";#N/A,#N/A,FALSE,"Plan2"}</definedName>
    <definedName name="dddddddddd">#N/A</definedName>
    <definedName name="ddgfdvgd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E">#REF!</definedName>
    <definedName name="DemRes00">#REF!</definedName>
    <definedName name="DemRes01">#REF!</definedName>
    <definedName name="densidade_cap">#REF!</definedName>
    <definedName name="depr_02" localSheetId="3">#REF!</definedName>
    <definedName name="depr_02" localSheetId="4">#REF!</definedName>
    <definedName name="depr_02">#REF!</definedName>
    <definedName name="depr_03" localSheetId="3">#REF!</definedName>
    <definedName name="depr_03" localSheetId="4">#REF!</definedName>
    <definedName name="depr_03">#REF!</definedName>
    <definedName name="depreciaciones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r">#N/A</definedName>
    <definedName name="des" localSheetId="11" hidden="1">{#N/A,#N/A,FALSE,"Plan1";#N/A,#N/A,FALSE,"Plan2"}</definedName>
    <definedName name="des" localSheetId="3" hidden="1">{#N/A,#N/A,FALSE,"Plan1";#N/A,#N/A,FALSE,"Plan2"}</definedName>
    <definedName name="des" localSheetId="2" hidden="1">{#N/A,#N/A,FALSE,"Plan1";#N/A,#N/A,FALSE,"Plan2"}</definedName>
    <definedName name="des" localSheetId="0" hidden="1">{#N/A,#N/A,FALSE,"Plan1";#N/A,#N/A,FALSE,"Plan2"}</definedName>
    <definedName name="des" localSheetId="4" hidden="1">{#N/A,#N/A,FALSE,"Plan1";#N/A,#N/A,FALSE,"Plan2"}</definedName>
    <definedName name="des" hidden="1">{#N/A,#N/A,FALSE,"Plan1";#N/A,#N/A,FALSE,"Plan2"}</definedName>
    <definedName name="desc" localSheetId="11" hidden="1">{#N/A,#N/A,FALSE,"Plan1";#N/A,#N/A,FALSE,"Plan2"}</definedName>
    <definedName name="desc" localSheetId="3" hidden="1">{#N/A,#N/A,FALSE,"Plan1";#N/A,#N/A,FALSE,"Plan2"}</definedName>
    <definedName name="desc" localSheetId="2" hidden="1">{#N/A,#N/A,FALSE,"Plan1";#N/A,#N/A,FALSE,"Plan2"}</definedName>
    <definedName name="desc" localSheetId="0" hidden="1">{#N/A,#N/A,FALSE,"Plan1";#N/A,#N/A,FALSE,"Plan2"}</definedName>
    <definedName name="desc" localSheetId="4" hidden="1">{#N/A,#N/A,FALSE,"Plan1";#N/A,#N/A,FALSE,"Plan2"}</definedName>
    <definedName name="desc" hidden="1">{#N/A,#N/A,FALSE,"Plan1";#N/A,#N/A,FALSE,"Plan2"}</definedName>
    <definedName name="DESC1">#REF!</definedName>
    <definedName name="DESP">#REF!</definedName>
    <definedName name="DESPFIN">#N/A</definedName>
    <definedName name="DEST1">#REF!</definedName>
    <definedName name="DEST2">#REF!</definedName>
    <definedName name="DEST3">#REF!</definedName>
    <definedName name="DEST4">#REF!</definedName>
    <definedName name="DEST4A">#REF!</definedName>
    <definedName name="DEST4B">#REF!</definedName>
    <definedName name="deuda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VFATOB">#REF!</definedName>
    <definedName name="df">#N/A</definedName>
    <definedName name="dfg">#N/A</definedName>
    <definedName name="DFR">#REF!</definedName>
    <definedName name="dggfdg" localSheetId="11" hidden="1">{#N/A,#N/A,FALSE,"Plan1";#N/A,#N/A,FALSE,"Plan2"}</definedName>
    <definedName name="dggfdg" localSheetId="3" hidden="1">{#N/A,#N/A,FALSE,"Plan1";#N/A,#N/A,FALSE,"Plan2"}</definedName>
    <definedName name="dggfdg" localSheetId="2" hidden="1">{#N/A,#N/A,FALSE,"Plan1";#N/A,#N/A,FALSE,"Plan2"}</definedName>
    <definedName name="dggfdg" localSheetId="0" hidden="1">{#N/A,#N/A,FALSE,"Plan1";#N/A,#N/A,FALSE,"Plan2"}</definedName>
    <definedName name="dggfdg" localSheetId="4" hidden="1">{#N/A,#N/A,FALSE,"Plan1";#N/A,#N/A,FALSE,"Plan2"}</definedName>
    <definedName name="dggfdg" hidden="1">{#N/A,#N/A,FALSE,"Plan1";#N/A,#N/A,FALSE,"Plan2"}</definedName>
    <definedName name="dggsf">#N/A</definedName>
    <definedName name="dgnghnyh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s">#N/A</definedName>
    <definedName name="diss">#REF!</definedName>
    <definedName name="dll_real">#REF!</definedName>
    <definedName name="DM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OAR_MES">#REF!</definedName>
    <definedName name="DOAR_MOVIM">#REF!</definedName>
    <definedName name="dolar" localSheetId="3">#REF!</definedName>
    <definedName name="dolar" localSheetId="4">#REF!</definedName>
    <definedName name="dolar">#REF!</definedName>
    <definedName name="dolar96">#REF!</definedName>
    <definedName name="DRE">#REF!</definedName>
    <definedName name="dren">#REF!</definedName>
    <definedName name="drena">#REF!</definedName>
    <definedName name="drenag">#REF!</definedName>
    <definedName name="ds" localSheetId="3">#REF!</definedName>
    <definedName name="ds" localSheetId="4">#REF!</definedName>
    <definedName name="ds">#REF!</definedName>
    <definedName name="dsf">#N/A</definedName>
    <definedName name="DV_MUNI">#N/A</definedName>
    <definedName name="DVVB" localSheetId="11" hidden="1">{"tabela",#N/A,FALSE,"Tabela";"decoração",#N/A,FALSE,"Decor.";"Informações",#N/A,FALSE,"Inform."}</definedName>
    <definedName name="DVVB" localSheetId="3" hidden="1">{"tabela",#N/A,FALSE,"Tabela";"decoração",#N/A,FALSE,"Decor.";"Informações",#N/A,FALSE,"Inform."}</definedName>
    <definedName name="DVVB" localSheetId="2" hidden="1">{"tabela",#N/A,FALSE,"Tabela";"decoração",#N/A,FALSE,"Decor.";"Informações",#N/A,FALSE,"Inform."}</definedName>
    <definedName name="DVVB" localSheetId="0" hidden="1">{"tabela",#N/A,FALSE,"Tabela";"decoração",#N/A,FALSE,"Decor.";"Informações",#N/A,FALSE,"Inform."}</definedName>
    <definedName name="DVVB" localSheetId="4" hidden="1">{"tabela",#N/A,FALSE,"Tabela";"decoração",#N/A,FALSE,"Decor.";"Informações",#N/A,FALSE,"Inform."}</definedName>
    <definedName name="DVVB" hidden="1">{"tabela",#N/A,FALSE,"Tabela";"decoração",#N/A,FALSE,"Decor.";"Informações",#N/A,FALSE,"Inform."}</definedName>
    <definedName name="DXCZ" localSheetId="11" hidden="1">{#N/A,#N/A,FALSE,"Plan1";#N/A,#N/A,FALSE,"Plan2"}</definedName>
    <definedName name="DXCZ" localSheetId="3" hidden="1">{#N/A,#N/A,FALSE,"Plan1";#N/A,#N/A,FALSE,"Plan2"}</definedName>
    <definedName name="DXCZ" localSheetId="2" hidden="1">{#N/A,#N/A,FALSE,"Plan1";#N/A,#N/A,FALSE,"Plan2"}</definedName>
    <definedName name="DXCZ" localSheetId="0" hidden="1">{#N/A,#N/A,FALSE,"Plan1";#N/A,#N/A,FALSE,"Plan2"}</definedName>
    <definedName name="DXCZ" localSheetId="4" hidden="1">{#N/A,#N/A,FALSE,"Plan1";#N/A,#N/A,FALSE,"Plan2"}</definedName>
    <definedName name="DXCZ" hidden="1">{#N/A,#N/A,FALSE,"Plan1";#N/A,#N/A,FALSE,"Plan2"}</definedName>
    <definedName name="E" localSheetId="3">#REF!</definedName>
    <definedName name="E" localSheetId="4">#REF!</definedName>
    <definedName name="E">#REF!</definedName>
    <definedName name="echart31" hidden="1">#REF!</definedName>
    <definedName name="ed">#REF!</definedName>
    <definedName name="ede" localSheetId="11">{0;0;0;0;9;#N/A;0.75;0.75;1;1;1;FALSE;FALSE;FALSE;FALSE;FALSE;#N/A;1;100;#N/A;#N/A;"&amp;A";"Page &amp;P"}</definedName>
    <definedName name="ede" localSheetId="3">{0;0;0;0;9;#N/A;0.75;0.75;1;1;1;FALSE;FALSE;FALSE;FALSE;FALSE;#N/A;1;100;#N/A;#N/A;"&amp;A";"Page &amp;P"}</definedName>
    <definedName name="ede" localSheetId="2">{0;0;0;0;9;#N/A;0.75;0.75;1;1;1;FALSE;FALSE;FALSE;FALSE;FALSE;#N/A;1;100;#N/A;#N/A;"&amp;A";"Page &amp;P"}</definedName>
    <definedName name="ede" localSheetId="0">{0;0;0;0;9;#N/A;0.75;0.75;1;1;1;FALSE;FALSE;FALSE;FALSE;FALSE;#N/A;1;100;#N/A;#N/A;"&amp;A";"Page &amp;P"}</definedName>
    <definedName name="ede" localSheetId="4">{0;0;0;0;9;#N/A;0.75;0.75;1;1;1;FALSE;FALSE;FALSE;FALSE;FALSE;#N/A;1;100;#N/A;#N/A;"&amp;A";"Page &amp;P"}</definedName>
    <definedName name="ede">{0;0;0;0;9;#N/A;0.75;0.75;1;1;1;FALSE;FALSE;FALSE;FALSE;FALSE;#N/A;1;100;#N/A;#N/A;"&amp;A";"Page &amp;P"}</definedName>
    <definedName name="edif_cs" localSheetId="3">#REF!</definedName>
    <definedName name="edif_cs" localSheetId="4">#REF!</definedName>
    <definedName name="edif_cs">#REF!</definedName>
    <definedName name="edif_cs_asahi" localSheetId="3">#REF!</definedName>
    <definedName name="edif_cs_asahi" localSheetId="4">#REF!</definedName>
    <definedName name="edif_cs_asahi">#REF!</definedName>
    <definedName name="ee">#N/A</definedName>
    <definedName name="EEE">#N/A</definedName>
    <definedName name="EEPROPPET">#REF!</definedName>
    <definedName name="efic_retificacao" localSheetId="3">#REF!</definedName>
    <definedName name="efic_retificacao" localSheetId="4">#REF!</definedName>
    <definedName name="efic_retificacao">#REF!</definedName>
    <definedName name="efsgsf">#N/A</definedName>
    <definedName name="ELECTRICITY">#REF!</definedName>
    <definedName name="Emer">#REF!</definedName>
    <definedName name="Emerson">#REF!</definedName>
    <definedName name="Empolamento">#REF!</definedName>
    <definedName name="Empreiteiras">#REF!</definedName>
    <definedName name="Empresa" localSheetId="3">#REF!</definedName>
    <definedName name="Empresa" localSheetId="4">#REF!</definedName>
    <definedName name="Empresa">#REF!</definedName>
    <definedName name="enc">#REF!</definedName>
    <definedName name="epc_cs" localSheetId="3">#REF!</definedName>
    <definedName name="epc_cs" localSheetId="4">#REF!</definedName>
    <definedName name="epc_cs">#REF!</definedName>
    <definedName name="EPVT">#REF!</definedName>
    <definedName name="EQPTO">#REF!</definedName>
    <definedName name="EQUIV">#REF!</definedName>
    <definedName name="EscalaDA">#REF!</definedName>
    <definedName name="EscalaDB">#REF!</definedName>
    <definedName name="est">#REF!</definedName>
    <definedName name="ETENOPP">#REF!</definedName>
    <definedName name="ETENOPVC">#REF!</definedName>
    <definedName name="ETENOPVCAL">#REF!</definedName>
    <definedName name="ETENOPVCBA">#REF!</definedName>
    <definedName name="Euro">#REF!</definedName>
    <definedName name="EUROpUSD" localSheetId="3">#REF!</definedName>
    <definedName name="EUROpUSD" localSheetId="4">#REF!</definedName>
    <definedName name="EUROpUSD">#REF!</definedName>
    <definedName name="ex_epc_cs" localSheetId="3">#REF!</definedName>
    <definedName name="ex_epc_cs" localSheetId="4">#REF!</definedName>
    <definedName name="ex_epc_cs">#REF!</definedName>
    <definedName name="EXAMES_MÉDICOS">#REF!</definedName>
    <definedName name="Excel_BuiltIn__FilterDatabase_1">#REF!</definedName>
    <definedName name="Excel_BuiltIn_Print_Area_1">#REF!</definedName>
    <definedName name="ExpandOutputs">#N/A</definedName>
    <definedName name="ExportFile" localSheetId="3">#REF!</definedName>
    <definedName name="ExportFile" localSheetId="4">#REF!</definedName>
    <definedName name="ExportFile">#REF!</definedName>
    <definedName name="_xlnm.Extract">#REF!</definedName>
    <definedName name="f" hidden="1">#REF!</definedName>
    <definedName name="F_A_REF">#N/A</definedName>
    <definedName name="F_C_REF">#N/A</definedName>
    <definedName name="fafa">#N/A</definedName>
    <definedName name="FAT_EXP" localSheetId="3">#REF!</definedName>
    <definedName name="FAT_EXP" localSheetId="4">#REF!</definedName>
    <definedName name="FAT_EXP">#REF!</definedName>
    <definedName name="Fator_Ch">#REF!</definedName>
    <definedName name="Fator_L">#REF!</definedName>
    <definedName name="Fator_MO">#REF!</definedName>
    <definedName name="faturamento">#REF!</definedName>
    <definedName name="FATURAMENTO_BRUTO_RESUMO_POR_FÁBRICA_EX_ENCARGOS_FINANCEIROS" localSheetId="3">#REF!</definedName>
    <definedName name="FATURAMENTO_BRUTO_RESUMO_POR_FÁBRICA_EX_ENCARGOS_FINANCEIROS" localSheetId="4">#REF!</definedName>
    <definedName name="FATURAMENTO_BRUTO_RESUMO_POR_FÁBRICA_EX_ENCARGOS_FINANCEIROS">#REF!</definedName>
    <definedName name="FATURAMENTO_LÍQUIDO_RESUMO_POR_FÁBRICA_COM_ENCARGOS_FINANCEIROS" localSheetId="3">#REF!</definedName>
    <definedName name="FATURAMENTO_LÍQUIDO_RESUMO_POR_FÁBRICA_COM_ENCARGOS_FINANCEIROS" localSheetId="4">#REF!</definedName>
    <definedName name="FATURAMENTO_LÍQUIDO_RESUMO_POR_FÁBRICA_COM_ENCARGOS_FINANCEIROS">#REF!</definedName>
    <definedName name="FATURAMENTO_LÍQUIDO_RESUMO_POR_FÁBRICA_EX_ENCARGOS_FINANCEIROS" localSheetId="3">#REF!</definedName>
    <definedName name="FATURAMENTO_LÍQUIDO_RESUMO_POR_FÁBRICA_EX_ENCARGOS_FINANCEIROS" localSheetId="4">#REF!</definedName>
    <definedName name="FATURAMENTO_LÍQUIDO_RESUMO_POR_FÁBRICA_EX_ENCARGOS_FINANCEIROS">#REF!</definedName>
    <definedName name="fcaixa">#REF!</definedName>
    <definedName name="fcd_real">#REF!</definedName>
    <definedName name="fchart31" hidden="1">#REF!</definedName>
    <definedName name="fci_real">#REF!</definedName>
    <definedName name="fd" localSheetId="3">#REF!</definedName>
    <definedName name="fd" localSheetId="4">#REF!</definedName>
    <definedName name="fd">#REF!</definedName>
    <definedName name="fdgaf" localSheetId="11" hidden="1">{#N/A,#N/A,FALSE,"Plan1";#N/A,#N/A,FALSE,"Plan2"}</definedName>
    <definedName name="fdgaf" localSheetId="3" hidden="1">{#N/A,#N/A,FALSE,"Plan1";#N/A,#N/A,FALSE,"Plan2"}</definedName>
    <definedName name="fdgaf" localSheetId="2" hidden="1">{#N/A,#N/A,FALSE,"Plan1";#N/A,#N/A,FALSE,"Plan2"}</definedName>
    <definedName name="fdgaf" localSheetId="0" hidden="1">{#N/A,#N/A,FALSE,"Plan1";#N/A,#N/A,FALSE,"Plan2"}</definedName>
    <definedName name="fdgaf" localSheetId="4" hidden="1">{#N/A,#N/A,FALSE,"Plan1";#N/A,#N/A,FALSE,"Plan2"}</definedName>
    <definedName name="fdgaf" hidden="1">{#N/A,#N/A,FALSE,"Plan1";#N/A,#N/A,FALSE,"Plan2"}</definedName>
    <definedName name="fdhgfdf" localSheetId="11" hidden="1">{#N/A,#N/A,FALSE,"Plan1";#N/A,#N/A,FALSE,"Plan2"}</definedName>
    <definedName name="fdhgfdf" localSheetId="3" hidden="1">{#N/A,#N/A,FALSE,"Plan1";#N/A,#N/A,FALSE,"Plan2"}</definedName>
    <definedName name="fdhgfdf" localSheetId="2" hidden="1">{#N/A,#N/A,FALSE,"Plan1";#N/A,#N/A,FALSE,"Plan2"}</definedName>
    <definedName name="fdhgfdf" localSheetId="0" hidden="1">{#N/A,#N/A,FALSE,"Plan1";#N/A,#N/A,FALSE,"Plan2"}</definedName>
    <definedName name="fdhgfdf" localSheetId="4" hidden="1">{#N/A,#N/A,FALSE,"Plan1";#N/A,#N/A,FALSE,"Plan2"}</definedName>
    <definedName name="fdhgfdf" hidden="1">{#N/A,#N/A,FALSE,"Plan1";#N/A,#N/A,FALSE,"Plan2"}</definedName>
    <definedName name="FDS" localSheetId="11" hidden="1">{#N/A,#N/A,FALSE,"Plan1";#N/A,#N/A,FALSE,"Plan2"}</definedName>
    <definedName name="FDS" localSheetId="3" hidden="1">{#N/A,#N/A,FALSE,"Plan1";#N/A,#N/A,FALSE,"Plan2"}</definedName>
    <definedName name="FDS" localSheetId="2" hidden="1">{#N/A,#N/A,FALSE,"Plan1";#N/A,#N/A,FALSE,"Plan2"}</definedName>
    <definedName name="FDS" localSheetId="0" hidden="1">{#N/A,#N/A,FALSE,"Plan1";#N/A,#N/A,FALSE,"Plan2"}</definedName>
    <definedName name="FDS" localSheetId="4" hidden="1">{#N/A,#N/A,FALSE,"Plan1";#N/A,#N/A,FALSE,"Plan2"}</definedName>
    <definedName name="FDS" hidden="1">{#N/A,#N/A,FALSE,"Plan1";#N/A,#N/A,FALSE,"Plan2"}</definedName>
    <definedName name="Feriados" localSheetId="3">#REF!</definedName>
    <definedName name="Feriados" localSheetId="4">#REF!</definedName>
    <definedName name="Feriados">#REF!</definedName>
    <definedName name="ff" localSheetId="3">#REF!</definedName>
    <definedName name="ff" localSheetId="4">#REF!</definedName>
    <definedName name="ff">#REF!</definedName>
    <definedName name="fff">#N/A</definedName>
    <definedName name="fffff" localSheetId="11" hidden="1">{#N/A,#N/A,FALSE,"Plan1";#N/A,#N/A,FALSE,"Plan2"}</definedName>
    <definedName name="fffff" localSheetId="3" hidden="1">{#N/A,#N/A,FALSE,"Plan1";#N/A,#N/A,FALSE,"Plan2"}</definedName>
    <definedName name="fffff" localSheetId="2" hidden="1">{#N/A,#N/A,FALSE,"Plan1";#N/A,#N/A,FALSE,"Plan2"}</definedName>
    <definedName name="fffff" localSheetId="0" hidden="1">{#N/A,#N/A,FALSE,"Plan1";#N/A,#N/A,FALSE,"Plan2"}</definedName>
    <definedName name="fffff" localSheetId="4" hidden="1">{#N/A,#N/A,FALSE,"Plan1";#N/A,#N/A,FALSE,"Plan2"}</definedName>
    <definedName name="fffff" hidden="1">{#N/A,#N/A,FALSE,"Plan1";#N/A,#N/A,FALSE,"Plan2"}</definedName>
    <definedName name="FFR">#REF!</definedName>
    <definedName name="FG" localSheetId="11" hidden="1">{#N/A,#N/A,FALSE,"Plan1";#N/A,#N/A,FALSE,"Plan2"}</definedName>
    <definedName name="FG" localSheetId="3" hidden="1">{#N/A,#N/A,FALSE,"Plan1";#N/A,#N/A,FALSE,"Plan2"}</definedName>
    <definedName name="FG" localSheetId="2" hidden="1">{#N/A,#N/A,FALSE,"Plan1";#N/A,#N/A,FALSE,"Plan2"}</definedName>
    <definedName name="FG" localSheetId="0" hidden="1">{#N/A,#N/A,FALSE,"Plan1";#N/A,#N/A,FALSE,"Plan2"}</definedName>
    <definedName name="FG" localSheetId="4" hidden="1">{#N/A,#N/A,FALSE,"Plan1";#N/A,#N/A,FALSE,"Plan2"}</definedName>
    <definedName name="FG" hidden="1">{#N/A,#N/A,FALSE,"Plan1";#N/A,#N/A,FALSE,"Plan2"}</definedName>
    <definedName name="fgdsag">#N/A</definedName>
    <definedName name="FGJHFGK" localSheetId="11" hidden="1">{#N/A,#N/A,FALSE,"Plan1";#N/A,#N/A,FALSE,"Plan2"}</definedName>
    <definedName name="FGJHFGK" localSheetId="3" hidden="1">{#N/A,#N/A,FALSE,"Plan1";#N/A,#N/A,FALSE,"Plan2"}</definedName>
    <definedName name="FGJHFGK" localSheetId="2" hidden="1">{#N/A,#N/A,FALSE,"Plan1";#N/A,#N/A,FALSE,"Plan2"}</definedName>
    <definedName name="FGJHFGK" localSheetId="0" hidden="1">{#N/A,#N/A,FALSE,"Plan1";#N/A,#N/A,FALSE,"Plan2"}</definedName>
    <definedName name="FGJHFGK" localSheetId="4" hidden="1">{#N/A,#N/A,FALSE,"Plan1";#N/A,#N/A,FALSE,"Plan2"}</definedName>
    <definedName name="FGJHFGK" hidden="1">{#N/A,#N/A,FALSE,"Plan1";#N/A,#N/A,FALSE,"Plan2"}</definedName>
    <definedName name="Fim_OESP">#REF!</definedName>
    <definedName name="fin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617">#REF!</definedName>
    <definedName name="FINAL">#REF!</definedName>
    <definedName name="Financ.Resumen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eiros" localSheetId="3">#REF!</definedName>
    <definedName name="financeiros" localSheetId="4">#REF!</definedName>
    <definedName name="financeiros">#REF!</definedName>
    <definedName name="financeiros1" localSheetId="3">#REF!</definedName>
    <definedName name="financeiros1" localSheetId="4">#REF!</definedName>
    <definedName name="financeiros1">#REF!</definedName>
    <definedName name="FJG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1" hidden="1">{#N/A,#N/A,FALSE,"Plan1";#N/A,#N/A,FALSE,"Plan2"}</definedName>
    <definedName name="FJHJHG" localSheetId="3" hidden="1">{#N/A,#N/A,FALSE,"Plan1";#N/A,#N/A,FALSE,"Plan2"}</definedName>
    <definedName name="FJHJHG" localSheetId="2" hidden="1">{#N/A,#N/A,FALSE,"Plan1";#N/A,#N/A,FALSE,"Plan2"}</definedName>
    <definedName name="FJHJHG" localSheetId="0" hidden="1">{#N/A,#N/A,FALSE,"Plan1";#N/A,#N/A,FALSE,"Plan2"}</definedName>
    <definedName name="FJHJHG" localSheetId="4" hidden="1">{#N/A,#N/A,FALSE,"Plan1";#N/A,#N/A,FALSE,"Plan2"}</definedName>
    <definedName name="FJHJHG" hidden="1">{#N/A,#N/A,FALSE,"Plan1";#N/A,#N/A,FALSE,"Plan2"}</definedName>
    <definedName name="FL">#REF!</definedName>
    <definedName name="FluCai00">#REF!</definedName>
    <definedName name="FluCai01">#REF!</definedName>
    <definedName name="FLUXO">#REF!</definedName>
    <definedName name="FM" localSheetId="3">#REF!</definedName>
    <definedName name="FM" localSheetId="4">#REF!</definedName>
    <definedName name="FM">#REF!</definedName>
    <definedName name="fonte" localSheetId="3">#REF!</definedName>
    <definedName name="fonte" localSheetId="4">#REF!</definedName>
    <definedName name="fonte">#REF!</definedName>
    <definedName name="Fontes_de_Financiamento" localSheetId="3">#REF!</definedName>
    <definedName name="Fontes_de_Financiamento" localSheetId="4">#REF!</definedName>
    <definedName name="Fontes_de_Financiamento">#REF!</definedName>
    <definedName name="Forecast">#REF!</definedName>
    <definedName name="FparteAG" localSheetId="3">#REF!</definedName>
    <definedName name="FparteAG" localSheetId="4">#REF!</definedName>
    <definedName name="FparteAG">#REF!</definedName>
    <definedName name="fr" localSheetId="3">#REF!</definedName>
    <definedName name="fr" localSheetId="4">#REF!</definedName>
    <definedName name="fr">#REF!</definedName>
    <definedName name="frfer" hidden="1">#REF!</definedName>
    <definedName name="fsfdafdsa">#N/A</definedName>
    <definedName name="FUNCIONARIOS">#REF!</definedName>
    <definedName name="Fundo" localSheetId="3">#REF!</definedName>
    <definedName name="Fundo" localSheetId="4">#REF!</definedName>
    <definedName name="Fundo">#REF!</definedName>
    <definedName name="g">#REF!</definedName>
    <definedName name="GAF">#REF!</definedName>
    <definedName name="GBP">#REF!</definedName>
    <definedName name="gchmghm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dgdg" localSheetId="1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eeft" localSheetId="3">#REF!</definedName>
    <definedName name="geeft" localSheetId="4">#REF!</definedName>
    <definedName name="geeft">#REF!</definedName>
    <definedName name="gg">#REF!</definedName>
    <definedName name="GGG">#N/A</definedName>
    <definedName name="ggggggggg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gsg">#N/A</definedName>
    <definedName name="gghmghmgh" localSheetId="1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hcmghm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j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ESRXDTG" localSheetId="11" hidden="1">{#N/A,#N/A,FALSE,"Plan1";#N/A,#N/A,FALSE,"Plan2"}</definedName>
    <definedName name="GHJESRXDTG" localSheetId="3" hidden="1">{#N/A,#N/A,FALSE,"Plan1";#N/A,#N/A,FALSE,"Plan2"}</definedName>
    <definedName name="GHJESRXDTG" localSheetId="2" hidden="1">{#N/A,#N/A,FALSE,"Plan1";#N/A,#N/A,FALSE,"Plan2"}</definedName>
    <definedName name="GHJESRXDTG" localSheetId="0" hidden="1">{#N/A,#N/A,FALSE,"Plan1";#N/A,#N/A,FALSE,"Plan2"}</definedName>
    <definedName name="GHJESRXDTG" localSheetId="4" hidden="1">{#N/A,#N/A,FALSE,"Plan1";#N/A,#N/A,FALSE,"Plan2"}</definedName>
    <definedName name="GHJESRXDTG" hidden="1">{#N/A,#N/A,FALSE,"Plan1";#N/A,#N/A,FALSE,"Plan2"}</definedName>
    <definedName name="ghmgh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mj" localSheetId="1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jhmh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lc">#REF!</definedName>
    <definedName name="GNNMJ" localSheetId="11" hidden="1">{"tabela",#N/A,FALSE,"Tabela";"decoração",#N/A,FALSE,"Decor.";"Informações",#N/A,FALSE,"Inform."}</definedName>
    <definedName name="GNNMJ" localSheetId="3" hidden="1">{"tabela",#N/A,FALSE,"Tabela";"decoração",#N/A,FALSE,"Decor.";"Informações",#N/A,FALSE,"Inform."}</definedName>
    <definedName name="GNNMJ" localSheetId="2" hidden="1">{"tabela",#N/A,FALSE,"Tabela";"decoração",#N/A,FALSE,"Decor.";"Informações",#N/A,FALSE,"Inform."}</definedName>
    <definedName name="GNNMJ" localSheetId="0" hidden="1">{"tabela",#N/A,FALSE,"Tabela";"decoração",#N/A,FALSE,"Decor.";"Informações",#N/A,FALSE,"Inform."}</definedName>
    <definedName name="GNNMJ" localSheetId="4" hidden="1">{"tabela",#N/A,FALSE,"Tabela";"decoração",#N/A,FALSE,"Decor.";"Informações",#N/A,FALSE,"Inform."}</definedName>
    <definedName name="GNNMJ" hidden="1">{"tabela",#N/A,FALSE,"Tabela";"decoração",#N/A,FALSE,"Decor.";"Informações",#N/A,FALSE,"Inform."}</definedName>
    <definedName name="gra_1617">#REF!</definedName>
    <definedName name="graficos2">#REF!</definedName>
    <definedName name="GrelhaDB">#REF!</definedName>
    <definedName name="GrpAcct1" hidden="1">"5611"</definedName>
    <definedName name="GrpAcct2" hidden="1">"5612"</definedName>
    <definedName name="GrpLevel" hidden="1">2</definedName>
    <definedName name="grt">#REF!</definedName>
    <definedName name="gsdag">#N/A</definedName>
    <definedName name="gsdfg">#N/A</definedName>
    <definedName name="h">#REF!</definedName>
    <definedName name="hah" localSheetId="3">#REF!</definedName>
    <definedName name="hah" localSheetId="4">#REF!</definedName>
    <definedName name="hah">#REF!</definedName>
    <definedName name="Headings">#REF!</definedName>
    <definedName name="HJ" localSheetId="11" hidden="1">{#N/A,#N/A,FALSE,"Plan1";#N/A,#N/A,FALSE,"Plan2"}</definedName>
    <definedName name="HJ" localSheetId="3" hidden="1">{#N/A,#N/A,FALSE,"Plan1";#N/A,#N/A,FALSE,"Plan2"}</definedName>
    <definedName name="HJ" localSheetId="2" hidden="1">{#N/A,#N/A,FALSE,"Plan1";#N/A,#N/A,FALSE,"Plan2"}</definedName>
    <definedName name="HJ" localSheetId="0" hidden="1">{#N/A,#N/A,FALSE,"Plan1";#N/A,#N/A,FALSE,"Plan2"}</definedName>
    <definedName name="HJ" localSheetId="4" hidden="1">{#N/A,#N/A,FALSE,"Plan1";#N/A,#N/A,FALSE,"Plan2"}</definedName>
    <definedName name="HJ" hidden="1">{#N/A,#N/A,FALSE,"Plan1";#N/A,#N/A,FALSE,"Plan2"}</definedName>
    <definedName name="HONO">#REF!</definedName>
    <definedName name="honor_construcao">#REF!</definedName>
    <definedName name="HOTEL">#REF!</definedName>
    <definedName name="HTML_CodePage" hidden="1">1252</definedName>
    <definedName name="HTML_Control" localSheetId="11" hidden="1">{"'Índice'!$A$1:$K$49"}</definedName>
    <definedName name="HTML_Control" localSheetId="3" hidden="1">{"'Índice'!$A$1:$K$49"}</definedName>
    <definedName name="HTML_Control" localSheetId="2" hidden="1">{"'Índice'!$A$1:$K$49"}</definedName>
    <definedName name="HTML_Control" localSheetId="0" hidden="1">{"'Índice'!$A$1:$K$49"}</definedName>
    <definedName name="HTML_Control" localSheetId="4" hidden="1">{"'Índice'!$A$1:$K$49"}</definedName>
    <definedName name="HTML_Control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Title" hidden="1">"Gerência de Administração e Controle de Gestão"</definedName>
    <definedName name="HVAC">#REF!</definedName>
    <definedName name="i">#REF!</definedName>
    <definedName name="ICMS_credito_PVC_01" localSheetId="3">#REF!</definedName>
    <definedName name="ICMS_credito_PVC_01" localSheetId="4">#REF!</definedName>
    <definedName name="ICMS_credito_PVC_01">#REF!</definedName>
    <definedName name="ICMS_credito_PVC_02" localSheetId="3">#REF!</definedName>
    <definedName name="ICMS_credito_PVC_02" localSheetId="4">#REF!</definedName>
    <definedName name="ICMS_credito_PVC_02">#REF!</definedName>
    <definedName name="ICMS_credito_PVC_03" localSheetId="3">#REF!</definedName>
    <definedName name="ICMS_credito_PVC_03" localSheetId="4">#REF!</definedName>
    <definedName name="ICMS_credito_PVC_03">#REF!</definedName>
    <definedName name="IÇOLJ" localSheetId="11" hidden="1">{"tabela",#N/A,FALSE,"Tabela";"decoração",#N/A,FALSE,"Decor.";"Informações",#N/A,FALSE,"Inform."}</definedName>
    <definedName name="IÇOLJ" localSheetId="3" hidden="1">{"tabela",#N/A,FALSE,"Tabela";"decoração",#N/A,FALSE,"Decor.";"Informações",#N/A,FALSE,"Inform."}</definedName>
    <definedName name="IÇOLJ" localSheetId="2" hidden="1">{"tabela",#N/A,FALSE,"Tabela";"decoração",#N/A,FALSE,"Decor.";"Informações",#N/A,FALSE,"Inform."}</definedName>
    <definedName name="IÇOLJ" localSheetId="0" hidden="1">{"tabela",#N/A,FALSE,"Tabela";"decoração",#N/A,FALSE,"Decor.";"Informações",#N/A,FALSE,"Inform."}</definedName>
    <definedName name="IÇOLJ" localSheetId="4" hidden="1">{"tabela",#N/A,FALSE,"Tabela";"decoração",#N/A,FALSE,"Decor.";"Informações",#N/A,FALSE,"Inform."}</definedName>
    <definedName name="IÇOLJ" hidden="1">{"tabela",#N/A,FALSE,"Tabela";"decoração",#N/A,FALSE,"Decor.";"Informações",#N/A,FALSE,"Inform."}</definedName>
    <definedName name="igpm">#REF!</definedName>
    <definedName name="iiii">#N/A</definedName>
    <definedName name="iiiiiiiiiiiiiiiiiiiiiiii" hidden="1">#REF!</definedName>
    <definedName name="ImportFile">#N/A</definedName>
    <definedName name="Impostos">#REF!</definedName>
    <definedName name="IMPOSTOS_SOBRE_COMPRAS_POR_FÁBRICA____US__1.000" localSheetId="3">#REF!</definedName>
    <definedName name="IMPOSTOS_SOBRE_COMPRAS_POR_FÁBRICA____US__1.000" localSheetId="4">#REF!</definedName>
    <definedName name="IMPOSTOS_SOBRE_COMPRAS_POR_FÁBRICA____US__1.000">#REF!</definedName>
    <definedName name="IMPRES">#REF!</definedName>
    <definedName name="in" localSheetId="3">#REF!</definedName>
    <definedName name="in" localSheetId="4">#REF!</definedName>
    <definedName name="in">#REF!</definedName>
    <definedName name="INDEX">#REF!</definedName>
    <definedName name="INDICADOR">#REF!</definedName>
    <definedName name="Índice" localSheetId="3">#REF!</definedName>
    <definedName name="Índice" localSheetId="4">#REF!</definedName>
    <definedName name="Índice">#REF!</definedName>
    <definedName name="inf" localSheetId="3">#REF!</definedName>
    <definedName name="inf" localSheetId="4">#REF!</definedName>
    <definedName name="inf">#REF!</definedName>
    <definedName name="inflacao_US" localSheetId="3">#REF!</definedName>
    <definedName name="inflacao_US" localSheetId="4">#REF!</definedName>
    <definedName name="inflacao_US">#REF!</definedName>
    <definedName name="Inflación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gresso">#REF!</definedName>
    <definedName name="inicio_obra">#REF!</definedName>
    <definedName name="INSTRUMENTATION">#REF!</definedName>
    <definedName name="INSUMOS" localSheetId="3">#REF!</definedName>
    <definedName name="INSUMOS" localSheetId="4">#REF!</definedName>
    <definedName name="INSUMOS">#REF!</definedName>
    <definedName name="inv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_fixo_cs_asahi" localSheetId="3">#REF!</definedName>
    <definedName name="inv_fixo_cs_asahi" localSheetId="4">#REF!</definedName>
    <definedName name="inv_fixo_cs_asahi">#REF!</definedName>
    <definedName name="inver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S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">#REF!</definedName>
    <definedName name="irmenu" localSheetId="3">#REF!</definedName>
    <definedName name="irmenu" localSheetId="4">#REF!</definedName>
    <definedName name="irmenu">#REF!</definedName>
    <definedName name="IRP">#N/A</definedName>
    <definedName name="ITEM">#REF!</definedName>
    <definedName name="item1" localSheetId="3">#REF!</definedName>
    <definedName name="item1" localSheetId="4">#REF!</definedName>
    <definedName name="item1">#REF!</definedName>
    <definedName name="item3" localSheetId="3">#REF!</definedName>
    <definedName name="item3" localSheetId="4">#REF!</definedName>
    <definedName name="item3">#REF!</definedName>
    <definedName name="item4" localSheetId="3">#REF!</definedName>
    <definedName name="item4" localSheetId="4">#REF!</definedName>
    <definedName name="item4">#REF!</definedName>
    <definedName name="j">#REF!</definedName>
    <definedName name="JC">#REF!</definedName>
    <definedName name="JCP" localSheetId="3">#REF!,#REF!</definedName>
    <definedName name="JCP" localSheetId="4">#REF!,#REF!</definedName>
    <definedName name="JCP">#REF!,#REF!</definedName>
    <definedName name="JCPto">#REF!</definedName>
    <definedName name="JD">#REF!</definedName>
    <definedName name="JDPto">#REF!</definedName>
    <definedName name="JHJ" localSheetId="11" hidden="1">{#N/A,#N/A,FALSE,"Plan1";#N/A,#N/A,FALSE,"Plan2"}</definedName>
    <definedName name="JHJ" localSheetId="3" hidden="1">{#N/A,#N/A,FALSE,"Plan1";#N/A,#N/A,FALSE,"Plan2"}</definedName>
    <definedName name="JHJ" localSheetId="2" hidden="1">{#N/A,#N/A,FALSE,"Plan1";#N/A,#N/A,FALSE,"Plan2"}</definedName>
    <definedName name="JHJ" localSheetId="0" hidden="1">{#N/A,#N/A,FALSE,"Plan1";#N/A,#N/A,FALSE,"Plan2"}</definedName>
    <definedName name="JHJ" localSheetId="4" hidden="1">{#N/A,#N/A,FALSE,"Plan1";#N/A,#N/A,FALSE,"Plan2"}</definedName>
    <definedName name="JHJ" hidden="1">{#N/A,#N/A,FALSE,"Plan1";#N/A,#N/A,FALSE,"Plan2"}</definedName>
    <definedName name="JHMB" localSheetId="11" hidden="1">{#N/A,#N/A,FALSE,"Plan1";#N/A,#N/A,FALSE,"Plan2"}</definedName>
    <definedName name="JHMB" localSheetId="3" hidden="1">{#N/A,#N/A,FALSE,"Plan1";#N/A,#N/A,FALSE,"Plan2"}</definedName>
    <definedName name="JHMB" localSheetId="2" hidden="1">{#N/A,#N/A,FALSE,"Plan1";#N/A,#N/A,FALSE,"Plan2"}</definedName>
    <definedName name="JHMB" localSheetId="0" hidden="1">{#N/A,#N/A,FALSE,"Plan1";#N/A,#N/A,FALSE,"Plan2"}</definedName>
    <definedName name="JHMB" localSheetId="4" hidden="1">{#N/A,#N/A,FALSE,"Plan1";#N/A,#N/A,FALSE,"Plan2"}</definedName>
    <definedName name="JHMB" hidden="1">{#N/A,#N/A,FALSE,"Plan1";#N/A,#N/A,FALSE,"Plan2"}</definedName>
    <definedName name="jjreajl" localSheetId="3">#REF!</definedName>
    <definedName name="jjreajl" localSheetId="4">#REF!</definedName>
    <definedName name="jjreajl">#REF!</definedName>
    <definedName name="JKL" localSheetId="11" hidden="1">{#N/A,#N/A,FALSE,"Plan1";#N/A,#N/A,FALSE,"Plan2"}</definedName>
    <definedName name="JKL" localSheetId="3" hidden="1">{#N/A,#N/A,FALSE,"Plan1";#N/A,#N/A,FALSE,"Plan2"}</definedName>
    <definedName name="JKL" localSheetId="2" hidden="1">{#N/A,#N/A,FALSE,"Plan1";#N/A,#N/A,FALSE,"Plan2"}</definedName>
    <definedName name="JKL" localSheetId="0" hidden="1">{#N/A,#N/A,FALSE,"Plan1";#N/A,#N/A,FALSE,"Plan2"}</definedName>
    <definedName name="JKL" localSheetId="4" hidden="1">{#N/A,#N/A,FALSE,"Plan1";#N/A,#N/A,FALSE,"Plan2"}</definedName>
    <definedName name="JKL" hidden="1">{#N/A,#N/A,FALSE,"Plan1";#N/A,#N/A,FALSE,"Plan2"}</definedName>
    <definedName name="JObra" localSheetId="3">#REF!</definedName>
    <definedName name="JObra" localSheetId="4">#REF!</definedName>
    <definedName name="JObra">#REF!</definedName>
    <definedName name="Jose" localSheetId="3">#REF!</definedName>
    <definedName name="Jose" localSheetId="4">#REF!</definedName>
    <definedName name="Jose">#REF!</definedName>
    <definedName name="jtem" localSheetId="11">_L31C18</definedName>
    <definedName name="jtem" localSheetId="9">_L31C18</definedName>
    <definedName name="jtem" localSheetId="3">_L31C18</definedName>
    <definedName name="jtem" localSheetId="10">_L31C18</definedName>
    <definedName name="jtem" localSheetId="2">_L31C18</definedName>
    <definedName name="jtem" localSheetId="8">_L31C18</definedName>
    <definedName name="jtem" localSheetId="0">_L31C18</definedName>
    <definedName name="jtem" localSheetId="4">_L31C18</definedName>
    <definedName name="jtem">_L31C18</definedName>
    <definedName name="JTInflacaoPrev" localSheetId="3">#REF!</definedName>
    <definedName name="JTInflacaoPrev" localSheetId="4">#REF!</definedName>
    <definedName name="JTInflacaoPrev">#REF!</definedName>
    <definedName name="JUltimoReaj" localSheetId="3">#REF!</definedName>
    <definedName name="JUltimoReaj" localSheetId="4">#REF!</definedName>
    <definedName name="JUltimoReaj">#REF!</definedName>
    <definedName name="Juro00">#REF!</definedName>
    <definedName name="juros" localSheetId="3">#REF!</definedName>
    <definedName name="juros" localSheetId="4">#REF!</definedName>
    <definedName name="juros">#REF!</definedName>
    <definedName name="juros_ato2">#REF!</definedName>
    <definedName name="k">#REF!</definedName>
    <definedName name="KLKKLKÇJÇ" localSheetId="11" hidden="1">{#N/A,#N/A,FALSE,"Plan1";#N/A,#N/A,FALSE,"Plan2"}</definedName>
    <definedName name="KLKKLKÇJÇ" localSheetId="3" hidden="1">{#N/A,#N/A,FALSE,"Plan1";#N/A,#N/A,FALSE,"Plan2"}</definedName>
    <definedName name="KLKKLKÇJÇ" localSheetId="2" hidden="1">{#N/A,#N/A,FALSE,"Plan1";#N/A,#N/A,FALSE,"Plan2"}</definedName>
    <definedName name="KLKKLKÇJÇ" localSheetId="0" hidden="1">{#N/A,#N/A,FALSE,"Plan1";#N/A,#N/A,FALSE,"Plan2"}</definedName>
    <definedName name="KLKKLKÇJÇ" localSheetId="4" hidden="1">{#N/A,#N/A,FALSE,"Plan1";#N/A,#N/A,FALSE,"Plan2"}</definedName>
    <definedName name="KLKKLKÇJÇ" hidden="1">{#N/A,#N/A,FALSE,"Plan1";#N/A,#N/A,FALSE,"Plan2"}</definedName>
    <definedName name="KM">#REF!</definedName>
    <definedName name="koae">#REF!</definedName>
    <definedName name="kok">#N/A</definedName>
    <definedName name="kpavi">#REF!</definedName>
    <definedName name="kterra">#REF!</definedName>
    <definedName name="L_">#REF!</definedName>
    <definedName name="LAE">#REF!</definedName>
    <definedName name="LAIR">#REF!</definedName>
    <definedName name="LANC">#REF!</definedName>
    <definedName name="lancamento">#REF!</definedName>
    <definedName name="Laporte" localSheetId="3">#REF!</definedName>
    <definedName name="Laporte" localSheetId="4">#REF!</definedName>
    <definedName name="Laporte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dividendo" localSheetId="3">#REF!</definedName>
    <definedName name="Ldividendo" localSheetId="4">#REF!</definedName>
    <definedName name="Ldividendo">#REF!</definedName>
    <definedName name="legtotais" localSheetId="3">#REF!</definedName>
    <definedName name="legtotais" localSheetId="4">#REF!</definedName>
    <definedName name="legtotais">#REF!</definedName>
    <definedName name="LEIS">#REF!</definedName>
    <definedName name="lista" localSheetId="3">#REF!</definedName>
    <definedName name="lista" localSheetId="4">#REF!</definedName>
    <definedName name="lista">#REF!</definedName>
    <definedName name="Lista_Comparacao" localSheetId="3">#REF!</definedName>
    <definedName name="Lista_Comparacao" localSheetId="4">#REF!</definedName>
    <definedName name="Lista_Comparacao">#REF!</definedName>
    <definedName name="Lista_Comparacao." localSheetId="3">#REF!</definedName>
    <definedName name="Lista_Comparacao." localSheetId="4">#REF!</definedName>
    <definedName name="Lista_Comparacao.">#REF!</definedName>
    <definedName name="Lista_de_tipo_de_rua" localSheetId="3">#REF!</definedName>
    <definedName name="Lista_de_tipo_de_rua" localSheetId="4">#REF!</definedName>
    <definedName name="Lista_de_tipo_de_rua">#REF!</definedName>
    <definedName name="lista_meses" localSheetId="3">#REF!</definedName>
    <definedName name="lista_meses" localSheetId="4">#REF!</definedName>
    <definedName name="lista_meses">#REF!</definedName>
    <definedName name="ll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ONGA">#REF!</definedName>
    <definedName name="longa_1617">#REF!</definedName>
    <definedName name="LONGA1" localSheetId="3">#REF!</definedName>
    <definedName name="LONGA1" localSheetId="4">#REF!</definedName>
    <definedName name="LONGA1">#REF!</definedName>
    <definedName name="LSRange1">#REF!</definedName>
    <definedName name="LSRange1Balance">#REF!</definedName>
    <definedName name="m">#REF!</definedName>
    <definedName name="M_">#REF!</definedName>
    <definedName name="MACROS">#REF!</definedName>
    <definedName name="MAR">#REF!</definedName>
    <definedName name="Margem_Unitária">#REF!</definedName>
    <definedName name="MARGENS_DE_CONTRIBUIÇÃO_UNITÁRIAS__R__e_US____tonelada">#REF!</definedName>
    <definedName name="MAT">#REF!</definedName>
    <definedName name="mat_imp" localSheetId="3">#REF!</definedName>
    <definedName name="mat_imp" localSheetId="4">#REF!</definedName>
    <definedName name="mat_imp">#REF!</definedName>
    <definedName name="mat_imp_cs_asahi" localSheetId="3">#REF!</definedName>
    <definedName name="mat_imp_cs_asahi" localSheetId="4">#REF!</definedName>
    <definedName name="mat_imp_cs_asahi">#REF!</definedName>
    <definedName name="MEDIÇ">#REF!</definedName>
    <definedName name="meio_empreendimento">#REF!</definedName>
    <definedName name="MEIO_FIO">#REF!</definedName>
    <definedName name="mensais_curta" localSheetId="3">#REF!</definedName>
    <definedName name="mensais_curta" localSheetId="4">#REF!</definedName>
    <definedName name="mensais_curta">#REF!</definedName>
    <definedName name="mensais_longa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rcados" localSheetId="3">#REF!</definedName>
    <definedName name="mercados" localSheetId="4">#REF!</definedName>
    <definedName name="mercados">#REF!</definedName>
    <definedName name="merd" hidden="1">#REF!</definedName>
    <definedName name="mes" localSheetId="3">#REF!</definedName>
    <definedName name="mes" localSheetId="4">#REF!</definedName>
    <definedName name="mes">#REF!</definedName>
    <definedName name="meses" localSheetId="3">#REF!</definedName>
    <definedName name="meses" localSheetId="4">#REF!</definedName>
    <definedName name="meses">#REF!</definedName>
    <definedName name="Mext" localSheetId="3">#REF!</definedName>
    <definedName name="Mext" localSheetId="4">#REF!</definedName>
    <definedName name="Mext">#REF!</definedName>
    <definedName name="MILEAGE">#REF!</definedName>
    <definedName name="mj">#N/A</definedName>
    <definedName name="mmmmm" localSheetId="11" hidden="1">{"tabela",#N/A,FALSE,"Tabela";"decoração",#N/A,FALSE,"Decor.";"Informações",#N/A,FALSE,"Inform."}</definedName>
    <definedName name="mmmmm" localSheetId="3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">#REF!</definedName>
    <definedName name="mmmmm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>#REF!</definedName>
    <definedName name="mo_base" localSheetId="3">#REF!</definedName>
    <definedName name="mo_base" localSheetId="4">#REF!</definedName>
    <definedName name="mo_base">#REF!</definedName>
    <definedName name="mo_sub_base" localSheetId="3">#REF!</definedName>
    <definedName name="mo_sub_base" localSheetId="4">#REF!</definedName>
    <definedName name="mo_sub_base">#REF!</definedName>
    <definedName name="MOBR">#REF!</definedName>
    <definedName name="mod" localSheetId="3">#REF!</definedName>
    <definedName name="mod" localSheetId="4">#REF!</definedName>
    <definedName name="mod">#REF!</definedName>
    <definedName name="modo_relatorio" localSheetId="3">#REF!</definedName>
    <definedName name="modo_relatorio" localSheetId="4">#REF!</definedName>
    <definedName name="modo_relatorio">#REF!</definedName>
    <definedName name="MOE">#REF!</definedName>
    <definedName name="moeda" localSheetId="3">#REF!</definedName>
    <definedName name="moeda" localSheetId="4">#REF!</definedName>
    <definedName name="moeda">#REF!</definedName>
    <definedName name="MOH">#REF!</definedName>
    <definedName name="MOV.000.C.0.00.0000.00.00.24401010001">615712.52999973</definedName>
    <definedName name="MOV.000.C.0.00.0000.00.00.24401010002">61571.25</definedName>
    <definedName name="MOV.000.C.0.00.0000.00.00.D1074">3439383.08001709</definedName>
    <definedName name="MOV.000.C.0.00.0000.00.00.D1075">84926.49000001</definedName>
    <definedName name="MOV.000.C.0.00.2000.00.00.24401010001">615712.52999973</definedName>
    <definedName name="MOV.000.C.0.00.2000.00.00.24401010002">61571.25</definedName>
    <definedName name="MOV.000.C.0.01.0000.00.00.D1074">3439383.08001709</definedName>
    <definedName name="MOV.000.C.0.01.0000.00.00.D1075">84926.49000001</definedName>
    <definedName name="MOV.000.C.0.01.0000.00.01.D1074">3439</definedName>
    <definedName name="MOV.000.C.0.01.0000.00.01.D1075">85</definedName>
    <definedName name="MOV.000.C.0.01.0000.00.01.D1076">1646</definedName>
    <definedName name="MOV.000.C.0.01.0000.00.01.D997">5051</definedName>
    <definedName name="MOV.000.C.0.01.2001.00.01.44101010019">-326</definedName>
    <definedName name="MOV.000.C.0.01.2001.00.01.44101020008">-1321</definedName>
    <definedName name="MOV.000.C.0.02.0000.00.01.D1074">-3473</definedName>
    <definedName name="MOV.000.C.0.02.0000.00.01.D1075">-269</definedName>
    <definedName name="MOV.000.C.0.02.0000.00.01.D1076">6523</definedName>
    <definedName name="MOV.000.C.0.02.0000.00.01.D997">5030</definedName>
    <definedName name="MOV.000.C.0.02.2001.00.01.44101010019">-289</definedName>
    <definedName name="MOV.000.C.0.02.2001.00.01.44101020008">-6234</definedName>
    <definedName name="MOV.000.C.0.03.0000.00.01.D1074">-5358</definedName>
    <definedName name="MOV.000.C.0.03.0000.00.01.D1075">-2243</definedName>
    <definedName name="MOV.000.C.0.03.0000.00.01.D1076">9160</definedName>
    <definedName name="MOV.000.C.0.03.0000.00.01.D997">5019</definedName>
    <definedName name="MOV.000.C.0.03.2001.00.01.44101010019">-313</definedName>
    <definedName name="MOV.000.C.0.03.2001.00.01.44101020008">-8847</definedName>
    <definedName name="MOV.000.C.0.04.0000.00.01.D1074">412</definedName>
    <definedName name="MOV.000.C.0.04.0000.00.01.D1075">183</definedName>
    <definedName name="MOV.000.C.0.04.0000.00.01.D1076">2008</definedName>
    <definedName name="MOV.000.C.0.04.0000.00.01.D997">5002</definedName>
    <definedName name="MOV.000.C.0.04.2001.00.01.44101010019">-299</definedName>
    <definedName name="MOV.000.C.0.04.2001.00.01.44101020008">-1708</definedName>
    <definedName name="MOV.000.C.0.05.0000.00.01.D1074">-9275</definedName>
    <definedName name="MOV.000.C.0.05.0000.00.01.D1075">-4627</definedName>
    <definedName name="MOV.000.C.0.05.0000.00.01.D1076">13237</definedName>
    <definedName name="MOV.000.C.0.05.0000.00.01.D997">5009</definedName>
    <definedName name="MOV.000.C.0.05.2001.00.01.44101010019">-304</definedName>
    <definedName name="MOV.000.C.0.05.2001.00.01.44101020008">-12933</definedName>
    <definedName name="MOV.000.C.0.06.0000.00.01.D1074">4258</definedName>
    <definedName name="MOV.000.C.0.06.0000.00.01.D1075">2228</definedName>
    <definedName name="MOV.000.C.0.06.0000.00.01.D1076">-3697</definedName>
    <definedName name="MOV.000.C.0.06.0000.00.01.D997">5017</definedName>
    <definedName name="MOV.000.C.0.06.2001.00.01.44101010019">-289</definedName>
    <definedName name="MOV.000.C.0.06.2001.00.01.44101020008">3985</definedName>
    <definedName name="MOV.000.C.0.07.0000.00.01.D1074">-6585</definedName>
    <definedName name="MOV.000.C.0.07.0000.00.01.D1075">-3379</definedName>
    <definedName name="MOV.000.C.0.07.0000.00.01.D1076">9458</definedName>
    <definedName name="MOV.000.C.0.07.0000.00.01.D997">5013</definedName>
    <definedName name="MOV.000.C.0.07.2001.00.01.44101010019">-315</definedName>
    <definedName name="MOV.000.C.0.07.2001.00.01.44101020008">-9142</definedName>
    <definedName name="MOV.000.C.0.08.0000.00.01.D1074">-4925</definedName>
    <definedName name="MOV.000.C.0.08.0000.00.01.D1075">-2364</definedName>
    <definedName name="MOV.000.C.0.08.0000.00.01.D1076">9018</definedName>
    <definedName name="MOV.000.C.0.08.0000.00.01.D997">4562</definedName>
    <definedName name="MOV.000.C.0.08.2001.00.01.44101010019">-309</definedName>
    <definedName name="MOV.000.C.0.08.2001.00.01.44101020008">-8708</definedName>
    <definedName name="MOV.000.C.0.09.0000.00.00.D997">4972951.86000061</definedName>
    <definedName name="MOV.000.C.0.09.0000.00.01.D1074">-1945</definedName>
    <definedName name="MOV.000.C.0.09.0000.00.01.D1075">-972</definedName>
    <definedName name="MOV.000.C.0.09.0000.00.01.D1076">2262</definedName>
    <definedName name="MOV.000.C.0.09.0000.00.01.D997">4549</definedName>
    <definedName name="MOV.000.C.0.09.2001.00.01.44101010019">-295</definedName>
    <definedName name="MOV.000.C.0.09.2001.00.01.44101020008">-9024</definedName>
    <definedName name="MOV.000.C.0.09.2001.00.01.D1074">-1945</definedName>
    <definedName name="MOV.000.C.0.09.2001.00.01.D1075">-972</definedName>
    <definedName name="MOV.000.C.0.09.2001.00.01.D997">4549</definedName>
    <definedName name="MOV.000.C.0.10.0000.00.01.D1074">581</definedName>
    <definedName name="MOV.000.C.0.10.0000.00.01.D1075">508</definedName>
    <definedName name="MOV.000.C.0.10.0000.00.01.D1076">5991</definedName>
    <definedName name="MOV.000.C.0.10.0000.00.01.D997">4973</definedName>
    <definedName name="MOV.000.C.0.10.2001.00.01.44101010019">-340</definedName>
    <definedName name="MOV.000.C.0.10.2001.00.01.44101020008">-2225</definedName>
    <definedName name="MOV.000.C.0.10.2001.00.01.D1074">4474</definedName>
    <definedName name="MOV.000.C.0.10.2001.00.01.D1075">2317</definedName>
    <definedName name="MOV.000.C.0.10.2001.00.01.D997">4559</definedName>
    <definedName name="MOV.000.C.0.11.0000.00.01.D1074">-413</definedName>
    <definedName name="MOV.000.C.0.11.0000.00.01.D1075">-142</definedName>
    <definedName name="MOV.000.C.0.11.0000.00.01.D1076">4680</definedName>
    <definedName name="MOV.000.C.0.11.0000.00.01.D997">5095</definedName>
    <definedName name="MOV.000.C.0.11.2001.00.01.22201010001">297</definedName>
    <definedName name="MOV.000.C.0.11.2001.00.01.44101010019">-324</definedName>
    <definedName name="MOV.000.C.0.11.2001.00.01.44101020008">11071</definedName>
    <definedName name="MOV.000.C.0.11.2001.00.01.D1074">14782</definedName>
    <definedName name="MOV.000.C.0.11.2001.00.01.D1075">7744</definedName>
    <definedName name="MOV.000.C.0.11.2001.00.01.D997">4584</definedName>
    <definedName name="MOV.000.C.0.12.0000.00.01.D1074">0</definedName>
    <definedName name="MOV.000.C.0.12.0000.00.01.D1075">0</definedName>
    <definedName name="MOV.000.C.0.12.0000.00.01.D1076">0</definedName>
    <definedName name="MOV.000.C.0.12.0000.00.01.D997">0</definedName>
    <definedName name="MOV.000.C.0.12.2000.00.00.24401010001">615712.52999973</definedName>
    <definedName name="MOV.000.C.0.12.2000.00.00.24401010002">61571.25</definedName>
    <definedName name="MOV.000.C.0.12.2000.00.01.24401010001">1123</definedName>
    <definedName name="MOV.000.C.0.12.2000.00.01.24401010002">112</definedName>
    <definedName name="MOV.000.C.0.12.2001.00.01.22201010001">312</definedName>
    <definedName name="MOV.000.C.0.12.2001.00.01.44101010019">-329</definedName>
    <definedName name="MOV.000.C.0.12.2001.00.01.44101020008">12608</definedName>
    <definedName name="MOV.000.C.0.12.2001.00.01.D1074">9154</definedName>
    <definedName name="MOV.000.C.0.12.2001.00.01.D1075">1912</definedName>
    <definedName name="MOV.000.C.0.12.2001.00.01.D997">4621</definedName>
    <definedName name="MOV.087.C.0.01.0000.00.01.D1035">6124</definedName>
    <definedName name="MOV.087.C.0.02.0000.00.01.D1035">7771</definedName>
    <definedName name="MOV.087.C.0.02.2001.00.01.34">1008</definedName>
    <definedName name="MOV.087.C.0.02.2001.00.01.44">-11828</definedName>
    <definedName name="MOV.087.C.0.02.2001.00.01.D997">5030</definedName>
    <definedName name="MOV.087.C.0.03.0000.00.01.D1035">7609</definedName>
    <definedName name="MOV.087.C.0.03.2001.00.01.34">432</definedName>
    <definedName name="MOV.087.C.0.03.2001.00.01.44">-16259</definedName>
    <definedName name="MOV.087.C.0.03.2001.00.01.D997">5019</definedName>
    <definedName name="MOV.087.C.0.04.0000.00.01.D1035">7609</definedName>
    <definedName name="MOV.087.C.0.05.0000.00.01.D1035">7609</definedName>
    <definedName name="MOV.087.C.0.06.0000.00.01.D1035">7609</definedName>
    <definedName name="MOV.087.C.0.07.0000.00.01.D1035">7609</definedName>
    <definedName name="MOV.087.C.0.07.2001.00.01.D1035">7609</definedName>
    <definedName name="MOV.087.C.0.08.2000.00.01.D1035">7659</definedName>
    <definedName name="MOV.087.C.0.08.2001.00.01.D1035">8902</definedName>
    <definedName name="MOV.087.C.0.09.2000.00.01.41102010014">-7771</definedName>
    <definedName name="MOV.087.C.0.09.2000.00.01.D1035">7771</definedName>
    <definedName name="MOV.087.C.0.09.2001.00.01.D1035">8962</definedName>
    <definedName name="MOV.087.C.0.10.2000.00.01.D1035">7771</definedName>
    <definedName name="MOV.087.C.0.10.2001.00.01.D1035">8756</definedName>
    <definedName name="MOV.087.C.0.11.2000.00.01.D1035">7771</definedName>
    <definedName name="MOV.087.C.0.11.2001.00.01.D1035">8359</definedName>
    <definedName name="MOV.087.C.0.12.0000.00.01.D1035">0</definedName>
    <definedName name="MOV.087.C.0.12.2000.00.01.D1035">7771</definedName>
    <definedName name="MOV.087.C.0.12.2001.00.01.D1035">8558</definedName>
    <definedName name="MULT" localSheetId="3">#REF!</definedName>
    <definedName name="MULT" localSheetId="4">#REF!</definedName>
    <definedName name="MULT">#REF!</definedName>
    <definedName name="multi">#REF!</definedName>
    <definedName name="MUN_LITO">#N/A</definedName>
    <definedName name="MURO">#REF!</definedName>
    <definedName name="mymymy">#N/A</definedName>
    <definedName name="n">27</definedName>
    <definedName name="N_LOCAL">#N/A</definedName>
    <definedName name="nada">#REF!</definedName>
    <definedName name="NB" localSheetId="3">#REF!</definedName>
    <definedName name="NB" localSheetId="4">#REF!</definedName>
    <definedName name="NB">#REF!</definedName>
    <definedName name="NBV" localSheetId="11" hidden="1">{#N/A,#N/A,FALSE,"Plan1";#N/A,#N/A,FALSE,"Plan2"}</definedName>
    <definedName name="NBV" localSheetId="3" hidden="1">{#N/A,#N/A,FALSE,"Plan1";#N/A,#N/A,FALSE,"Plan2"}</definedName>
    <definedName name="NBV" localSheetId="2" hidden="1">{#N/A,#N/A,FALSE,"Plan1";#N/A,#N/A,FALSE,"Plan2"}</definedName>
    <definedName name="NBV" localSheetId="0" hidden="1">{#N/A,#N/A,FALSE,"Plan1";#N/A,#N/A,FALSE,"Plan2"}</definedName>
    <definedName name="NBV" localSheetId="4" hidden="1">{#N/A,#N/A,FALSE,"Plan1";#N/A,#N/A,FALSE,"Plan2"}</definedName>
    <definedName name="NBV" hidden="1">{#N/A,#N/A,FALSE,"Plan1";#N/A,#N/A,FALSE,"Plan2"}</definedName>
    <definedName name="Negócio" localSheetId="3">#REF!</definedName>
    <definedName name="Negócio" localSheetId="4">#REF!</definedName>
    <definedName name="Negócio">#REF!</definedName>
    <definedName name="neiva">#REF!</definedName>
    <definedName name="NewMatrix" localSheetId="3">#REF!</definedName>
    <definedName name="NewMatrix" localSheetId="4">#REF!</definedName>
    <definedName name="NewMatrix">#REF!</definedName>
    <definedName name="N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NN" localSheetId="11" hidden="1">{#N/A,#N/A,FALSE,"Plan1";#N/A,#N/A,FALSE,"Plan2"}</definedName>
    <definedName name="NNN" localSheetId="3" hidden="1">{#N/A,#N/A,FALSE,"Plan1";#N/A,#N/A,FALSE,"Plan2"}</definedName>
    <definedName name="NNN" localSheetId="2" hidden="1">{#N/A,#N/A,FALSE,"Plan1";#N/A,#N/A,FALSE,"Plan2"}</definedName>
    <definedName name="NNN" localSheetId="0" hidden="1">{#N/A,#N/A,FALSE,"Plan1";#N/A,#N/A,FALSE,"Plan2"}</definedName>
    <definedName name="NNN" localSheetId="4" hidden="1">{#N/A,#N/A,FALSE,"Plan1";#N/A,#N/A,FALSE,"Plan2"}</definedName>
    <definedName name="NNN" hidden="1">{#N/A,#N/A,FALSE,"Plan1";#N/A,#N/A,FALSE,"Plan2"}</definedName>
    <definedName name="no" localSheetId="3">#REF!</definedName>
    <definedName name="no" localSheetId="4">#REF!</definedName>
    <definedName name="no">#REF!</definedName>
    <definedName name="not">#REF!</definedName>
    <definedName name="nota1">#REF!</definedName>
    <definedName name="NOTES_1">#REF!</definedName>
    <definedName name="NOTES_10">#REF!</definedName>
    <definedName name="NOTES_2">#REF!</definedName>
    <definedName name="NOTES_3">#REF!</definedName>
    <definedName name="NOTES_5">#REF!</definedName>
    <definedName name="NOTES_6">#REF!</definedName>
    <definedName name="NOTES_7">#REF!</definedName>
    <definedName name="NOTES_8">#REF!</definedName>
    <definedName name="NOTES_9">#REF!</definedName>
    <definedName name="num_linhas">#REF!</definedName>
    <definedName name="num_mensal2" localSheetId="3">#REF!</definedName>
    <definedName name="num_mensal2" localSheetId="4">#REF!</definedName>
    <definedName name="num_mensal2">#REF!</definedName>
    <definedName name="NumofGrpAccts" hidden="1">2</definedName>
    <definedName name="NUN_FRON">#N/A</definedName>
    <definedName name="O" localSheetId="3">#REF!</definedName>
    <definedName name="O" localSheetId="4">#REF!</definedName>
    <definedName name="O">#REF!</definedName>
    <definedName name="O_A_REF">#N/A</definedName>
    <definedName name="O_C_REF">#N/A</definedName>
    <definedName name="O1_97" localSheetId="3">#REF!</definedName>
    <definedName name="O1_97" localSheetId="4">#REF!</definedName>
    <definedName name="O1_97">#REF!</definedName>
    <definedName name="O2_97" localSheetId="3">#REF!</definedName>
    <definedName name="O2_97" localSheetId="4">#REF!</definedName>
    <definedName name="O2_97">#REF!</definedName>
    <definedName name="O23O">#REF!</definedName>
    <definedName name="O3_97" localSheetId="3">#REF!</definedName>
    <definedName name="O3_97" localSheetId="4">#REF!</definedName>
    <definedName name="O3_97">#REF!</definedName>
    <definedName name="O4_97" localSheetId="3">#REF!</definedName>
    <definedName name="O4_97" localSheetId="4">#REF!</definedName>
    <definedName name="O4_97">#REF!</definedName>
    <definedName name="O5_97" localSheetId="3">#REF!</definedName>
    <definedName name="O5_97" localSheetId="4">#REF!</definedName>
    <definedName name="O5_97">#REF!</definedName>
    <definedName name="O6_97" localSheetId="3">#REF!</definedName>
    <definedName name="O6_97" localSheetId="4">#REF!</definedName>
    <definedName name="O6_97">#REF!</definedName>
    <definedName name="OA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c">#REF!</definedName>
    <definedName name="oae">#REF!</definedName>
    <definedName name="ocom">#REF!</definedName>
    <definedName name="OD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EXIGIBI">#REF!</definedName>
    <definedName name="oi">#N/A</definedName>
    <definedName name="olga">#REF!</definedName>
    <definedName name="oo">#N/A</definedName>
    <definedName name="oooo">#N/A</definedName>
    <definedName name="oooooo">#N/A</definedName>
    <definedName name="opçao" localSheetId="3">#REF!</definedName>
    <definedName name="opçao" localSheetId="4">#REF!</definedName>
    <definedName name="opçao">#REF!</definedName>
    <definedName name="oper">#REF!</definedName>
    <definedName name="operacional" localSheetId="3">#REF!</definedName>
    <definedName name="operacional" localSheetId="4">#REF!</definedName>
    <definedName name="operacional">#REF!</definedName>
    <definedName name="operations">#REF!</definedName>
    <definedName name="ORIG1">#REF!</definedName>
    <definedName name="ORIG2">#REF!</definedName>
    <definedName name="ORIG3">#REF!</definedName>
    <definedName name="ORIG4">#REF!</definedName>
    <definedName name="origen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in" localSheetId="3">#REF!</definedName>
    <definedName name="origin" localSheetId="4">#REF!</definedName>
    <definedName name="origin">#REF!</definedName>
    <definedName name="over">#REF!</definedName>
    <definedName name="p">0.2225</definedName>
    <definedName name="Página_01">#REF!</definedName>
    <definedName name="Página_02">#REF!</definedName>
    <definedName name="Página_03">#REF!</definedName>
    <definedName name="Página_04">#REF!</definedName>
    <definedName name="Página_05">#REF!</definedName>
    <definedName name="Página_06">#REF!</definedName>
    <definedName name="Página_07">#REF!</definedName>
    <definedName name="Página_08">#REF!</definedName>
    <definedName name="Página_09">#REF!</definedName>
    <definedName name="Página_10">#REF!</definedName>
    <definedName name="Página_11">#REF!</definedName>
    <definedName name="Página_12">#REF!</definedName>
    <definedName name="Página_13" localSheetId="3">#REF!</definedName>
    <definedName name="Página_13" localSheetId="4">#REF!</definedName>
    <definedName name="Página_13">#REF!</definedName>
    <definedName name="Página_13." localSheetId="3">#REF!</definedName>
    <definedName name="Página_13." localSheetId="4">#REF!</definedName>
    <definedName name="Página_13.">#REF!</definedName>
    <definedName name="Página_14" localSheetId="3">#REF!</definedName>
    <definedName name="Página_14" localSheetId="4">#REF!</definedName>
    <definedName name="Página_14">#REF!</definedName>
    <definedName name="Página_14." localSheetId="3">#REF!</definedName>
    <definedName name="Página_14." localSheetId="4">#REF!</definedName>
    <definedName name="Página_14.">#REF!</definedName>
    <definedName name="PARAMO" localSheetId="3">#REF!</definedName>
    <definedName name="PARAMO" localSheetId="4">#REF!</definedName>
    <definedName name="PARAMO">#REF!</definedName>
    <definedName name="parc_mensal">#REF!</definedName>
    <definedName name="participacao">#REF!</definedName>
    <definedName name="pass" localSheetId="3">#REF!</definedName>
    <definedName name="pass" localSheetId="4">#REF!</definedName>
    <definedName name="pass">#REF!</definedName>
    <definedName name="passi" localSheetId="3">#REF!</definedName>
    <definedName name="passi" localSheetId="4">#REF!</definedName>
    <definedName name="passi">#REF!</definedName>
    <definedName name="passivo">#REF!</definedName>
    <definedName name="pasta1">#REF!</definedName>
    <definedName name="pato" localSheetId="3">#REF!</definedName>
    <definedName name="pato" localSheetId="4">#REF!</definedName>
    <definedName name="pato">#REF!</definedName>
    <definedName name="pav">#REF!</definedName>
    <definedName name="pavi">#REF!</definedName>
    <definedName name="PD">#REF!</definedName>
    <definedName name="PE">#REF!</definedName>
    <definedName name="perc_contingencia" localSheetId="3">#REF!</definedName>
    <definedName name="perc_contingencia" localSheetId="4">#REF!</definedName>
    <definedName name="perc_contingencia">#REF!</definedName>
    <definedName name="perc_edificacao" localSheetId="3">#REF!</definedName>
    <definedName name="perc_edificacao" localSheetId="4">#REF!</definedName>
    <definedName name="perc_edificacao">#REF!</definedName>
    <definedName name="Perc_est_consorcio">#REF!</definedName>
    <definedName name="Percentual_Ato1" localSheetId="3">#REF!</definedName>
    <definedName name="Percentual_Ato1" localSheetId="4">#REF!</definedName>
    <definedName name="Percentual_Ato1">#REF!</definedName>
    <definedName name="Percentual_Mensais" localSheetId="3">#REF!</definedName>
    <definedName name="Percentual_Mensais" localSheetId="4">#REF!</definedName>
    <definedName name="Percentual_Mensais">#REF!</definedName>
    <definedName name="Periodo_comparacao" localSheetId="3">#REF!</definedName>
    <definedName name="Periodo_comparacao" localSheetId="4">#REF!</definedName>
    <definedName name="Periodo_comparacao">#REF!</definedName>
    <definedName name="perm">#REF!</definedName>
    <definedName name="permanent">#REF!</definedName>
    <definedName name="perpetuidade" localSheetId="3">#REF!</definedName>
    <definedName name="perpetuidade" localSheetId="4">#REF!</definedName>
    <definedName name="perpetuidade">#REF!</definedName>
    <definedName name="PessoasDA">#REF!</definedName>
    <definedName name="PessoasDB">#REF!</definedName>
    <definedName name="petroquímicas" localSheetId="3">#REF!</definedName>
    <definedName name="petroquímicas" localSheetId="4">#REF!</definedName>
    <definedName name="petroquímicas">#REF!</definedName>
    <definedName name="PHAROS_CURTA" localSheetId="3">#REF!</definedName>
    <definedName name="PHAROS_CURTA" localSheetId="4">#REF!</definedName>
    <definedName name="PHAROS_CURTA">#REF!</definedName>
    <definedName name="PHAROS_LONGA" localSheetId="3">#REF!</definedName>
    <definedName name="PHAROS_LONGA" localSheetId="4">#REF!</definedName>
    <definedName name="PHAROS_LONGA">#REF!</definedName>
    <definedName name="PIPING">#REF!</definedName>
    <definedName name="PIS" localSheetId="3">#REF!</definedName>
    <definedName name="PIS" localSheetId="4">#REF!</definedName>
    <definedName name="PIS">#REF!</definedName>
    <definedName name="PISCOFINS">#REF!</definedName>
    <definedName name="PL_ABC">#REF!</definedName>
    <definedName name="PLA_AFONSO" localSheetId="3">#REF!</definedName>
    <definedName name="PLA_AFONSO" localSheetId="4">#REF!</definedName>
    <definedName name="PLA_AFONSO">#REF!</definedName>
    <definedName name="PLA_AMAURY" localSheetId="3">#REF!</definedName>
    <definedName name="PLA_AMAURY" localSheetId="4">#REF!</definedName>
    <definedName name="PLA_AMAURY">#REF!</definedName>
    <definedName name="plan2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75">#REF!</definedName>
    <definedName name="planilha">#REF!</definedName>
    <definedName name="Planilhas">#REF!</definedName>
    <definedName name="PLANO">#REF!</definedName>
    <definedName name="plassarelas" localSheetId="3">#REF!</definedName>
    <definedName name="plassarelas" localSheetId="4">#REF!</definedName>
    <definedName name="plassarelas">#REF!</definedName>
    <definedName name="PLATTS" localSheetId="3">#REF!</definedName>
    <definedName name="PLATTS" localSheetId="4">#REF!</definedName>
    <definedName name="PLATTS">#REF!</definedName>
    <definedName name="PLATTS_1" localSheetId="3">#REF!</definedName>
    <definedName name="PLATTS_1" localSheetId="4">#REF!</definedName>
    <definedName name="PLATTS_1">#REF!</definedName>
    <definedName name="PM">#REF!</definedName>
    <definedName name="PN" localSheetId="3">#REF!</definedName>
    <definedName name="PN" localSheetId="4">#REF!</definedName>
    <definedName name="PN">#REF!</definedName>
    <definedName name="ponte">#REF!</definedName>
    <definedName name="POP_93">#N/A</definedName>
    <definedName name="pp">#N/A</definedName>
    <definedName name="pppp">#N/A</definedName>
    <definedName name="ppppp">#N/A</definedName>
    <definedName name="pppppp">#N/A</definedName>
    <definedName name="ppppppp">#N/A</definedName>
    <definedName name="pppppppp">#N/A</definedName>
    <definedName name="ppppppppp">#N/A</definedName>
    <definedName name="pppppppppp">#N/A</definedName>
    <definedName name="ppt_pistas_e_patios">#REF!</definedName>
    <definedName name="PR_DA_Beneficios">#REF!</definedName>
    <definedName name="PR_DA_Impostos">#REF!</definedName>
    <definedName name="PR_DA_Investimento">#REF!</definedName>
    <definedName name="PR_DA_InvestimentoCorrigido">#REF!</definedName>
    <definedName name="PR_DA_Lucro">#REF!</definedName>
    <definedName name="PR_DA_Margem">#REF!</definedName>
    <definedName name="PR_DA_Materiais">#REF!</definedName>
    <definedName name="PR_DA_Pessoas">#REF!</definedName>
    <definedName name="PR_DA_Salarios">#REF!</definedName>
    <definedName name="PR_DA_Total">#REF!</definedName>
    <definedName name="PR_DB_Beneficios">#REF!</definedName>
    <definedName name="PR_DB_Impostos">#REF!</definedName>
    <definedName name="PR_DB_Investimento">#REF!</definedName>
    <definedName name="PR_DB_InvestimentoCorrigido">#REF!</definedName>
    <definedName name="PR_DB_Lucro">#REF!</definedName>
    <definedName name="PR_DB_Margem">#REF!</definedName>
    <definedName name="PR_DB_Materiais">#REF!</definedName>
    <definedName name="PR_DB_Pessoas">#REF!</definedName>
    <definedName name="PR_DB_Salarios">#REF!</definedName>
    <definedName name="PR_DB_Total">#REF!</definedName>
    <definedName name="PR_Duracao">#REF!</definedName>
    <definedName name="PR_Inicio">#REF!</definedName>
    <definedName name="PR_LucroDA">#REF!</definedName>
    <definedName name="PR_LucroDB">#REF!</definedName>
    <definedName name="PR_Taxa">#REF!</definedName>
    <definedName name="PR_Titre">#REF!</definedName>
    <definedName name="PRE" localSheetId="3">#REF!</definedName>
    <definedName name="PRE" localSheetId="4">#REF!</definedName>
    <definedName name="PRE">#REF!</definedName>
    <definedName name="PreçoCP" localSheetId="3">#REF!</definedName>
    <definedName name="PreçoCP" localSheetId="4">#REF!</definedName>
    <definedName name="PreçoCP">#REF!</definedName>
    <definedName name="previsto">#REF!</definedName>
    <definedName name="principal">0.2225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xComGerenciamentoDA">#REF!</definedName>
    <definedName name="PrixComGerenciamentoDB">#REF!</definedName>
    <definedName name="PrixSemGerenciamentoDA">#REF!</definedName>
    <definedName name="PrixSemGerenciamentoDB">#REF!</definedName>
    <definedName name="prod_disp_H2" localSheetId="3">#REF!</definedName>
    <definedName name="prod_disp_H2" localSheetId="4">#REF!</definedName>
    <definedName name="prod_disp_H2">#REF!</definedName>
    <definedName name="prod_disp_HCl" localSheetId="3">#REF!</definedName>
    <definedName name="prod_disp_HCl" localSheetId="4">#REF!</definedName>
    <definedName name="prod_disp_HCl">#REF!</definedName>
    <definedName name="prod_disp_hipo" localSheetId="3">#REF!</definedName>
    <definedName name="prod_disp_hipo" localSheetId="4">#REF!</definedName>
    <definedName name="prod_disp_hipo">#REF!</definedName>
    <definedName name="product" localSheetId="3">#REF!</definedName>
    <definedName name="product" localSheetId="4">#REF!</definedName>
    <definedName name="product">#REF!</definedName>
    <definedName name="prog2">#REF!</definedName>
    <definedName name="PROPPOLI">#REF!</definedName>
    <definedName name="PX">#REF!</definedName>
    <definedName name="q">#N/A</definedName>
    <definedName name="qq">#N/A</definedName>
    <definedName name="qqq">#N/A</definedName>
    <definedName name="qqqq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>#N/A</definedName>
    <definedName name="qqqqqq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1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1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qqqq" localSheetId="3">#REF!</definedName>
    <definedName name="qqqqqqqqqqqqq" localSheetId="4">#REF!</definedName>
    <definedName name="qqqqqqqqqqqqq">#REF!</definedName>
    <definedName name="qqww">#N/A</definedName>
    <definedName name="QtdeDA">#REF!</definedName>
    <definedName name="QtdeDB">#REF!</definedName>
    <definedName name="QUANT_acumu">#REF!</definedName>
    <definedName name="qwqwqwqwq">#N/A</definedName>
    <definedName name="RAWE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a">#REF!</definedName>
    <definedName name="real">#REF!</definedName>
    <definedName name="real_dolar" localSheetId="3">#REF!</definedName>
    <definedName name="real_dolar" localSheetId="4">#REF!</definedName>
    <definedName name="real_dolar">#REF!</definedName>
    <definedName name="rec_oper_01" localSheetId="3">#REF!</definedName>
    <definedName name="rec_oper_01" localSheetId="4">#REF!</definedName>
    <definedName name="rec_oper_01">#REF!</definedName>
    <definedName name="rec_oper_02" localSheetId="3">#REF!</definedName>
    <definedName name="rec_oper_02" localSheetId="4">#REF!</definedName>
    <definedName name="rec_oper_02">#REF!</definedName>
    <definedName name="rec_oper_03" localSheetId="3">#REF!</definedName>
    <definedName name="rec_oper_03" localSheetId="4">#REF!</definedName>
    <definedName name="rec_oper_03">#REF!</definedName>
    <definedName name="receita">#REF!</definedName>
    <definedName name="RECEITAS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 localSheetId="3">#REF!</definedName>
    <definedName name="Ref_26" localSheetId="4">#REF!</definedName>
    <definedName name="Ref_26">#REF!</definedName>
    <definedName name="Ref_27" localSheetId="3">#REF!</definedName>
    <definedName name="Ref_27" localSheetId="4">#REF!</definedName>
    <definedName name="Ref_27">#REF!</definedName>
    <definedName name="Ref_30" localSheetId="3">#REF!</definedName>
    <definedName name="Ref_30" localSheetId="4">#REF!</definedName>
    <definedName name="Ref_30">#REF!</definedName>
    <definedName name="Ref_31" localSheetId="3">#REF!</definedName>
    <definedName name="Ref_31" localSheetId="4">#REF!</definedName>
    <definedName name="Ref_31">#REF!</definedName>
    <definedName name="Ref_32" localSheetId="3">#REF!</definedName>
    <definedName name="Ref_32" localSheetId="4">#REF!</definedName>
    <definedName name="Ref_32">#REF!</definedName>
    <definedName name="Ref_33" localSheetId="3">#REF!</definedName>
    <definedName name="Ref_33" localSheetId="4">#REF!</definedName>
    <definedName name="Ref_33">#REF!</definedName>
    <definedName name="Ref_34" localSheetId="3">#REF!</definedName>
    <definedName name="Ref_34" localSheetId="4">#REF!</definedName>
    <definedName name="Ref_34">#REF!</definedName>
    <definedName name="Ref_35" localSheetId="3">#REF!</definedName>
    <definedName name="Ref_35" localSheetId="4">#REF!</definedName>
    <definedName name="Ref_35">#REF!</definedName>
    <definedName name="Ref_36" localSheetId="3">#REF!</definedName>
    <definedName name="Ref_36" localSheetId="4">#REF!</definedName>
    <definedName name="Ref_36">#REF!</definedName>
    <definedName name="Ref_6" localSheetId="3">#REF!,#REF!</definedName>
    <definedName name="Ref_6" localSheetId="4">#REF!,#REF!</definedName>
    <definedName name="Ref_6">#REF!,#REF!</definedName>
    <definedName name="Ref_8">#REF!</definedName>
    <definedName name="Ref_9">#REF!</definedName>
    <definedName name="references" localSheetId="3">#REF!</definedName>
    <definedName name="references" localSheetId="4">#REF!</definedName>
    <definedName name="references">#REF!</definedName>
    <definedName name="references2" localSheetId="3">#REF!,#REF!,#REF!,#REF!,#REF!,#REF!,#REF!,#REF!,#REF!,#REF!,#REF!,#REF!,#REF!,#REF!,#REF!,#REF!,#REF!,#REF!,#REF!,#REF!,#REF!,#REF!,#REF!,#REF!,#REF!,#REF!,#REF!</definedName>
    <definedName name="references2" localSheetId="4">#REF!,#REF!,#REF!,#REF!,#REF!,#REF!,#REF!,#REF!,#REF!,#REF!,#REF!,#REF!,#REF!,#REF!,#REF!,#REF!,#REF!,#REF!,#REF!,#REF!,#REF!,#REF!,#REF!,#REF!,#REF!,#REF!,#REF!</definedName>
    <definedName name="references2">#REF!,#REF!,#REF!,#REF!,#REF!,#REF!,#REF!,#REF!,#REF!,#REF!,#REF!,#REF!,#REF!,#REF!,#REF!,#REF!,#REF!,#REF!,#REF!,#REF!,#REF!,#REF!,#REF!,#REF!,#REF!,#REF!,#REF!</definedName>
    <definedName name="referenciaf" localSheetId="3">#REF!</definedName>
    <definedName name="referenciaf" localSheetId="4">#REF!</definedName>
    <definedName name="referenciaf">#REF!</definedName>
    <definedName name="referenciafinal" localSheetId="3">#REF!</definedName>
    <definedName name="referenciafinal" localSheetId="4">#REF!</definedName>
    <definedName name="referenciafinal">#REF!</definedName>
    <definedName name="referencias" localSheetId="3">#REF!</definedName>
    <definedName name="referencias" localSheetId="4">#REF!</definedName>
    <definedName name="referencias">#REF!</definedName>
    <definedName name="REGID" localSheetId="3">#REF!</definedName>
    <definedName name="REGID" localSheetId="4">#REF!</definedName>
    <definedName name="REGID">#REF!</definedName>
    <definedName name="REGULA" localSheetId="3">#REF!</definedName>
    <definedName name="REGULA" localSheetId="4">#REF!</definedName>
    <definedName name="REGULA">#REF!</definedName>
    <definedName name="RES" localSheetId="3">#REF!</definedName>
    <definedName name="RES" localSheetId="4">#REF!</definedName>
    <definedName name="RES">#REF!</definedName>
    <definedName name="RES_1">#REF!</definedName>
    <definedName name="RES_2">#REF!</definedName>
    <definedName name="res_analit_LS">#REF!</definedName>
    <definedName name="rescanteiro">#REF!</definedName>
    <definedName name="resliquido">#REF!</definedName>
    <definedName name="RESUL_LS">#REF!</definedName>
    <definedName name="result_analit">#REF!</definedName>
    <definedName name="result_analit_LS1">#REF!</definedName>
    <definedName name="result_analit_LS2">#REF!</definedName>
    <definedName name="result_analit1">#REF!</definedName>
    <definedName name="result_analit2">#REF!</definedName>
    <definedName name="RESULTADO">#REF!</definedName>
    <definedName name="RESULTADO_SINTÉTICO">#REF!</definedName>
    <definedName name="resultado2" localSheetId="3">#REF!</definedName>
    <definedName name="resultado2" localSheetId="4">#REF!</definedName>
    <definedName name="resultado2">#REF!</definedName>
    <definedName name="resumo">#REF!</definedName>
    <definedName name="REV" localSheetId="3">#REF!</definedName>
    <definedName name="REV" localSheetId="4">#REF!</definedName>
    <definedName name="REV">#REF!</definedName>
    <definedName name="Riomais">#REF!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>#REF!</definedName>
    <definedName name="Rob">#REF!</definedName>
    <definedName name="RowLevel" hidden="1">1</definedName>
    <definedName name="rtwret" localSheetId="1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s" localSheetId="11" hidden="1">{#N/A,#N/A,FALSE,"Plan1";#N/A,#N/A,FALSE,"Plan2"}</definedName>
    <definedName name="s" localSheetId="3" hidden="1">{#N/A,#N/A,FALSE,"Plan1";#N/A,#N/A,FALSE,"Plan2"}</definedName>
    <definedName name="s" localSheetId="2" hidden="1">{#N/A,#N/A,FALSE,"Plan1";#N/A,#N/A,FALSE,"Plan2"}</definedName>
    <definedName name="s" localSheetId="0" hidden="1">{#N/A,#N/A,FALSE,"Plan1";#N/A,#N/A,FALSE,"Plan2"}</definedName>
    <definedName name="s" localSheetId="4" hidden="1">{#N/A,#N/A,FALSE,"Plan1";#N/A,#N/A,FALSE,"Plan2"}</definedName>
    <definedName name="s" hidden="1">{#N/A,#N/A,FALSE,"Plan1";#N/A,#N/A,FALSE,"Plan2"}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AME_L">#N/A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33s33">#REF!</definedName>
    <definedName name="sa" localSheetId="11">{0;0;0;0;9;#N/A;0.75;0.75;1;1;1;FALSE;FALSE;FALSE;FALSE;FALSE;#N/A;1;100;#N/A;#N/A;"&amp;A";"Page &amp;P"}</definedName>
    <definedName name="sa" localSheetId="3">{0;0;0;0;9;#N/A;0.75;0.75;1;1;1;FALSE;FALSE;FALSE;FALSE;FALSE;#N/A;1;100;#N/A;#N/A;"&amp;A";"Page &amp;P"}</definedName>
    <definedName name="sa" localSheetId="2">{0;0;0;0;9;#N/A;0.75;0.75;1;1;1;FALSE;FALSE;FALSE;FALSE;FALSE;#N/A;1;100;#N/A;#N/A;"&amp;A";"Page &amp;P"}</definedName>
    <definedName name="sa" localSheetId="0">{0;0;0;0;9;#N/A;0.75;0.75;1;1;1;FALSE;FALSE;FALSE;FALSE;FALSE;#N/A;1;100;#N/A;#N/A;"&amp;A";"Page &amp;P"}</definedName>
    <definedName name="sa" localSheetId="4">{0;0;0;0;9;#N/A;0.75;0.75;1;1;1;FALSE;FALSE;FALSE;FALSE;FALSE;#N/A;1;100;#N/A;#N/A;"&amp;A";"Page &amp;P"}</definedName>
    <definedName name="sa">{0;0;0;0;9;#N/A;0.75;0.75;1;1;1;FALSE;FALSE;FALSE;FALSE;FALSE;#N/A;1;100;#N/A;#N/A;"&amp;A";"Page &amp;P"}</definedName>
    <definedName name="sad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FETY">#REF!</definedName>
    <definedName name="Sal">#REF!</definedName>
    <definedName name="Salário">#REF!</definedName>
    <definedName name="SALDO1">#REF!</definedName>
    <definedName name="SALDO2">#REF!</definedName>
    <definedName name="SAPBEXrevision" hidden="1">1</definedName>
    <definedName name="SAPBEXsysID" hidden="1">"BP0"</definedName>
    <definedName name="SAPBEXwbID" hidden="1">"46N210UZD7ER8VUKGA6KWCWVB"</definedName>
    <definedName name="sasas">#REF!</definedName>
    <definedName name="SaveNewFile">#N/A</definedName>
    <definedName name="sbb" localSheetId="11" hidden="1">{#N/A,#N/A,FALSE,"Plan1";#N/A,#N/A,FALSE,"Plan2"}</definedName>
    <definedName name="sbb" localSheetId="3" hidden="1">{#N/A,#N/A,FALSE,"Plan1";#N/A,#N/A,FALSE,"Plan2"}</definedName>
    <definedName name="sbb" localSheetId="2" hidden="1">{#N/A,#N/A,FALSE,"Plan1";#N/A,#N/A,FALSE,"Plan2"}</definedName>
    <definedName name="sbb" localSheetId="0" hidden="1">{#N/A,#N/A,FALSE,"Plan1";#N/A,#N/A,FALSE,"Plan2"}</definedName>
    <definedName name="sbb" localSheetId="4" hidden="1">{#N/A,#N/A,FALSE,"Plan1";#N/A,#N/A,FALSE,"Plan2"}</definedName>
    <definedName name="sbb" hidden="1">{#N/A,#N/A,FALSE,"Plan1";#N/A,#N/A,FALSE,"Plan2"}</definedName>
    <definedName name="scd">#N/A</definedName>
    <definedName name="SCXConsorcio" localSheetId="3">#REF!</definedName>
    <definedName name="SCXConsorcio" localSheetId="4">#REF!</definedName>
    <definedName name="SCXConsorcio">#REF!</definedName>
    <definedName name="SD" localSheetId="11" hidden="1">{#N/A,#N/A,FALSE,"Plan1";#N/A,#N/A,FALSE,"Plan2"}</definedName>
    <definedName name="SD" localSheetId="3" hidden="1">{#N/A,#N/A,FALSE,"Plan1";#N/A,#N/A,FALSE,"Plan2"}</definedName>
    <definedName name="SD" localSheetId="2" hidden="1">{#N/A,#N/A,FALSE,"Plan1";#N/A,#N/A,FALSE,"Plan2"}</definedName>
    <definedName name="SD" localSheetId="0" hidden="1">{#N/A,#N/A,FALSE,"Plan1";#N/A,#N/A,FALSE,"Plan2"}</definedName>
    <definedName name="SD" localSheetId="4" hidden="1">{#N/A,#N/A,FALSE,"Plan1";#N/A,#N/A,FALSE,"Plan2"}</definedName>
    <definedName name="SD" hidden="1">{#N/A,#N/A,FALSE,"Plan1";#N/A,#N/A,FALSE,"Plan2"}</definedName>
    <definedName name="sdbruto">#REF!</definedName>
    <definedName name="sdf" hidden="1">#REF!</definedName>
    <definedName name="sdfinal">#REF!</definedName>
    <definedName name="sdinicial">#REF!</definedName>
    <definedName name="sdsd">#N/A</definedName>
    <definedName name="SE">#REF!</definedName>
    <definedName name="secao">#REF!</definedName>
    <definedName name="SECUR">#REF!</definedName>
    <definedName name="SEG" localSheetId="3">#REF!</definedName>
    <definedName name="SEG" localSheetId="4">#REF!</definedName>
    <definedName name="SEG">#REF!</definedName>
    <definedName name="selected" localSheetId="3">#REF!,#REF!,#REF!,#REF!,#REF!,#REF!,#REF!,#REF!,#REF!,#REF!,#REF!,#REF!,#REF!,#REF!,#REF!,#REF!,#REF!,#REF!,#REF!,#REF!,#REF!,#REF!,#REF!,#REF!,#REF!,#REF!,#REF!</definedName>
    <definedName name="selected" localSheetId="4">#REF!,#REF!,#REF!,#REF!,#REF!,#REF!,#REF!,#REF!,#REF!,#REF!,#REF!,#REF!,#REF!,#REF!,#REF!,#REF!,#REF!,#REF!,#REF!,#REF!,#REF!,#REF!,#REF!,#REF!,#REF!,#REF!,#REF!</definedName>
    <definedName name="selected">#REF!,#REF!,#REF!,#REF!,#REF!,#REF!,#REF!,#REF!,#REF!,#REF!,#REF!,#REF!,#REF!,#REF!,#REF!,#REF!,#REF!,#REF!,#REF!,#REF!,#REF!,#REF!,#REF!,#REF!,#REF!,#REF!,#REF!</definedName>
    <definedName name="semestrais_longa">#REF!</definedName>
    <definedName name="SEMESTRAL">#REF!</definedName>
    <definedName name="serieCCA" localSheetId="3">#REF!</definedName>
    <definedName name="serieCCA" localSheetId="4">#REF!</definedName>
    <definedName name="serieCCA">#REF!</definedName>
    <definedName name="serieEVA" localSheetId="3">#REF!</definedName>
    <definedName name="serieEVA" localSheetId="4">#REF!</definedName>
    <definedName name="serieEVA">#REF!</definedName>
    <definedName name="serv_imp_dce" localSheetId="3">#REF!</definedName>
    <definedName name="serv_imp_dce" localSheetId="4">#REF!</definedName>
    <definedName name="serv_imp_dce">#REF!</definedName>
    <definedName name="serv_nac_cs_asahi" localSheetId="3">#REF!</definedName>
    <definedName name="serv_nac_cs_asahi" localSheetId="4">#REF!</definedName>
    <definedName name="serv_nac_cs_asahi">#REF!</definedName>
    <definedName name="sfh_1617">#REF!</definedName>
    <definedName name="SIGLA_UF">#N/A</definedName>
    <definedName name="SIH" localSheetId="3">#REF!</definedName>
    <definedName name="SIH" localSheetId="4">#REF!</definedName>
    <definedName name="SIH">#REF!</definedName>
    <definedName name="simulação" localSheetId="3">#REF!</definedName>
    <definedName name="simulação" localSheetId="4">#REF!</definedName>
    <definedName name="simulação">#REF!</definedName>
    <definedName name="sin">#REF!</definedName>
    <definedName name="SIV" localSheetId="3">#REF!</definedName>
    <definedName name="SIV" localSheetId="4">#REF!</definedName>
    <definedName name="SIV">#REF!</definedName>
    <definedName name="SLD.000.C.0.00.0000.00.00.11201010035">200</definedName>
    <definedName name="SLD.000.C.0.00.0000.00.00.11306010019">90.63</definedName>
    <definedName name="SLD.000.C.0.00.0000.00.00.11306010031">13002</definedName>
    <definedName name="SLD.000.C.0.00.0000.00.00.11306010034">679.5</definedName>
    <definedName name="SLD.000.C.0.00.0000.00.00.11306010036">22315.38999999</definedName>
    <definedName name="SLD.000.C.0.00.0000.00.00.117">533634.32999992</definedName>
    <definedName name="SLD.000.C.0.00.0000.00.00.121">31439885.269989</definedName>
    <definedName name="SLD.000.C.0.00.0000.00.00.12301">997253.47000027</definedName>
    <definedName name="SLD.000.C.0.00.0000.00.00.131">0</definedName>
    <definedName name="SLD.000.C.0.00.0000.00.00.211">73815519.2800293</definedName>
    <definedName name="SLD.000.C.0.00.0000.00.00.2110202">10881502.85</definedName>
    <definedName name="SLD.000.C.0.00.0000.00.00.2110203">55226637.2899999</definedName>
    <definedName name="SLD.000.C.0.00.0000.00.00.2110302">28386509.52</definedName>
    <definedName name="SLD.000.C.0.00.0000.00.00.212">88033.35000002</definedName>
    <definedName name="SLD.000.C.0.00.0000.00.00.216">634076.36999989</definedName>
    <definedName name="SLD.000.C.0.00.0000.00.00.217">17315355.6300048</definedName>
    <definedName name="SLD.000.C.0.00.0000.00.00.21704010001">16653.00999999</definedName>
    <definedName name="SLD.000.C.0.00.0000.00.00.21704010003">0</definedName>
    <definedName name="SLD.000.C.0.00.0000.00.00.219">3513721.00999832</definedName>
    <definedName name="SLD.000.C.0.00.0000.00.00.221">290102726.669921</definedName>
    <definedName name="SLD.000.C.0.00.0000.00.00.2210202">19016801.05</definedName>
    <definedName name="SLD.000.C.0.00.0000.00.00.2210203">149251446.629999</definedName>
    <definedName name="SLD.000.C.0.00.0000.00.00.2210302">105877571.47</definedName>
    <definedName name="SLD.000.C.0.00.0000.00.00.222">21139278.8200073</definedName>
    <definedName name="SLD.000.C.0.00.0000.00.00.22201010001">6164913.85</definedName>
    <definedName name="SLD.000.C.0.00.0000.00.00.241">129974445.70996</definedName>
    <definedName name="SLD.000.C.0.00.0000.00.00.24101">129974445.70996</definedName>
    <definedName name="SLD.000.C.0.00.0000.00.00.244">2180449.56999969</definedName>
    <definedName name="SLD.000.C.0.00.0000.00.00.24501">18114451.8699951</definedName>
    <definedName name="SLD.000.C.0.00.0000.00.00.31">290217002.200195</definedName>
    <definedName name="SLD.000.C.0.00.0000.00.00.311">179585641.580078</definedName>
    <definedName name="SLD.000.C.0.00.0000.00.00.312">4954140.23999786</definedName>
    <definedName name="SLD.000.C.0.00.0000.00.00.32">-21064440.0299987</definedName>
    <definedName name="SLD.000.C.0.00.0000.00.00.34">363001.90999985</definedName>
    <definedName name="SLD.000.C.0.00.0000.00.00.41">-155587260.75</definedName>
    <definedName name="SLD.000.C.0.00.0000.00.00.42">-25368197.2900085</definedName>
    <definedName name="SLD.000.C.0.00.0000.00.00.44">-5557702.52999878</definedName>
    <definedName name="SLD.000.C.0.00.0000.00.00.4410101">-12315505.6900024</definedName>
    <definedName name="SLD.000.C.0.00.0000.00.00.44101010019">-2444251.44</definedName>
    <definedName name="SLD.000.C.0.00.0000.00.00.4410102">-21328703.7200012</definedName>
    <definedName name="SLD.000.C.0.00.0000.00.00.44101020008">-44908351.0199999</definedName>
    <definedName name="SLD.000.C.0.00.0000.00.00.45">-133099.42000008</definedName>
    <definedName name="SLD.000.C.0.00.0000.00.00.47101010001">-4710636.20999908</definedName>
    <definedName name="SLD.000.C.0.00.0000.00.00.47101010002">-1201172.17000008</definedName>
    <definedName name="SLD.000.C.0.00.0000.00.00.D1010">17989327</definedName>
    <definedName name="SLD.000.C.0.00.0000.00.00.D1011">9804813.5</definedName>
    <definedName name="SLD.000.C.0.00.0000.00.00.D1012">1992874.98999977</definedName>
    <definedName name="SLD.000.C.0.00.0000.00.00.D1013">7966124.47000122</definedName>
    <definedName name="SLD.000.C.0.00.0000.00.00.D1014">98873.1400001</definedName>
    <definedName name="SLD.000.C.0.00.0000.00.00.D1015">498771725.940429</definedName>
    <definedName name="SLD.000.C.0.00.0000.00.00.D1016">3861816.84998322</definedName>
    <definedName name="SLD.000.C.0.00.0000.00.00.D1017">6518375.77999878</definedName>
    <definedName name="SLD.000.C.0.00.0000.00.00.D1018">30428702.3901367</definedName>
    <definedName name="SLD.000.C.0.00.0000.00.00.D1025">-45744891.0900268</definedName>
    <definedName name="SLD.000.C.0.00.0000.00.00.D1026">-13650979.5200805</definedName>
    <definedName name="SLD.000.C.0.00.0000.00.00.D1030">-18147550.3200073</definedName>
    <definedName name="SLD.000.C.0.00.0000.00.00.D1074">3439383.08001709</definedName>
    <definedName name="SLD.000.C.0.00.0000.00.00.D1075">-7966124.47000122</definedName>
    <definedName name="SLD.000.C.0.00.0000.00.00.D1076">20221665.6099853</definedName>
    <definedName name="SLD.000.C.0.00.0000.00.00.D1093">1009504.21000004</definedName>
    <definedName name="SLD.000.C.0.00.0000.00.00.D1094">2896500.96999741</definedName>
    <definedName name="SLD.000.C.0.00.0000.00.00.D1155">25936.66999999</definedName>
    <definedName name="SLD.000.C.0.00.0000.00.00.D997">5050971.46000671</definedName>
    <definedName name="SLD.000.C.0.00.0000.00.00.DCRECEBER">1089681.6099987</definedName>
    <definedName name="SLD.000.C.0.00.0000.00.01.11306010036">22</definedName>
    <definedName name="SLD.000.C.0.00.0000.00.01.117">1001</definedName>
    <definedName name="SLD.000.C.0.00.0000.00.01.121">30082</definedName>
    <definedName name="SLD.000.C.0.00.0000.00.01.12301">997</definedName>
    <definedName name="SLD.000.C.0.00.0000.00.01.211">73607</definedName>
    <definedName name="SLD.000.C.0.00.0000.00.01.212">220</definedName>
    <definedName name="SLD.000.C.0.00.0000.00.01.216">555</definedName>
    <definedName name="SLD.000.C.0.00.0000.00.01.217">22702</definedName>
    <definedName name="SLD.000.C.0.00.0000.00.01.219">3514</definedName>
    <definedName name="SLD.000.C.0.00.0000.00.01.221">307226</definedName>
    <definedName name="SLD.000.C.0.00.0000.00.01.222">12514</definedName>
    <definedName name="SLD.000.C.0.00.0000.00.01.241">129974</definedName>
    <definedName name="SLD.000.C.0.00.0000.00.01.244">2180</definedName>
    <definedName name="SLD.000.C.0.00.0000.00.01.24501">18114</definedName>
    <definedName name="SLD.000.C.0.00.0000.00.01.D1010">14735</definedName>
    <definedName name="SLD.000.C.0.00.0000.00.01.D1011">36890</definedName>
    <definedName name="SLD.000.C.0.00.0000.00.01.D1012">1296</definedName>
    <definedName name="SLD.000.C.0.00.0000.00.01.D1013">8253</definedName>
    <definedName name="SLD.000.C.0.00.0000.00.01.D1014">99</definedName>
    <definedName name="SLD.000.C.0.00.0000.00.01.D1015">487300</definedName>
    <definedName name="SLD.000.C.0.00.0000.00.01.D1016">6062</definedName>
    <definedName name="SLD.000.C.0.00.0000.00.01.D1017">5130</definedName>
    <definedName name="SLD.000.C.0.00.0000.00.01.D1018">30429</definedName>
    <definedName name="SLD.000.C.0.00.0000.00.01.DCRECEBER">610</definedName>
    <definedName name="SLD.000.C.0.00.1999.00.00.117">386309.42000008</definedName>
    <definedName name="SLD.000.C.0.00.1999.00.00.121">32120074.2799987</definedName>
    <definedName name="SLD.000.C.0.00.1999.00.00.131">90000</definedName>
    <definedName name="SLD.000.C.0.00.1999.00.00.211">71813107.4799804</definedName>
    <definedName name="SLD.000.C.0.00.1999.00.00.212">988466.92000008</definedName>
    <definedName name="SLD.000.C.0.00.1999.00.00.217">30737899.1099853</definedName>
    <definedName name="SLD.000.C.0.00.1999.00.00.221">321088959</definedName>
    <definedName name="SLD.000.C.0.00.1999.00.00.222">12513945.7100067</definedName>
    <definedName name="SLD.000.C.0.00.1999.00.00.241">129974445.70996</definedName>
    <definedName name="SLD.000.C.0.00.1999.00.00.244">2180449.56999969</definedName>
    <definedName name="SLD.000.C.0.00.1999.00.00.31">244637695.850097</definedName>
    <definedName name="SLD.000.C.0.00.1999.00.00.32">-7509368.30000305</definedName>
    <definedName name="SLD.000.C.0.00.1999.00.00.34">14624027.0099945</definedName>
    <definedName name="SLD.000.C.0.00.1999.00.00.41">-137984469.360107</definedName>
    <definedName name="SLD.000.C.0.00.1999.00.00.42">-18822323.7999877</definedName>
    <definedName name="SLD.000.C.0.00.1999.00.00.45">1209821.75</definedName>
    <definedName name="SLD.000.C.0.00.1999.00.00.47101010001">6781028.15000153</definedName>
    <definedName name="SLD.000.C.0.00.1999.00.00.47101010002">1847856.37999916</definedName>
    <definedName name="SLD.000.C.0.00.1999.00.00.D1010">16016305.1600036</definedName>
    <definedName name="SLD.000.C.0.00.1999.00.00.D1011">25362635.7800293</definedName>
    <definedName name="SLD.000.C.0.00.1999.00.00.D1012">4699155.20999908</definedName>
    <definedName name="SLD.000.C.0.00.1999.00.00.D1013">8628884.52999878</definedName>
    <definedName name="SLD.000.C.0.00.1999.00.00.D1015">491398211.890625</definedName>
    <definedName name="SLD.000.C.0.00.1999.00.00.D1016">10463049.2499847</definedName>
    <definedName name="SLD.000.C.0.00.1999.00.00.D1017">2173749.31999969</definedName>
    <definedName name="SLD.000.C.0.00.1999.00.00.D1018">18114451.8701171</definedName>
    <definedName name="SLD.000.C.0.00.1999.00.00.D1025">-49193159.4400024</definedName>
    <definedName name="SLD.000.C.0.00.1999.00.00.D1026">-3587777.86999512</definedName>
    <definedName name="SLD.000.C.0.00.1999.00.00.D1030">-71352966.6400146</definedName>
    <definedName name="SLD.000.C.0.00.1999.00.00.D1074">-19349636.2700195</definedName>
    <definedName name="SLD.000.C.0.00.1999.00.00.D1075">-8628884.52999878</definedName>
    <definedName name="SLD.000.C.0.00.1999.00.00.D1076">77181160.7299804</definedName>
    <definedName name="SLD.000.C.0.00.1999.00.00.D1093">1255347.8599987</definedName>
    <definedName name="SLD.000.C.0.00.1999.00.00.D1094">1125951.77000046</definedName>
    <definedName name="SLD.000.C.0.00.1999.00.00.D997">52401126.4100341</definedName>
    <definedName name="SLD.000.C.0.00.1999.00.00.DCRECEBER">291453.08000183</definedName>
    <definedName name="SLD.000.C.0.00.2000.00.00.117">533634.32999992</definedName>
    <definedName name="SLD.000.C.0.00.2000.00.00.121">31439885.269989</definedName>
    <definedName name="SLD.000.C.0.00.2000.00.00.12301">1147792.02000046</definedName>
    <definedName name="SLD.000.C.0.00.2000.00.00.131">0</definedName>
    <definedName name="SLD.000.C.0.00.2000.00.00.211">73815519.2800293</definedName>
    <definedName name="SLD.000.C.0.00.2000.00.00.212">88033.35000002</definedName>
    <definedName name="SLD.000.C.0.00.2000.00.00.217">17315355.6300048</definedName>
    <definedName name="SLD.000.C.0.00.2000.00.00.221">290102726.669921</definedName>
    <definedName name="SLD.000.C.0.00.2000.00.00.222">21139278.8200073</definedName>
    <definedName name="SLD.000.C.0.00.2000.00.00.241">129974445.70996</definedName>
    <definedName name="SLD.000.C.0.00.2000.00.00.244">2180449.56999969</definedName>
    <definedName name="SLD.000.C.0.00.2000.00.00.31">290217002.200195</definedName>
    <definedName name="SLD.000.C.0.00.2000.00.00.311">67578450.3000488</definedName>
    <definedName name="SLD.000.C.0.00.2000.00.00.312">1710563.19000053</definedName>
    <definedName name="SLD.000.C.0.00.2000.00.00.32">-21064440.0299987</definedName>
    <definedName name="SLD.000.C.0.00.2000.00.00.34">7705475.12000275</definedName>
    <definedName name="SLD.000.C.0.00.2000.00.00.41">-155587260.75</definedName>
    <definedName name="SLD.000.C.0.00.2000.00.00.42">-25368197.2900085</definedName>
    <definedName name="SLD.000.C.0.00.2000.00.00.4410101">-12689636.2599945</definedName>
    <definedName name="SLD.000.C.0.00.2000.00.00.4410102">5623644.69000244</definedName>
    <definedName name="SLD.000.C.0.00.2000.00.00.45">-133099.42000008</definedName>
    <definedName name="SLD.000.C.0.00.2000.00.00.47101010001">-4710636.20999908</definedName>
    <definedName name="SLD.000.C.0.00.2000.00.00.47101010002">-1201172.17000008</definedName>
    <definedName name="SLD.000.C.0.00.2000.00.00.D1010">17989327</definedName>
    <definedName name="SLD.000.C.0.00.2000.00.00.D1011">9804813.5</definedName>
    <definedName name="SLD.000.C.0.00.2000.00.00.D1012">1992874.98999977</definedName>
    <definedName name="SLD.000.C.0.00.2000.00.00.D1013">7966124.47000122</definedName>
    <definedName name="SLD.000.C.0.00.2000.00.00.D1015">498771725.940429</definedName>
    <definedName name="SLD.000.C.0.00.2000.00.00.D1016">3861816.84998322</definedName>
    <definedName name="SLD.000.C.0.00.2000.00.00.D1017">6518375.77999878</definedName>
    <definedName name="SLD.000.C.0.00.2000.00.00.D1018">30428702.3901367</definedName>
    <definedName name="SLD.000.C.0.00.2000.00.00.D1025">-45744891.0900268</definedName>
    <definedName name="SLD.000.C.0.00.2000.00.00.D1026">-13650979.5200805</definedName>
    <definedName name="SLD.000.C.0.00.2000.00.00.D1030">-18147550.3200073</definedName>
    <definedName name="SLD.000.C.0.00.2000.00.00.D1093">1009504.21000004</definedName>
    <definedName name="SLD.000.C.0.00.2000.00.00.D1094">2896500.96999741</definedName>
    <definedName name="SLD.000.C.0.00.2000.00.00.D1155">19932.71000001</definedName>
    <definedName name="SLD.000.C.0.00.2000.00.00.DCRECEBER">1089681.6099987</definedName>
    <definedName name="SLD.000.C.0.00.2001.00.00.11306010034">679.5</definedName>
    <definedName name="SLD.000.C.0.00.2001.00.00.2110202">10881502.85</definedName>
    <definedName name="SLD.000.C.0.00.2001.00.00.2110203">55226637.2899999</definedName>
    <definedName name="SLD.000.C.0.00.2001.00.00.2110302">28386509.52</definedName>
    <definedName name="SLD.000.C.0.00.2001.00.00.2210202">19016801.05</definedName>
    <definedName name="SLD.000.C.0.00.2001.00.00.2210203">149251446.629999</definedName>
    <definedName name="SLD.000.C.0.00.2001.00.00.2210302">105877571.47</definedName>
    <definedName name="SLD.000.C.0.00.2001.00.00.22201010001">6164913.85</definedName>
    <definedName name="SLD.000.C.0.00.2001.00.00.44101010019">-2444251.44</definedName>
    <definedName name="SLD.000.C.0.00.2001.00.00.44101020008">-44908351.0199999</definedName>
    <definedName name="SLD.000.C.0.01.0000.00.00.34">363001.90999985</definedName>
    <definedName name="SLD.000.C.0.01.0000.00.00.44">-5557702.52999878</definedName>
    <definedName name="SLD.000.C.0.01.0000.00.00.D997">5050971.46000671</definedName>
    <definedName name="SLD.000.C.0.01.0000.00.01.11201010035">0</definedName>
    <definedName name="SLD.000.C.0.01.0000.00.01.11306010019">0</definedName>
    <definedName name="SLD.000.C.0.01.0000.00.01.11306010031">24</definedName>
    <definedName name="SLD.000.C.0.01.0000.00.01.117">1717</definedName>
    <definedName name="SLD.000.C.0.01.0000.00.01.121">31692</definedName>
    <definedName name="SLD.000.C.0.01.0000.00.01.131">0</definedName>
    <definedName name="SLD.000.C.0.01.0000.00.01.211">77172</definedName>
    <definedName name="SLD.000.C.0.01.0000.00.01.212">66</definedName>
    <definedName name="SLD.000.C.0.01.0000.00.01.217">21908</definedName>
    <definedName name="SLD.000.C.0.01.0000.00.01.21704010001">13</definedName>
    <definedName name="SLD.000.C.0.01.0000.00.01.221">289496</definedName>
    <definedName name="SLD.000.C.0.01.0000.00.01.222">21139</definedName>
    <definedName name="SLD.000.C.0.01.0000.00.01.241">129974</definedName>
    <definedName name="SLD.000.C.0.01.0000.00.01.244">3416</definedName>
    <definedName name="SLD.000.C.0.01.0000.00.01.31">27924</definedName>
    <definedName name="SLD.000.C.0.01.0000.00.01.32">-2329</definedName>
    <definedName name="SLD.000.C.0.01.0000.00.01.34">363</definedName>
    <definedName name="SLD.000.C.0.01.0000.00.01.41">-13778</definedName>
    <definedName name="SLD.000.C.0.01.0000.00.01.42">-1907</definedName>
    <definedName name="SLD.000.C.0.01.0000.00.01.44">-5558</definedName>
    <definedName name="SLD.000.C.0.01.0000.00.01.45">-37</definedName>
    <definedName name="SLD.000.C.0.01.0000.00.01.47101010001">-925</definedName>
    <definedName name="SLD.000.C.0.01.0000.00.01.47101010002">-313</definedName>
    <definedName name="SLD.000.C.0.01.0000.00.01.D1010">19322</definedName>
    <definedName name="SLD.000.C.0.01.0000.00.01.D1011">17931</definedName>
    <definedName name="SLD.000.C.0.01.0000.00.01.D1012">644</definedName>
    <definedName name="SLD.000.C.0.01.0000.00.01.D1013">7881</definedName>
    <definedName name="SLD.000.C.0.01.0000.00.01.D1015">498488</definedName>
    <definedName name="SLD.000.C.0.01.0000.00.01.D1016">3312</definedName>
    <definedName name="SLD.000.C.0.01.0000.00.01.D1017">5589</definedName>
    <definedName name="SLD.000.C.0.01.0000.00.01.D1018">32633</definedName>
    <definedName name="SLD.000.C.0.01.0000.00.01.D1025">-3644</definedName>
    <definedName name="SLD.000.C.0.01.0000.00.01.D1026">-222</definedName>
    <definedName name="SLD.000.C.0.01.0000.00.01.D1030">-1691</definedName>
    <definedName name="SLD.000.C.0.01.0000.00.01.D1093">1024</definedName>
    <definedName name="SLD.000.C.0.01.0000.00.01.D1094">2511</definedName>
    <definedName name="SLD.000.C.0.01.0000.00.01.D997">5051</definedName>
    <definedName name="SLD.000.C.0.01.0000.00.01.DCRECEBER">1892</definedName>
    <definedName name="SLD.000.C.0.01.2001.00.00.44101010019">-325631.57</definedName>
    <definedName name="SLD.000.C.0.01.2001.00.00.44101020008">-1320819.3</definedName>
    <definedName name="SLD.000.C.0.01.2001.00.01.44101010019">-326</definedName>
    <definedName name="SLD.000.C.0.01.2001.00.01.44101020008">-1321</definedName>
    <definedName name="SLD.000.C.0.02.0000.00.01.11201010035">0</definedName>
    <definedName name="SLD.000.C.0.02.0000.00.01.11306010019">0</definedName>
    <definedName name="SLD.000.C.0.02.0000.00.01.11306010031">15</definedName>
    <definedName name="SLD.000.C.0.02.0000.00.01.117">1635</definedName>
    <definedName name="SLD.000.C.0.02.0000.00.01.121">12967</definedName>
    <definedName name="SLD.000.C.0.02.0000.00.01.131">0</definedName>
    <definedName name="SLD.000.C.0.02.0000.00.01.211">81910</definedName>
    <definedName name="SLD.000.C.0.02.0000.00.01.212">62</definedName>
    <definedName name="SLD.000.C.0.02.0000.00.01.217">21957</definedName>
    <definedName name="SLD.000.C.0.02.0000.00.01.21704010001">16</definedName>
    <definedName name="SLD.000.C.0.02.0000.00.01.221">293759</definedName>
    <definedName name="SLD.000.C.0.02.0000.00.01.222">21139</definedName>
    <definedName name="SLD.000.C.0.02.0000.00.01.241">129974</definedName>
    <definedName name="SLD.000.C.0.02.0000.00.01.244">3416</definedName>
    <definedName name="SLD.000.C.0.02.0000.00.01.31">51359</definedName>
    <definedName name="SLD.000.C.0.02.0000.00.01.32">-4299</definedName>
    <definedName name="SLD.000.C.0.02.0000.00.01.34">1371</definedName>
    <definedName name="SLD.000.C.0.02.0000.00.01.41">-27355</definedName>
    <definedName name="SLD.000.C.0.02.0000.00.01.42">-3792</definedName>
    <definedName name="SLD.000.C.0.02.0000.00.01.44">-17386</definedName>
    <definedName name="SLD.000.C.0.02.0000.00.01.45">-39</definedName>
    <definedName name="SLD.000.C.0.02.0000.00.01.47101010001">49</definedName>
    <definedName name="SLD.000.C.0.02.0000.00.01.47101010002">59</definedName>
    <definedName name="SLD.000.C.0.02.0000.00.01.D1010">13552</definedName>
    <definedName name="SLD.000.C.0.02.0000.00.01.D1011">44891</definedName>
    <definedName name="SLD.000.C.0.02.0000.00.01.D1012">1986</definedName>
    <definedName name="SLD.000.C.0.02.0000.00.01.D1013">8151</definedName>
    <definedName name="SLD.000.C.0.02.0000.00.01.D1015">500198</definedName>
    <definedName name="SLD.000.C.0.02.0000.00.01.D1016">2762</definedName>
    <definedName name="SLD.000.C.0.02.0000.00.01.D1017">5516</definedName>
    <definedName name="SLD.000.C.0.02.0000.00.01.D1018">29160</definedName>
    <definedName name="SLD.000.C.0.02.0000.00.01.D1025">-7241</definedName>
    <definedName name="SLD.000.C.0.02.0000.00.01.D1026">-471</definedName>
    <definedName name="SLD.000.C.0.02.0000.00.01.D1030">-9674</definedName>
    <definedName name="SLD.000.C.0.02.0000.00.01.D1093">935</definedName>
    <definedName name="SLD.000.C.0.02.0000.00.01.D1094">2407</definedName>
    <definedName name="SLD.000.C.0.02.0000.00.01.D997">10081</definedName>
    <definedName name="SLD.000.C.0.02.0000.00.01.DCRECEBER">2225</definedName>
    <definedName name="SLD.000.C.0.02.2001.00.01.44101010019">-614</definedName>
    <definedName name="SLD.000.C.0.02.2001.00.01.44101020008">-7555</definedName>
    <definedName name="SLD.000.C.0.03.0000.00.00.12301">786499.5</definedName>
    <definedName name="SLD.000.C.0.03.0000.00.00.311">74384793.3399658</definedName>
    <definedName name="SLD.000.C.0.03.0000.00.00.312">2967049.86000061</definedName>
    <definedName name="SLD.000.C.0.03.0000.00.00.4410101">-12315505.6900024</definedName>
    <definedName name="SLD.000.C.0.03.0000.00.00.4410102">-21328703.7200012</definedName>
    <definedName name="SLD.000.C.0.03.0000.00.00.D1155">25936.66999999</definedName>
    <definedName name="SLD.000.C.0.03.0000.00.01.11201010035">0</definedName>
    <definedName name="SLD.000.C.0.03.0000.00.01.11306010019">0</definedName>
    <definedName name="SLD.000.C.0.03.0000.00.01.11306010031">21</definedName>
    <definedName name="SLD.000.C.0.03.0000.00.01.11306010036">22</definedName>
    <definedName name="SLD.000.C.0.03.0000.00.01.117">1555</definedName>
    <definedName name="SLD.000.C.0.03.0000.00.01.121">11</definedName>
    <definedName name="SLD.000.C.0.03.0000.00.01.12301">786</definedName>
    <definedName name="SLD.000.C.0.03.0000.00.01.131">0</definedName>
    <definedName name="SLD.000.C.0.03.0000.00.01.211">76191</definedName>
    <definedName name="SLD.000.C.0.03.0000.00.01.212">47</definedName>
    <definedName name="SLD.000.C.0.03.0000.00.01.217">21754</definedName>
    <definedName name="SLD.000.C.0.03.0000.00.01.21704010001">22</definedName>
    <definedName name="SLD.000.C.0.03.0000.00.01.221">279615</definedName>
    <definedName name="SLD.000.C.0.03.0000.00.01.222">21139</definedName>
    <definedName name="SLD.000.C.0.03.0000.00.01.241">129974</definedName>
    <definedName name="SLD.000.C.0.03.0000.00.01.244">3416</definedName>
    <definedName name="SLD.000.C.0.03.0000.00.01.31">77352</definedName>
    <definedName name="SLD.000.C.0.03.0000.00.01.311">74385</definedName>
    <definedName name="SLD.000.C.0.03.0000.00.01.312">2967</definedName>
    <definedName name="SLD.000.C.0.03.0000.00.01.32">-6480</definedName>
    <definedName name="SLD.000.C.0.03.0000.00.01.34">1803</definedName>
    <definedName name="SLD.000.C.0.03.0000.00.01.41">-40908</definedName>
    <definedName name="SLD.000.C.0.03.0000.00.01.42">-5902</definedName>
    <definedName name="SLD.000.C.0.03.0000.00.01.4410101">-12316</definedName>
    <definedName name="SLD.000.C.0.03.0000.00.01.4410102">-21329</definedName>
    <definedName name="SLD.000.C.0.03.0000.00.01.45">-39</definedName>
    <definedName name="SLD.000.C.0.03.0000.00.01.47101010001">1735</definedName>
    <definedName name="SLD.000.C.0.03.0000.00.01.47101010002">692</definedName>
    <definedName name="SLD.000.C.0.03.0000.00.01.D1010">14342</definedName>
    <definedName name="SLD.000.C.0.03.0000.00.01.D1011">28220</definedName>
    <definedName name="SLD.000.C.0.03.0000.00.01.D1012">2128</definedName>
    <definedName name="SLD.000.C.0.03.0000.00.01.D1013">10393</definedName>
    <definedName name="SLD.000.C.0.03.0000.00.01.D1015">502084</definedName>
    <definedName name="SLD.000.C.0.03.0000.00.01.D1016">2212</definedName>
    <definedName name="SLD.000.C.0.03.0000.00.01.D1017">5996</definedName>
    <definedName name="SLD.000.C.0.03.0000.00.01.D1018">23802</definedName>
    <definedName name="SLD.000.C.0.03.0000.00.01.D1025">-10820</definedName>
    <definedName name="SLD.000.C.0.03.0000.00.01.D1026">-1557</definedName>
    <definedName name="SLD.000.C.0.03.0000.00.01.D1030">-21268</definedName>
    <definedName name="SLD.000.C.0.03.0000.00.01.D1093">812</definedName>
    <definedName name="SLD.000.C.0.03.0000.00.01.D1094">2601</definedName>
    <definedName name="SLD.000.C.0.03.0000.00.01.D1155">26</definedName>
    <definedName name="SLD.000.C.0.03.0000.00.01.D997">15100</definedName>
    <definedName name="SLD.000.C.0.03.0000.00.01.DCRECEBER">2779</definedName>
    <definedName name="SLD.000.C.0.03.2000.00.00.12301">1147792.02000046</definedName>
    <definedName name="SLD.000.C.0.03.2000.00.00.311">67578450.3000488</definedName>
    <definedName name="SLD.000.C.0.03.2000.00.00.312">1710563.19000053</definedName>
    <definedName name="SLD.000.C.0.03.2000.00.00.4410101">-12689636.2599945</definedName>
    <definedName name="SLD.000.C.0.03.2000.00.00.4410102">5623644.69000244</definedName>
    <definedName name="SLD.000.C.0.03.2000.00.00.D1155">19932.71000001</definedName>
    <definedName name="SLD.000.C.0.03.2000.00.01.117">1664</definedName>
    <definedName name="SLD.000.C.0.03.2000.00.01.121">32468</definedName>
    <definedName name="SLD.000.C.0.03.2000.00.01.12301">1148</definedName>
    <definedName name="SLD.000.C.0.03.2000.00.01.131">0</definedName>
    <definedName name="SLD.000.C.0.03.2000.00.01.211">66461</definedName>
    <definedName name="SLD.000.C.0.03.2000.00.01.212">716</definedName>
    <definedName name="SLD.000.C.0.03.2000.00.01.217">17504</definedName>
    <definedName name="SLD.000.C.0.03.2000.00.01.221">308017</definedName>
    <definedName name="SLD.000.C.0.03.2000.00.01.222">12514</definedName>
    <definedName name="SLD.000.C.0.03.2000.00.01.241">129974</definedName>
    <definedName name="SLD.000.C.0.03.2000.00.01.244">2180</definedName>
    <definedName name="SLD.000.C.0.03.2000.00.01.31">69289</definedName>
    <definedName name="SLD.000.C.0.03.2000.00.01.311">67578</definedName>
    <definedName name="SLD.000.C.0.03.2000.00.01.312">1711</definedName>
    <definedName name="SLD.000.C.0.03.2000.00.01.32">-5908</definedName>
    <definedName name="SLD.000.C.0.03.2000.00.01.34">702</definedName>
    <definedName name="SLD.000.C.0.03.2000.00.01.41">-38038</definedName>
    <definedName name="SLD.000.C.0.03.2000.00.01.42">-6870</definedName>
    <definedName name="SLD.000.C.0.03.2000.00.01.4410101">-12690</definedName>
    <definedName name="SLD.000.C.0.03.2000.00.01.4410102">5624</definedName>
    <definedName name="SLD.000.C.0.03.2000.00.01.45">16</definedName>
    <definedName name="SLD.000.C.0.03.2000.00.01.47101010001">-3042</definedName>
    <definedName name="SLD.000.C.0.03.2000.00.01.47101010002">-741</definedName>
    <definedName name="SLD.000.C.0.03.2000.00.01.D1010">10225</definedName>
    <definedName name="SLD.000.C.0.03.2000.00.01.D1011">20778</definedName>
    <definedName name="SLD.000.C.0.03.2000.00.01.D1012">1700</definedName>
    <definedName name="SLD.000.C.0.03.2000.00.01.D1013">7763</definedName>
    <definedName name="SLD.000.C.0.03.2000.00.01.D1015">484462</definedName>
    <definedName name="SLD.000.C.0.03.2000.00.01.D1016">8813</definedName>
    <definedName name="SLD.000.C.0.03.2000.00.01.D1017">4556</definedName>
    <definedName name="SLD.000.C.0.03.2000.00.01.D1018">26457</definedName>
    <definedName name="SLD.000.C.0.03.2000.00.01.D1025">-11823</definedName>
    <definedName name="SLD.000.C.0.03.2000.00.01.D1026">-859</definedName>
    <definedName name="SLD.000.C.0.03.2000.00.01.D1030">5615</definedName>
    <definedName name="SLD.000.C.0.03.2000.00.01.D1093">1168</definedName>
    <definedName name="SLD.000.C.0.03.2000.00.01.D1094">1020</definedName>
    <definedName name="SLD.000.C.0.03.2000.00.01.D1155">20</definedName>
    <definedName name="SLD.000.C.0.03.2000.00.01.DCRECEBER">361</definedName>
    <definedName name="SLD.000.C.0.03.2001.00.01.44101010019">-928</definedName>
    <definedName name="SLD.000.C.0.03.2001.00.01.44101020008">-16402</definedName>
    <definedName name="SLD.000.C.0.04.0000.00.00.42">-8761611.38000488</definedName>
    <definedName name="SLD.000.C.0.04.0000.00.01.11201010035">0</definedName>
    <definedName name="SLD.000.C.0.04.0000.00.01.11306010019">0</definedName>
    <definedName name="SLD.000.C.0.04.0000.00.01.11306010031">49</definedName>
    <definedName name="SLD.000.C.0.04.0000.00.01.11306010036">0</definedName>
    <definedName name="SLD.000.C.0.04.0000.00.01.117">1408</definedName>
    <definedName name="SLD.000.C.0.04.0000.00.01.121">2</definedName>
    <definedName name="SLD.000.C.0.04.0000.00.01.12301">756</definedName>
    <definedName name="SLD.000.C.0.04.0000.00.01.131">0</definedName>
    <definedName name="SLD.000.C.0.04.0000.00.01.211">79269</definedName>
    <definedName name="SLD.000.C.0.04.0000.00.01.212">48</definedName>
    <definedName name="SLD.000.C.0.04.0000.00.01.217">20782</definedName>
    <definedName name="SLD.000.C.0.04.0000.00.01.21704010001">0</definedName>
    <definedName name="SLD.000.C.0.04.0000.00.01.221">279351</definedName>
    <definedName name="SLD.000.C.0.04.0000.00.01.222">21139</definedName>
    <definedName name="SLD.000.C.0.04.0000.00.01.241">137385</definedName>
    <definedName name="SLD.000.C.0.04.0000.00.01.244">3416</definedName>
    <definedName name="SLD.000.C.0.04.0000.00.01.311">98481</definedName>
    <definedName name="SLD.000.C.0.04.0000.00.01.312">3398</definedName>
    <definedName name="SLD.000.C.0.04.0000.00.01.32">-8560</definedName>
    <definedName name="SLD.000.C.0.04.0000.00.01.34">1877</definedName>
    <definedName name="SLD.000.C.0.04.0000.00.01.41">-54386</definedName>
    <definedName name="SLD.000.C.0.04.0000.00.01.42">-8762</definedName>
    <definedName name="SLD.000.C.0.04.0000.00.01.4410101">-15650</definedName>
    <definedName name="SLD.000.C.0.04.0000.00.01.4410102">-23583</definedName>
    <definedName name="SLD.000.C.0.04.0000.00.01.45">-39</definedName>
    <definedName name="SLD.000.C.0.04.0000.00.01.47101010001">1632</definedName>
    <definedName name="SLD.000.C.0.04.0000.00.01.47101010002">613</definedName>
    <definedName name="SLD.000.C.0.04.0000.00.01.D1010">12975</definedName>
    <definedName name="SLD.000.C.0.04.0000.00.01.D1011">31572</definedName>
    <definedName name="SLD.000.C.0.04.0000.00.01.D1012">2144</definedName>
    <definedName name="SLD.000.C.0.04.0000.00.01.D1013">10210</definedName>
    <definedName name="SLD.000.C.0.04.0000.00.01.D1015">503130</definedName>
    <definedName name="SLD.000.C.0.04.0000.00.01.D1016">1661</definedName>
    <definedName name="SLD.000.C.0.04.0000.00.01.D1017">6650</definedName>
    <definedName name="SLD.000.C.0.04.0000.00.01.D1018">16804</definedName>
    <definedName name="SLD.000.C.0.04.0000.00.01.D1094">1787</definedName>
    <definedName name="SLD.000.C.0.04.0000.00.01.D1155">26</definedName>
    <definedName name="SLD.000.C.0.04.0000.00.01.DCRECEBER">2746</definedName>
    <definedName name="SLD.000.C.0.05.0000.00.01.11201010035">0</definedName>
    <definedName name="SLD.000.C.0.05.0000.00.01.11306010019">0</definedName>
    <definedName name="SLD.000.C.0.05.0000.00.01.11306010031">12</definedName>
    <definedName name="SLD.000.C.0.05.0000.00.01.11306010036">0</definedName>
    <definedName name="SLD.000.C.0.05.0000.00.01.117">1336</definedName>
    <definedName name="SLD.000.C.0.05.0000.00.01.121">2</definedName>
    <definedName name="SLD.000.C.0.05.0000.00.01.12301">726</definedName>
    <definedName name="SLD.000.C.0.05.0000.00.01.131">0</definedName>
    <definedName name="SLD.000.C.0.05.0000.00.01.211">85487</definedName>
    <definedName name="SLD.000.C.0.05.0000.00.01.212">36</definedName>
    <definedName name="SLD.000.C.0.05.0000.00.01.217">21843</definedName>
    <definedName name="SLD.000.C.0.05.0000.00.01.221">286500</definedName>
    <definedName name="SLD.000.C.0.05.0000.00.01.222">21139</definedName>
    <definedName name="SLD.000.C.0.05.0000.00.01.241">137385</definedName>
    <definedName name="SLD.000.C.0.05.0000.00.01.244">3416</definedName>
    <definedName name="SLD.000.C.0.05.0000.00.01.311">123327</definedName>
    <definedName name="SLD.000.C.0.05.0000.00.01.312">3807</definedName>
    <definedName name="SLD.000.C.0.05.0000.00.01.32">-10702</definedName>
    <definedName name="SLD.000.C.0.05.0000.00.01.34">1981</definedName>
    <definedName name="SLD.000.C.0.05.0000.00.01.41">-67934</definedName>
    <definedName name="SLD.000.C.0.05.0000.00.01.42">-10975</definedName>
    <definedName name="SLD.000.C.0.05.0000.00.01.4410101">-19903</definedName>
    <definedName name="SLD.000.C.0.05.0000.00.01.4410102">-40685</definedName>
    <definedName name="SLD.000.C.0.05.0000.00.01.45">-42</definedName>
    <definedName name="SLD.000.C.0.05.0000.00.01.47101010001">5007</definedName>
    <definedName name="SLD.000.C.0.05.0000.00.01.47101010002">1864</definedName>
    <definedName name="SLD.000.C.0.05.0000.00.01.D1010">8692</definedName>
    <definedName name="SLD.000.C.0.05.0000.00.01.D1011">34264</definedName>
    <definedName name="SLD.000.C.0.05.0000.00.01.D1012">2164</definedName>
    <definedName name="SLD.000.C.0.05.0000.00.01.D1013">14838</definedName>
    <definedName name="SLD.000.C.0.05.0000.00.01.D1015">505997</definedName>
    <definedName name="SLD.000.C.0.05.0000.00.01.D1016">1111</definedName>
    <definedName name="SLD.000.C.0.05.0000.00.01.D1017">6505</definedName>
    <definedName name="SLD.000.C.0.05.0000.00.01.D1018">7528</definedName>
    <definedName name="SLD.000.C.0.05.0000.00.01.D1094">2028</definedName>
    <definedName name="SLD.000.C.0.05.0000.00.01.D1155">53</definedName>
    <definedName name="SLD.000.C.0.05.0000.00.01.DCRECEBER">2685</definedName>
    <definedName name="SLD.000.C.0.06.0000.00.01.11201010035">0</definedName>
    <definedName name="SLD.000.C.0.06.0000.00.01.11306010019">0</definedName>
    <definedName name="SLD.000.C.0.06.0000.00.01.11306010031">16</definedName>
    <definedName name="SLD.000.C.0.06.0000.00.01.11306010036">0</definedName>
    <definedName name="SLD.000.C.0.06.0000.00.01.117">1241</definedName>
    <definedName name="SLD.000.C.0.06.0000.00.01.121">1</definedName>
    <definedName name="SLD.000.C.0.06.0000.00.01.12301">696</definedName>
    <definedName name="SLD.000.C.0.06.0000.00.01.131">0</definedName>
    <definedName name="SLD.000.C.0.06.0000.00.01.211">85525</definedName>
    <definedName name="SLD.000.C.0.06.0000.00.01.212">35</definedName>
    <definedName name="SLD.000.C.0.06.0000.00.01.216">547</definedName>
    <definedName name="SLD.000.C.0.06.0000.00.01.217">23545</definedName>
    <definedName name="SLD.000.C.0.06.0000.00.01.21704010001">2</definedName>
    <definedName name="SLD.000.C.0.06.0000.00.01.219">1074</definedName>
    <definedName name="SLD.000.C.0.06.0000.00.01.221">280521</definedName>
    <definedName name="SLD.000.C.0.06.0000.00.01.222">21139</definedName>
    <definedName name="SLD.000.C.0.06.0000.00.01.241">137385</definedName>
    <definedName name="SLD.000.C.0.06.0000.00.01.244">3416</definedName>
    <definedName name="SLD.000.C.0.06.0000.00.01.311">146832</definedName>
    <definedName name="SLD.000.C.0.06.0000.00.01.312">4286</definedName>
    <definedName name="SLD.000.C.0.06.0000.00.01.32">-12733</definedName>
    <definedName name="SLD.000.C.0.06.0000.00.01.34">2062</definedName>
    <definedName name="SLD.000.C.0.06.0000.00.01.41">-81374</definedName>
    <definedName name="SLD.000.C.0.06.0000.00.01.42">-15127</definedName>
    <definedName name="SLD.000.C.0.06.0000.00.01.4410101">-23147</definedName>
    <definedName name="SLD.000.C.0.06.0000.00.01.4410102">-35398</definedName>
    <definedName name="SLD.000.C.0.06.0000.00.01.45">-40</definedName>
    <definedName name="SLD.000.C.0.06.0000.00.01.47101010001">3369</definedName>
    <definedName name="SLD.000.C.0.06.0000.00.01.47101010002">1275</definedName>
    <definedName name="SLD.000.C.0.06.0000.00.01.D1010">15222</definedName>
    <definedName name="SLD.000.C.0.06.0000.00.01.D1011">26430</definedName>
    <definedName name="SLD.000.C.0.06.0000.00.01.D1012">2184</definedName>
    <definedName name="SLD.000.C.0.06.0000.00.01.D1013">12610</definedName>
    <definedName name="SLD.000.C.0.06.0000.00.01.D1014">71</definedName>
    <definedName name="SLD.000.C.0.06.0000.00.01.D1015">510574</definedName>
    <definedName name="SLD.000.C.0.06.0000.00.01.D1016">561</definedName>
    <definedName name="SLD.000.C.0.06.0000.00.01.D1017">6692</definedName>
    <definedName name="SLD.000.C.0.06.0000.00.01.D1018">11786</definedName>
    <definedName name="SLD.000.C.0.06.0000.00.01.D1094">2221</definedName>
    <definedName name="SLD.000.C.0.06.0000.00.01.D1155">34</definedName>
    <definedName name="SLD.000.C.0.06.0000.00.01.DCRECEBER">2712</definedName>
    <definedName name="SLD.000.C.0.07.0000.00.00.311">154554758.300048</definedName>
    <definedName name="SLD.000.C.0.07.0000.00.00.312">4413838.41000366</definedName>
    <definedName name="SLD.000.C.0.07.0000.00.00.32">-11563047.550003</definedName>
    <definedName name="SLD.000.C.0.07.0000.00.00.34">3022147.54000092</definedName>
    <definedName name="SLD.000.C.0.07.0000.00.00.41">-89645674.040039</definedName>
    <definedName name="SLD.000.C.0.07.0000.00.00.42">-17457559.8999939</definedName>
    <definedName name="SLD.000.C.0.07.0000.00.00.44">-26895992.9599914</definedName>
    <definedName name="SLD.000.C.0.07.0000.00.00.45">-113299.85000002</definedName>
    <definedName name="SLD.000.C.0.07.0000.00.00.47101010001">-4095197.79000092</definedName>
    <definedName name="SLD.000.C.0.07.0000.00.00.47101010002">-1207791.98999977</definedName>
    <definedName name="SLD.000.C.0.07.0000.00.01.11201010035">0</definedName>
    <definedName name="SLD.000.C.0.07.0000.00.01.11306010019">0</definedName>
    <definedName name="SLD.000.C.0.07.0000.00.01.11306010031">12</definedName>
    <definedName name="SLD.000.C.0.07.0000.00.01.11306010036">0</definedName>
    <definedName name="SLD.000.C.0.07.0000.00.01.117">1087</definedName>
    <definedName name="SLD.000.C.0.07.0000.00.01.121">1</definedName>
    <definedName name="SLD.000.C.0.07.0000.00.01.12301">666</definedName>
    <definedName name="SLD.000.C.0.07.0000.00.01.131">0</definedName>
    <definedName name="SLD.000.C.0.07.0000.00.01.211">91549</definedName>
    <definedName name="SLD.000.C.0.07.0000.00.01.212">37</definedName>
    <definedName name="SLD.000.C.0.07.0000.00.01.216">548</definedName>
    <definedName name="SLD.000.C.0.07.0000.00.01.217">23062</definedName>
    <definedName name="SLD.000.C.0.07.0000.00.01.21704010001">0</definedName>
    <definedName name="SLD.000.C.0.07.0000.00.01.219">3346</definedName>
    <definedName name="SLD.000.C.0.07.0000.00.01.221">287690</definedName>
    <definedName name="SLD.000.C.0.07.0000.00.01.222">21139</definedName>
    <definedName name="SLD.000.C.0.07.0000.00.01.241">137385</definedName>
    <definedName name="SLD.000.C.0.07.0000.00.01.244">3416</definedName>
    <definedName name="SLD.000.C.0.07.0000.00.01.311">172282</definedName>
    <definedName name="SLD.000.C.0.07.0000.00.01.312">4712</definedName>
    <definedName name="SLD.000.C.0.07.0000.00.01.32">-14928</definedName>
    <definedName name="SLD.000.C.0.07.0000.00.01.34">2212</definedName>
    <definedName name="SLD.000.C.0.07.0000.00.01.41">-94807</definedName>
    <definedName name="SLD.000.C.0.07.0000.00.01.42">-19505</definedName>
    <definedName name="SLD.000.C.0.07.0000.00.01.4410101">-26998</definedName>
    <definedName name="SLD.000.C.0.07.0000.00.01.4410102">-47525</definedName>
    <definedName name="SLD.000.C.0.07.0000.00.01.45">-47</definedName>
    <definedName name="SLD.000.C.0.07.0000.00.01.47101010001">5852</definedName>
    <definedName name="SLD.000.C.0.07.0000.00.01.47101010002">2170</definedName>
    <definedName name="SLD.000.C.0.07.0000.00.01.D1010">12898</definedName>
    <definedName name="SLD.000.C.0.07.0000.00.01.D1011">30524</definedName>
    <definedName name="SLD.000.C.0.07.0000.00.01.D1012">2210</definedName>
    <definedName name="SLD.000.C.0.07.0000.00.01.D1013">15989</definedName>
    <definedName name="SLD.000.C.0.07.0000.00.01.D1014">51</definedName>
    <definedName name="SLD.000.C.0.07.0000.00.01.D1015">512573</definedName>
    <definedName name="SLD.000.C.0.07.0000.00.01.D1016">11</definedName>
    <definedName name="SLD.000.C.0.07.0000.00.01.D1017">7157</definedName>
    <definedName name="SLD.000.C.0.07.0000.00.01.D1018">5201</definedName>
    <definedName name="SLD.000.C.0.07.0000.00.01.D1094">2174</definedName>
    <definedName name="SLD.000.C.0.07.0000.00.01.D1155">30</definedName>
    <definedName name="SLD.000.C.0.07.0000.00.01.DCRECEBER">2822</definedName>
    <definedName name="SLD.000.C.0.07.2000.00.00.311">154554758.300048</definedName>
    <definedName name="SLD.000.C.0.07.2000.00.00.312">4413838.41000366</definedName>
    <definedName name="SLD.000.C.0.07.2000.00.00.32">-11563047.550003</definedName>
    <definedName name="SLD.000.C.0.07.2000.00.00.34">3022147.54000092</definedName>
    <definedName name="SLD.000.C.0.07.2000.00.00.41">-89645674.040039</definedName>
    <definedName name="SLD.000.C.0.07.2000.00.00.42">-17457559.8999939</definedName>
    <definedName name="SLD.000.C.0.07.2000.00.00.44">-26895992.9599914</definedName>
    <definedName name="SLD.000.C.0.07.2000.00.00.45">-113299.85000002</definedName>
    <definedName name="SLD.000.C.0.07.2000.00.00.47101010001">-4095197.79000092</definedName>
    <definedName name="SLD.000.C.0.07.2000.00.00.47101010002">-1207791.98999977</definedName>
    <definedName name="SLD.000.C.0.07.2000.00.01.311">154555</definedName>
    <definedName name="SLD.000.C.0.07.2000.00.01.312">4414</definedName>
    <definedName name="SLD.000.C.0.07.2000.00.01.32">-11563</definedName>
    <definedName name="SLD.000.C.0.07.2000.00.01.34">3022</definedName>
    <definedName name="SLD.000.C.0.07.2000.00.01.41">-89646</definedName>
    <definedName name="SLD.000.C.0.07.2000.00.01.42">-17458</definedName>
    <definedName name="SLD.000.C.0.07.2000.00.01.44">-26896</definedName>
    <definedName name="SLD.000.C.0.07.2000.00.01.45">-113</definedName>
    <definedName name="SLD.000.C.0.07.2000.00.01.47101010001">-4095</definedName>
    <definedName name="SLD.000.C.0.07.2000.00.01.47101010002">-1208</definedName>
    <definedName name="SLD.000.C.0.07.2001.00.01.11201010035">0</definedName>
    <definedName name="SLD.000.C.0.07.2001.00.01.11306010019">0</definedName>
    <definedName name="SLD.000.C.0.07.2001.00.01.11306010031">12</definedName>
    <definedName name="SLD.000.C.0.07.2001.00.01.11306010036">0</definedName>
    <definedName name="SLD.000.C.0.07.2001.00.01.121">1</definedName>
    <definedName name="SLD.000.C.0.07.2001.00.01.12301">666</definedName>
    <definedName name="SLD.000.C.0.07.2001.00.01.131">0</definedName>
    <definedName name="SLD.000.C.0.07.2001.00.01.211">91549</definedName>
    <definedName name="SLD.000.C.0.07.2001.00.01.212">37</definedName>
    <definedName name="SLD.000.C.0.07.2001.00.01.217">23062</definedName>
    <definedName name="SLD.000.C.0.07.2001.00.01.221">287690</definedName>
    <definedName name="SLD.000.C.0.07.2001.00.01.222">21139</definedName>
    <definedName name="SLD.000.C.0.07.2001.00.01.241">137385</definedName>
    <definedName name="SLD.000.C.0.07.2001.00.01.244">3416</definedName>
    <definedName name="SLD.000.C.0.07.2001.00.01.311">172282</definedName>
    <definedName name="SLD.000.C.0.07.2001.00.01.312">4712</definedName>
    <definedName name="SLD.000.C.0.07.2001.00.01.32">-14928</definedName>
    <definedName name="SLD.000.C.0.07.2001.00.01.34">2212</definedName>
    <definedName name="SLD.000.C.0.07.2001.00.01.41">-94807</definedName>
    <definedName name="SLD.000.C.0.07.2001.00.01.42">-19505</definedName>
    <definedName name="SLD.000.C.0.07.2001.00.01.4410101">-26998</definedName>
    <definedName name="SLD.000.C.0.07.2001.00.01.4410102">-47525</definedName>
    <definedName name="SLD.000.C.0.07.2001.00.01.45">-47</definedName>
    <definedName name="SLD.000.C.0.07.2001.00.01.47101010001">5852</definedName>
    <definedName name="SLD.000.C.0.07.2001.00.01.47101010002">2170</definedName>
    <definedName name="SLD.000.C.0.07.2001.00.01.D1013">15989</definedName>
    <definedName name="SLD.000.C.0.07.2001.00.01.D1015">512573</definedName>
    <definedName name="SLD.000.C.0.07.2001.00.01.D1016">11</definedName>
    <definedName name="SLD.000.C.0.07.2001.00.01.D1017">7157</definedName>
    <definedName name="SLD.000.C.0.07.2001.00.01.D1018">5201</definedName>
    <definedName name="SLD.000.C.0.07.2001.00.01.D1094">2174</definedName>
    <definedName name="SLD.000.C.0.07.2001.00.01.D1155">30</definedName>
    <definedName name="SLD.000.C.0.08.0000.00.00.11201010035">200</definedName>
    <definedName name="SLD.000.C.0.08.0000.00.00.11306010019">90.63</definedName>
    <definedName name="SLD.000.C.0.08.0000.00.00.11306010031">13002</definedName>
    <definedName name="SLD.000.C.0.08.0000.00.00.21704010001">16653.00999999</definedName>
    <definedName name="SLD.000.C.0.08.0000.00.01.117">1014</definedName>
    <definedName name="SLD.000.C.0.08.0000.00.01.121">30082</definedName>
    <definedName name="SLD.000.C.0.08.0000.00.01.12301">997</definedName>
    <definedName name="SLD.000.C.0.08.0000.00.01.211">73607</definedName>
    <definedName name="SLD.000.C.0.08.0000.00.01.212">220</definedName>
    <definedName name="SLD.000.C.0.08.0000.00.01.216">555</definedName>
    <definedName name="SLD.000.C.0.08.0000.00.01.217">22702</definedName>
    <definedName name="SLD.000.C.0.08.0000.00.01.219">3514</definedName>
    <definedName name="SLD.000.C.0.08.0000.00.01.221">307226</definedName>
    <definedName name="SLD.000.C.0.08.0000.00.01.222">12514</definedName>
    <definedName name="SLD.000.C.0.08.0000.00.01.241">129974</definedName>
    <definedName name="SLD.000.C.0.08.0000.00.01.244">2180</definedName>
    <definedName name="SLD.000.C.0.08.0000.00.01.D1010">21116</definedName>
    <definedName name="SLD.000.C.0.08.0000.00.01.D1011">25629</definedName>
    <definedName name="SLD.000.C.0.08.0000.00.01.D1012">2240</definedName>
    <definedName name="SLD.000.C.0.08.0000.00.01.D1013">8253</definedName>
    <definedName name="SLD.000.C.0.08.0000.00.01.D1014">99</definedName>
    <definedName name="SLD.000.C.0.08.0000.00.01.D1015">487300</definedName>
    <definedName name="SLD.000.C.0.08.0000.00.01.D1016">6062</definedName>
    <definedName name="SLD.000.C.0.08.0000.00.01.D1017">5130</definedName>
    <definedName name="SLD.000.C.0.08.0000.00.01.D1018">29703</definedName>
    <definedName name="SLD.000.C.0.08.0000.00.01.DCRECEBER">2722</definedName>
    <definedName name="SLD.000.C.0.08.2000.00.01.311">179586</definedName>
    <definedName name="SLD.000.C.0.08.2000.00.01.312">4954</definedName>
    <definedName name="SLD.000.C.0.08.2000.00.01.32">-13428</definedName>
    <definedName name="SLD.000.C.0.08.2000.00.01.34">4527</definedName>
    <definedName name="SLD.000.C.0.08.2000.00.01.41">-102632</definedName>
    <definedName name="SLD.000.C.0.08.2000.00.01.42">-18791</definedName>
    <definedName name="SLD.000.C.0.08.2000.00.01.44">-36837</definedName>
    <definedName name="SLD.000.C.0.08.2000.00.01.45">-114</definedName>
    <definedName name="SLD.000.C.0.08.2000.00.01.47101010001">-4419</definedName>
    <definedName name="SLD.000.C.0.08.2000.00.01.47101010002">-1257</definedName>
    <definedName name="SLD.000.C.0.08.2001.00.00.11306010034">679.5</definedName>
    <definedName name="SLD.000.C.0.08.2001.00.01.11201010035">0</definedName>
    <definedName name="SLD.000.C.0.08.2001.00.01.11306010019">1</definedName>
    <definedName name="SLD.000.C.0.08.2001.00.01.11306010031">0</definedName>
    <definedName name="SLD.000.C.0.08.2001.00.01.11306010034">1</definedName>
    <definedName name="SLD.000.C.0.08.2001.00.01.11306010036">43</definedName>
    <definedName name="SLD.000.C.0.08.2001.00.01.117">1014</definedName>
    <definedName name="SLD.000.C.0.08.2001.00.01.121">1</definedName>
    <definedName name="SLD.000.C.0.08.2001.00.01.12301">636</definedName>
    <definedName name="SLD.000.C.0.08.2001.00.01.131">0</definedName>
    <definedName name="SLD.000.C.0.08.2001.00.01.211">97618</definedName>
    <definedName name="SLD.000.C.0.08.2001.00.01.212">39</definedName>
    <definedName name="SLD.000.C.0.08.2001.00.01.217">21351</definedName>
    <definedName name="SLD.000.C.0.08.2001.00.01.221">294414</definedName>
    <definedName name="SLD.000.C.0.08.2001.00.01.222">21139</definedName>
    <definedName name="SLD.000.C.0.08.2001.00.01.241">137385</definedName>
    <definedName name="SLD.000.C.0.08.2001.00.01.244">3416</definedName>
    <definedName name="SLD.000.C.0.08.2001.00.01.311">199290</definedName>
    <definedName name="SLD.000.C.0.08.2001.00.01.312">5200</definedName>
    <definedName name="SLD.000.C.0.08.2001.00.01.32">-17264</definedName>
    <definedName name="SLD.000.C.0.08.2001.00.01.34">2360</definedName>
    <definedName name="SLD.000.C.0.08.2001.00.01.41">-109219</definedName>
    <definedName name="SLD.000.C.0.08.2001.00.01.42">-22060</definedName>
    <definedName name="SLD.000.C.0.08.2001.00.01.4410101">-31079</definedName>
    <definedName name="SLD.000.C.0.08.2001.00.01.4410102">-59077</definedName>
    <definedName name="SLD.000.C.0.08.2001.00.01.45">-45</definedName>
    <definedName name="SLD.000.C.0.08.2001.00.01.47101010001">7590</definedName>
    <definedName name="SLD.000.C.0.08.2001.00.01.47101010002">2796</definedName>
    <definedName name="SLD.000.C.0.08.2001.00.01.D1010">21116</definedName>
    <definedName name="SLD.000.C.0.08.2001.00.01.D1011">25629</definedName>
    <definedName name="SLD.000.C.0.08.2001.00.01.D1012">2240</definedName>
    <definedName name="SLD.000.C.0.08.2001.00.01.D1013">18353</definedName>
    <definedName name="SLD.000.C.0.08.2001.00.01.D1015">513622</definedName>
    <definedName name="SLD.000.C.0.08.2001.00.01.D1016">-1</definedName>
    <definedName name="SLD.000.C.0.08.2001.00.01.D1017">7552</definedName>
    <definedName name="SLD.000.C.0.08.2001.00.01.D1018">275</definedName>
    <definedName name="SLD.000.C.0.08.2001.00.01.D1094">2297</definedName>
    <definedName name="SLD.000.C.0.08.2001.00.01.D1155">154</definedName>
    <definedName name="SLD.000.C.0.08.2001.00.01.DCRECEBER">2722</definedName>
    <definedName name="SLD.000.C.0.09.0000.00.00.11201010035">200</definedName>
    <definedName name="SLD.000.C.0.09.0000.00.00.11306010019">321.67</definedName>
    <definedName name="SLD.000.C.0.09.0000.00.00.11306010031">13000</definedName>
    <definedName name="SLD.000.C.0.09.0000.00.00.21704010001">25308.86000001</definedName>
    <definedName name="SLD.000.C.0.09.0000.00.01.117">851</definedName>
    <definedName name="SLD.000.C.0.09.0000.00.01.121">29836</definedName>
    <definedName name="SLD.000.C.0.09.0000.00.01.12301">967</definedName>
    <definedName name="SLD.000.C.0.09.0000.00.01.211">64411</definedName>
    <definedName name="SLD.000.C.0.09.0000.00.01.212">221</definedName>
    <definedName name="SLD.000.C.0.09.0000.00.01.216">587</definedName>
    <definedName name="SLD.000.C.0.09.0000.00.01.217">25855</definedName>
    <definedName name="SLD.000.C.0.09.0000.00.01.219">3756</definedName>
    <definedName name="SLD.000.C.0.09.0000.00.01.221">289288</definedName>
    <definedName name="SLD.000.C.0.09.0000.00.01.222">12514</definedName>
    <definedName name="SLD.000.C.0.09.0000.00.01.241">129974</definedName>
    <definedName name="SLD.000.C.0.09.0000.00.01.244">2180</definedName>
    <definedName name="SLD.000.C.0.09.0000.00.01.D1010">11912</definedName>
    <definedName name="SLD.000.C.0.09.0000.00.01.D1011">15980</definedName>
    <definedName name="SLD.000.C.0.09.0000.00.01.D1012">283</definedName>
    <definedName name="SLD.000.C.0.09.0000.00.01.D1013">7967</definedName>
    <definedName name="SLD.000.C.0.09.0000.00.01.D1014">161</definedName>
    <definedName name="SLD.000.C.0.09.0000.00.01.D1015">490510</definedName>
    <definedName name="SLD.000.C.0.09.0000.00.01.D1016">5512</definedName>
    <definedName name="SLD.000.C.0.09.0000.00.01.D1017">3942</definedName>
    <definedName name="SLD.000.C.0.09.0000.00.01.D1018">32145</definedName>
    <definedName name="SLD.000.C.0.09.0000.00.01.DCRECEBER">895</definedName>
    <definedName name="SLD.000.C.0.09.2000.00.01.311">204201</definedName>
    <definedName name="SLD.000.C.0.09.2000.00.01.312">6945</definedName>
    <definedName name="SLD.000.C.0.09.2000.00.01.32">-15314</definedName>
    <definedName name="SLD.000.C.0.09.2000.00.01.34">5297</definedName>
    <definedName name="SLD.000.C.0.09.2000.00.01.41">-115820</definedName>
    <definedName name="SLD.000.C.0.09.2000.00.01.42">-21060</definedName>
    <definedName name="SLD.000.C.0.09.2000.00.01.44">-43166</definedName>
    <definedName name="SLD.000.C.0.09.2000.00.01.45">-124</definedName>
    <definedName name="SLD.000.C.0.09.2000.00.01.47101010001">-5349</definedName>
    <definedName name="SLD.000.C.0.09.2000.00.01.47101010002">-1581</definedName>
    <definedName name="SLD.000.C.0.09.2001.00.01.11201010035">0</definedName>
    <definedName name="SLD.000.C.0.09.2001.00.01.11306010019">1</definedName>
    <definedName name="SLD.000.C.0.09.2001.00.01.11306010031">0</definedName>
    <definedName name="SLD.000.C.0.09.2001.00.01.11306010034">0</definedName>
    <definedName name="SLD.000.C.0.09.2001.00.01.11306010036">43</definedName>
    <definedName name="SLD.000.C.0.09.2001.00.01.117">912</definedName>
    <definedName name="SLD.000.C.0.09.2001.00.01.121">1</definedName>
    <definedName name="SLD.000.C.0.09.2001.00.01.12301">606</definedName>
    <definedName name="SLD.000.C.0.09.2001.00.01.131">0</definedName>
    <definedName name="SLD.000.C.0.09.2001.00.01.211">92146</definedName>
    <definedName name="SLD.000.C.0.09.2001.00.01.212">41</definedName>
    <definedName name="SLD.000.C.0.09.2001.00.01.217">22556</definedName>
    <definedName name="SLD.000.C.0.09.2001.00.01.221">273889</definedName>
    <definedName name="SLD.000.C.0.09.2001.00.01.222">21139</definedName>
    <definedName name="SLD.000.C.0.09.2001.00.01.241">137385</definedName>
    <definedName name="SLD.000.C.0.09.2001.00.01.244">3416</definedName>
    <definedName name="SLD.000.C.0.09.2001.00.01.311">226450</definedName>
    <definedName name="SLD.000.C.0.09.2001.00.01.312">7103</definedName>
    <definedName name="SLD.000.C.0.09.2001.00.01.32">-19667</definedName>
    <definedName name="SLD.000.C.0.09.2001.00.01.34">2426</definedName>
    <definedName name="SLD.000.C.0.09.2001.00.01.41">-120059</definedName>
    <definedName name="SLD.000.C.0.09.2001.00.01.42">-24899</definedName>
    <definedName name="SLD.000.C.0.09.2001.00.01.4410101">-35193</definedName>
    <definedName name="SLD.000.C.0.09.2001.00.01.4410102">-70926</definedName>
    <definedName name="SLD.000.C.0.09.2001.00.01.45">-46</definedName>
    <definedName name="SLD.000.C.0.09.2001.00.01.47101010001">8304</definedName>
    <definedName name="SLD.000.C.0.09.2001.00.01.47101010002">3054</definedName>
    <definedName name="SLD.000.C.0.09.2001.00.01.D1010">12920</definedName>
    <definedName name="SLD.000.C.0.09.2001.00.01.D1011">7375</definedName>
    <definedName name="SLD.000.C.0.09.2001.00.01.D1012">2248</definedName>
    <definedName name="SLD.000.C.0.09.2001.00.01.D1013">19324</definedName>
    <definedName name="SLD.000.C.0.09.2001.00.01.D1015">513718</definedName>
    <definedName name="SLD.000.C.0.09.2001.00.01.D1016">0</definedName>
    <definedName name="SLD.000.C.0.09.2001.00.01.D1017">7923</definedName>
    <definedName name="SLD.000.C.0.09.2001.00.01.D1018">-1670</definedName>
    <definedName name="SLD.000.C.0.09.2001.00.01.D1094">2893</definedName>
    <definedName name="SLD.000.C.0.09.2001.00.01.D1155">158</definedName>
    <definedName name="SLD.000.C.0.09.2001.00.01.DCRECEBER">2456</definedName>
    <definedName name="SLD.000.C.0.10.0000.00.00.11201010035">0</definedName>
    <definedName name="SLD.000.C.0.10.0000.00.00.11306010019">202.83</definedName>
    <definedName name="SLD.000.C.0.10.0000.00.00.11306010031">15275.16</definedName>
    <definedName name="SLD.000.C.0.10.0000.00.00.21704010001">23924.80000001</definedName>
    <definedName name="SLD.000.C.0.10.0000.00.01.11201010035">0</definedName>
    <definedName name="SLD.000.C.0.10.0000.00.01.11306010019">0</definedName>
    <definedName name="SLD.000.C.0.10.0000.00.01.11306010031">15</definedName>
    <definedName name="SLD.000.C.0.10.0000.00.01.117">695</definedName>
    <definedName name="SLD.000.C.0.10.0000.00.01.121">30859</definedName>
    <definedName name="SLD.000.C.0.10.0000.00.01.12301">937</definedName>
    <definedName name="SLD.000.C.0.10.0000.00.01.211">68903</definedName>
    <definedName name="SLD.000.C.0.10.0000.00.01.212">210</definedName>
    <definedName name="SLD.000.C.0.10.0000.00.01.216">545</definedName>
    <definedName name="SLD.000.C.0.10.0000.00.01.217">27330</definedName>
    <definedName name="SLD.000.C.0.10.0000.00.01.21704010001">24</definedName>
    <definedName name="SLD.000.C.0.10.0000.00.01.219">2428</definedName>
    <definedName name="SLD.000.C.0.10.0000.00.01.221">293045</definedName>
    <definedName name="SLD.000.C.0.10.0000.00.01.222">12514</definedName>
    <definedName name="SLD.000.C.0.10.0000.00.01.241">129974</definedName>
    <definedName name="SLD.000.C.0.10.0000.00.01.244">2180</definedName>
    <definedName name="SLD.000.C.0.10.0000.00.01.D1010">17271</definedName>
    <definedName name="SLD.000.C.0.10.0000.00.01.D1011">15613</definedName>
    <definedName name="SLD.000.C.0.10.0000.00.01.D1012">944</definedName>
    <definedName name="SLD.000.C.0.10.0000.00.01.D1013">7459</definedName>
    <definedName name="SLD.000.C.0.10.0000.00.01.D1014">323</definedName>
    <definedName name="SLD.000.C.0.10.0000.00.01.D1015">494149</definedName>
    <definedName name="SLD.000.C.0.10.0000.00.01.D1016">4962</definedName>
    <definedName name="SLD.000.C.0.10.0000.00.01.D1017">4190</definedName>
    <definedName name="SLD.000.C.0.10.0000.00.01.D1018">32726</definedName>
    <definedName name="SLD.000.C.0.10.0000.00.01.DCRECEBER">835</definedName>
    <definedName name="SLD.000.C.0.10.2000.00.01.311">229304</definedName>
    <definedName name="SLD.000.C.0.10.2000.00.01.312">7482</definedName>
    <definedName name="SLD.000.C.0.10.2000.00.01.32">-17176</definedName>
    <definedName name="SLD.000.C.0.10.2000.00.01.34">6787</definedName>
    <definedName name="SLD.000.C.0.10.2000.00.01.41">-129050</definedName>
    <definedName name="SLD.000.C.0.10.2000.00.01.42">-21320</definedName>
    <definedName name="SLD.000.C.0.10.2000.00.01.44">-54208</definedName>
    <definedName name="SLD.000.C.0.10.2000.00.01.45">-94</definedName>
    <definedName name="SLD.000.C.0.10.2000.00.01.47101010001">-5574</definedName>
    <definedName name="SLD.000.C.0.10.2000.00.01.47101010002">-1539</definedName>
    <definedName name="SLD.000.C.0.10.2001.00.00.2110202">10881502.85</definedName>
    <definedName name="SLD.000.C.0.10.2001.00.00.2110203">55226637.2899999</definedName>
    <definedName name="SLD.000.C.0.10.2001.00.00.2110302">28386509.52</definedName>
    <definedName name="SLD.000.C.0.10.2001.00.00.2210202">19016801.05</definedName>
    <definedName name="SLD.000.C.0.10.2001.00.00.2210203">149251446.629999</definedName>
    <definedName name="SLD.000.C.0.10.2001.00.00.2210302">105877571.47</definedName>
    <definedName name="SLD.000.C.0.10.2001.00.00.22201010001">5556543.48</definedName>
    <definedName name="SLD.000.C.0.10.2001.00.01.11201010035">0</definedName>
    <definedName name="SLD.000.C.0.10.2001.00.01.11306010019">0</definedName>
    <definedName name="SLD.000.C.0.10.2001.00.01.11306010031">0</definedName>
    <definedName name="SLD.000.C.0.10.2001.00.01.11306010034">0</definedName>
    <definedName name="SLD.000.C.0.10.2001.00.01.11306010036">73</definedName>
    <definedName name="SLD.000.C.0.10.2001.00.01.117">769</definedName>
    <definedName name="SLD.000.C.0.10.2001.00.01.121">0</definedName>
    <definedName name="SLD.000.C.0.10.2001.00.01.12301">576</definedName>
    <definedName name="SLD.000.C.0.10.2001.00.01.131">0</definedName>
    <definedName name="SLD.000.C.0.10.2001.00.01.211">94495</definedName>
    <definedName name="SLD.000.C.0.10.2001.00.01.2110202">10882</definedName>
    <definedName name="SLD.000.C.0.10.2001.00.01.2110203">55227</definedName>
    <definedName name="SLD.000.C.0.10.2001.00.01.2110302">28387</definedName>
    <definedName name="SLD.000.C.0.10.2001.00.01.212">130</definedName>
    <definedName name="SLD.000.C.0.10.2001.00.01.217">23634</definedName>
    <definedName name="SLD.000.C.0.10.2001.00.01.221">274146</definedName>
    <definedName name="SLD.000.C.0.10.2001.00.01.2210202">19017</definedName>
    <definedName name="SLD.000.C.0.10.2001.00.01.2210203">149251</definedName>
    <definedName name="SLD.000.C.0.10.2001.00.01.2210302">105878</definedName>
    <definedName name="SLD.000.C.0.10.2001.00.01.222">26696</definedName>
    <definedName name="SLD.000.C.0.10.2001.00.01.22201010001">5557</definedName>
    <definedName name="SLD.000.C.0.10.2001.00.01.241">137385</definedName>
    <definedName name="SLD.000.C.0.10.2001.00.01.244">3416</definedName>
    <definedName name="SLD.000.C.0.10.2001.00.01.311">255345</definedName>
    <definedName name="SLD.000.C.0.10.2001.00.01.312">10093</definedName>
    <definedName name="SLD.000.C.0.10.2001.00.01.32">-22260</definedName>
    <definedName name="SLD.000.C.0.10.2001.00.01.34">3447</definedName>
    <definedName name="SLD.000.C.0.10.2001.00.01.41">-134494</definedName>
    <definedName name="SLD.000.C.0.10.2001.00.01.42">-27702</definedName>
    <definedName name="SLD.000.C.0.10.2001.00.01.4410101">-38411</definedName>
    <definedName name="SLD.000.C.0.10.2001.00.01.4410102">-73993</definedName>
    <definedName name="SLD.000.C.0.10.2001.00.01.45">-43</definedName>
    <definedName name="SLD.000.C.0.10.2001.00.01.47101010001">6600</definedName>
    <definedName name="SLD.000.C.0.10.2001.00.01.47101010002">2441</definedName>
    <definedName name="SLD.000.C.0.10.2001.00.01.D1010">16116</definedName>
    <definedName name="SLD.000.C.0.10.2001.00.01.D1011">11907</definedName>
    <definedName name="SLD.000.C.0.10.2001.00.01.D1012">2246</definedName>
    <definedName name="SLD.000.C.0.10.2001.00.01.D1013">17007</definedName>
    <definedName name="SLD.000.C.0.10.2001.00.01.D1015">514760</definedName>
    <definedName name="SLD.000.C.0.10.2001.00.01.D1016">0</definedName>
    <definedName name="SLD.000.C.0.10.2001.00.01.D1017">2896</definedName>
    <definedName name="SLD.000.C.0.10.2001.00.01.D1018">2805</definedName>
    <definedName name="SLD.000.C.0.10.2001.00.01.D1094">3050</definedName>
    <definedName name="SLD.000.C.0.10.2001.00.01.D1155">3862</definedName>
    <definedName name="SLD.000.C.0.10.2001.00.01.DCRECEBER">1408</definedName>
    <definedName name="SLD.000.C.0.11.0000.00.01.11201010035">0</definedName>
    <definedName name="SLD.000.C.0.11.0000.00.01.11306010019">0</definedName>
    <definedName name="SLD.000.C.0.11.0000.00.01.11306010031">29</definedName>
    <definedName name="SLD.000.C.0.11.0000.00.01.117">593</definedName>
    <definedName name="SLD.000.C.0.11.0000.00.01.121">31536</definedName>
    <definedName name="SLD.000.C.0.11.0000.00.01.12301">907</definedName>
    <definedName name="SLD.000.C.0.11.0000.00.01.211">72049</definedName>
    <definedName name="SLD.000.C.0.11.0000.00.01.212">95</definedName>
    <definedName name="SLD.000.C.0.11.0000.00.01.216">559</definedName>
    <definedName name="SLD.000.C.0.11.0000.00.01.217">27062</definedName>
    <definedName name="SLD.000.C.0.11.0000.00.01.21704010001">19</definedName>
    <definedName name="SLD.000.C.0.11.0000.00.01.219">2531</definedName>
    <definedName name="SLD.000.C.0.11.0000.00.01.221">292325</definedName>
    <definedName name="SLD.000.C.0.11.0000.00.01.222">12514</definedName>
    <definedName name="SLD.000.C.0.11.0000.00.01.241">129974</definedName>
    <definedName name="SLD.000.C.0.11.0000.00.01.244">2180</definedName>
    <definedName name="SLD.000.C.0.11.0000.00.01.D1010">14444</definedName>
    <definedName name="SLD.000.C.0.11.0000.00.01.D1011">16290</definedName>
    <definedName name="SLD.000.C.0.11.0000.00.01.D1012">1130</definedName>
    <definedName name="SLD.000.C.0.11.0000.00.01.D1013">7601</definedName>
    <definedName name="SLD.000.C.0.11.0000.00.01.D1014">382</definedName>
    <definedName name="SLD.000.C.0.11.0000.00.01.D1015">497806</definedName>
    <definedName name="SLD.000.C.0.11.0000.00.01.D1016">4412</definedName>
    <definedName name="SLD.000.C.0.11.0000.00.01.D1017">4464</definedName>
    <definedName name="SLD.000.C.0.11.0000.00.01.D1018">32313</definedName>
    <definedName name="SLD.000.C.0.11.0000.00.01.DCRECEBER">964</definedName>
    <definedName name="SLD.000.C.0.11.2000.00.01.311">254101</definedName>
    <definedName name="SLD.000.C.0.11.2000.00.01.312">7993</definedName>
    <definedName name="SLD.000.C.0.11.2000.00.01.32">-19017</definedName>
    <definedName name="SLD.000.C.0.11.2000.00.01.34">7665</definedName>
    <definedName name="SLD.000.C.0.11.2000.00.01.41">-142242</definedName>
    <definedName name="SLD.000.C.0.11.2000.00.01.42">-23374</definedName>
    <definedName name="SLD.000.C.0.11.2000.00.01.44">-63917</definedName>
    <definedName name="SLD.000.C.0.11.2000.00.01.45">-133</definedName>
    <definedName name="SLD.000.C.0.11.2000.00.01.47101010001">-5412</definedName>
    <definedName name="SLD.000.C.0.11.2000.00.01.47101010002">-1465</definedName>
    <definedName name="SLD.000.C.0.11.2001.00.01.11201010035">0</definedName>
    <definedName name="SLD.000.C.0.11.2001.00.01.11306010019">0</definedName>
    <definedName name="SLD.000.C.0.11.2001.00.01.11306010031">0</definedName>
    <definedName name="SLD.000.C.0.11.2001.00.01.11306010034">5</definedName>
    <definedName name="SLD.000.C.0.11.2001.00.01.11306010036">73</definedName>
    <definedName name="SLD.000.C.0.11.2001.00.01.117">646</definedName>
    <definedName name="SLD.000.C.0.11.2001.00.01.121">0</definedName>
    <definedName name="SLD.000.C.0.11.2001.00.01.12301">546</definedName>
    <definedName name="SLD.000.C.0.11.2001.00.01.131">0</definedName>
    <definedName name="SLD.000.C.0.11.2001.00.01.211">90706</definedName>
    <definedName name="SLD.000.C.0.11.2001.00.01.2110202">9681</definedName>
    <definedName name="SLD.000.C.0.11.2001.00.01.2110203">52642</definedName>
    <definedName name="SLD.000.C.0.11.2001.00.01.2110302">28383</definedName>
    <definedName name="SLD.000.C.0.11.2001.00.01.212">39</definedName>
    <definedName name="SLD.000.C.0.11.2001.00.01.217">23618</definedName>
    <definedName name="SLD.000.C.0.11.2001.00.01.221">256947</definedName>
    <definedName name="SLD.000.C.0.11.2001.00.01.2210202">13645</definedName>
    <definedName name="SLD.000.C.0.11.2001.00.01.2210203">139416</definedName>
    <definedName name="SLD.000.C.0.11.2001.00.01.2210302">103886</definedName>
    <definedName name="SLD.000.C.0.11.2001.00.01.222">26992</definedName>
    <definedName name="SLD.000.C.0.11.2001.00.01.22201010001">5853</definedName>
    <definedName name="SLD.000.C.0.11.2001.00.01.241">137385</definedName>
    <definedName name="SLD.000.C.0.11.2001.00.01.244">3416</definedName>
    <definedName name="SLD.000.C.0.11.2001.00.01.311">284127</definedName>
    <definedName name="SLD.000.C.0.11.2001.00.01.312">10976</definedName>
    <definedName name="SLD.000.C.0.11.2001.00.01.32">-24765</definedName>
    <definedName name="SLD.000.C.0.11.2001.00.01.34">3546</definedName>
    <definedName name="SLD.000.C.0.11.2001.00.01.41">-148549</definedName>
    <definedName name="SLD.000.C.0.11.2001.00.01.42">-30247</definedName>
    <definedName name="SLD.000.C.0.11.2001.00.01.4410101">-41836</definedName>
    <definedName name="SLD.000.C.0.11.2001.00.01.4410102">-58702</definedName>
    <definedName name="SLD.000.C.0.11.2001.00.01.45">-43</definedName>
    <definedName name="SLD.000.C.0.11.2001.00.01.47101010001">886</definedName>
    <definedName name="SLD.000.C.0.11.2001.00.01.47101010002">411</definedName>
    <definedName name="SLD.000.C.0.11.2001.00.01.D1010">15204</definedName>
    <definedName name="SLD.000.C.0.11.2001.00.01.D1011">11953</definedName>
    <definedName name="SLD.000.C.0.11.2001.00.01.D1012">2247</definedName>
    <definedName name="SLD.000.C.0.11.2001.00.01.D1013">9263</definedName>
    <definedName name="SLD.000.C.0.11.2001.00.01.D1015">517243</definedName>
    <definedName name="SLD.000.C.0.11.2001.00.01.D1016">0</definedName>
    <definedName name="SLD.000.C.0.11.2001.00.01.D1017">2872</definedName>
    <definedName name="SLD.000.C.0.11.2001.00.01.D1018">17587</definedName>
    <definedName name="SLD.000.C.0.11.2001.00.01.D1094">3197</definedName>
    <definedName name="SLD.000.C.0.11.2001.00.01.D1155">3819</definedName>
    <definedName name="SLD.000.C.0.11.2001.00.01.DCRECEBER">1838</definedName>
    <definedName name="SLD.000.C.0.12.0000.00.01.11201010035">0</definedName>
    <definedName name="SLD.000.C.0.12.0000.00.01.11306010019">0</definedName>
    <definedName name="SLD.000.C.0.12.0000.00.01.11306010031">0</definedName>
    <definedName name="SLD.000.C.0.12.0000.00.01.117">0</definedName>
    <definedName name="SLD.000.C.0.12.0000.00.01.121">0</definedName>
    <definedName name="SLD.000.C.0.12.0000.00.01.131">0</definedName>
    <definedName name="SLD.000.C.0.12.0000.00.01.211">0</definedName>
    <definedName name="SLD.000.C.0.12.0000.00.01.212">0</definedName>
    <definedName name="SLD.000.C.0.12.0000.00.01.217">0</definedName>
    <definedName name="SLD.000.C.0.12.0000.00.01.21704010001">0</definedName>
    <definedName name="SLD.000.C.0.12.0000.00.01.221">0</definedName>
    <definedName name="SLD.000.C.0.12.0000.00.01.222">0</definedName>
    <definedName name="SLD.000.C.0.12.0000.00.01.241">0</definedName>
    <definedName name="SLD.000.C.0.12.0000.00.01.244">0</definedName>
    <definedName name="SLD.000.C.0.12.0000.00.01.31">0</definedName>
    <definedName name="SLD.000.C.0.12.0000.00.01.32">0</definedName>
    <definedName name="SLD.000.C.0.12.0000.00.01.34">0</definedName>
    <definedName name="SLD.000.C.0.12.0000.00.01.41">0</definedName>
    <definedName name="SLD.000.C.0.12.0000.00.01.42">0</definedName>
    <definedName name="SLD.000.C.0.12.0000.00.01.45">0</definedName>
    <definedName name="SLD.000.C.0.12.0000.00.01.47101010001">0</definedName>
    <definedName name="SLD.000.C.0.12.0000.00.01.47101010002">0</definedName>
    <definedName name="SLD.000.C.0.12.0000.00.01.D1010">0</definedName>
    <definedName name="SLD.000.C.0.12.0000.00.01.D1011">0</definedName>
    <definedName name="SLD.000.C.0.12.0000.00.01.D1012">0</definedName>
    <definedName name="SLD.000.C.0.12.0000.00.01.D1013">0</definedName>
    <definedName name="SLD.000.C.0.12.0000.00.01.D1015">0</definedName>
    <definedName name="SLD.000.C.0.12.0000.00.01.D1016">0</definedName>
    <definedName name="SLD.000.C.0.12.0000.00.01.D1017">0</definedName>
    <definedName name="SLD.000.C.0.12.0000.00.01.D1018">0</definedName>
    <definedName name="SLD.000.C.0.12.0000.00.01.D1025">0</definedName>
    <definedName name="SLD.000.C.0.12.0000.00.01.D1026">0</definedName>
    <definedName name="SLD.000.C.0.12.0000.00.01.D1030">0</definedName>
    <definedName name="SLD.000.C.0.12.0000.00.01.D1093">0</definedName>
    <definedName name="SLD.000.C.0.12.0000.00.01.D1094">0</definedName>
    <definedName name="SLD.000.C.0.12.0000.00.01.DCRECEBER">0</definedName>
    <definedName name="SLD.000.C.0.12.1999.00.00.117">386309.42000008</definedName>
    <definedName name="SLD.000.C.0.12.1999.00.00.121">32120074.2799987</definedName>
    <definedName name="SLD.000.C.0.12.1999.00.00.131">90000</definedName>
    <definedName name="SLD.000.C.0.12.1999.00.00.211">71813107.4799804</definedName>
    <definedName name="SLD.000.C.0.12.1999.00.00.212">988466.92000008</definedName>
    <definedName name="SLD.000.C.0.12.1999.00.00.217">30737899.1099853</definedName>
    <definedName name="SLD.000.C.0.12.1999.00.00.221">321088959</definedName>
    <definedName name="SLD.000.C.0.12.1999.00.00.222">12513945.7100067</definedName>
    <definedName name="SLD.000.C.0.12.1999.00.00.241">129974445.70996</definedName>
    <definedName name="SLD.000.C.0.12.1999.00.00.244">2180449.56999969</definedName>
    <definedName name="SLD.000.C.0.12.1999.00.00.31">244637695.850097</definedName>
    <definedName name="SLD.000.C.0.12.1999.00.00.32">-7509368.30000305</definedName>
    <definedName name="SLD.000.C.0.12.1999.00.00.34">14624027.0099945</definedName>
    <definedName name="SLD.000.C.0.12.1999.00.00.41">-137984469.360107</definedName>
    <definedName name="SLD.000.C.0.12.1999.00.00.42">-18822323.7999877</definedName>
    <definedName name="SLD.000.C.0.12.1999.00.00.45">1209821.75</definedName>
    <definedName name="SLD.000.C.0.12.1999.00.00.47101010001">6781028.15000153</definedName>
    <definedName name="SLD.000.C.0.12.1999.00.00.47101010002">1847856.37999916</definedName>
    <definedName name="SLD.000.C.0.12.1999.00.00.D1010">16016305.1600036</definedName>
    <definedName name="SLD.000.C.0.12.1999.00.00.D1011">25362635.7800293</definedName>
    <definedName name="SLD.000.C.0.12.1999.00.00.D1012">4699155.20999908</definedName>
    <definedName name="SLD.000.C.0.12.1999.00.00.D1013">8628884.52999878</definedName>
    <definedName name="SLD.000.C.0.12.1999.00.00.D1015">491398211.890625</definedName>
    <definedName name="SLD.000.C.0.12.1999.00.00.D1016">10463049.2499847</definedName>
    <definedName name="SLD.000.C.0.12.1999.00.00.D1017">2173749.31999969</definedName>
    <definedName name="SLD.000.C.0.12.1999.00.00.D1018">18114451.8701171</definedName>
    <definedName name="SLD.000.C.0.12.1999.00.00.D1025">-49193159.4400024</definedName>
    <definedName name="SLD.000.C.0.12.1999.00.00.D1026">-3587777.86999512</definedName>
    <definedName name="SLD.000.C.0.12.1999.00.00.D1030">-71352966.6400146</definedName>
    <definedName name="SLD.000.C.0.12.1999.00.00.D1074">-19349636.2700195</definedName>
    <definedName name="SLD.000.C.0.12.1999.00.00.D1075">-8628884.52999878</definedName>
    <definedName name="SLD.000.C.0.12.1999.00.00.D1076">77181160.7299804</definedName>
    <definedName name="SLD.000.C.0.12.1999.00.00.D1093">1255347.8599987</definedName>
    <definedName name="SLD.000.C.0.12.1999.00.00.D1094">1125951.77000046</definedName>
    <definedName name="SLD.000.C.0.12.1999.00.00.D997">52401126.4100341</definedName>
    <definedName name="SLD.000.C.0.12.1999.00.00.DCRECEBER">291453.08000183</definedName>
    <definedName name="SLD.000.C.0.12.1999.00.01.117">386</definedName>
    <definedName name="SLD.000.C.0.12.1999.00.01.121">32120</definedName>
    <definedName name="SLD.000.C.0.12.1999.00.01.131">90</definedName>
    <definedName name="SLD.000.C.0.12.1999.00.01.211">71813</definedName>
    <definedName name="SLD.000.C.0.12.1999.00.01.212">988</definedName>
    <definedName name="SLD.000.C.0.12.1999.00.01.217">30738</definedName>
    <definedName name="SLD.000.C.0.12.1999.00.01.221">321089</definedName>
    <definedName name="SLD.000.C.0.12.1999.00.01.222">12514</definedName>
    <definedName name="SLD.000.C.0.12.1999.00.01.241">129974</definedName>
    <definedName name="SLD.000.C.0.12.1999.00.01.244">2180</definedName>
    <definedName name="SLD.000.C.0.12.1999.00.01.31">244638</definedName>
    <definedName name="SLD.000.C.0.12.1999.00.01.32">-7509</definedName>
    <definedName name="SLD.000.C.0.12.1999.00.01.34">14624</definedName>
    <definedName name="SLD.000.C.0.12.1999.00.01.41">-137984</definedName>
    <definedName name="SLD.000.C.0.12.1999.00.01.42">-18822</definedName>
    <definedName name="SLD.000.C.0.12.1999.00.01.45">1210</definedName>
    <definedName name="SLD.000.C.0.12.1999.00.01.47101010001">6781</definedName>
    <definedName name="SLD.000.C.0.12.1999.00.01.47101010002">1848</definedName>
    <definedName name="SLD.000.C.0.12.1999.00.01.D1010">16016</definedName>
    <definedName name="SLD.000.C.0.12.1999.00.01.D1011">25363</definedName>
    <definedName name="SLD.000.C.0.12.1999.00.01.D1012">4699</definedName>
    <definedName name="SLD.000.C.0.12.1999.00.01.D1013">8629</definedName>
    <definedName name="SLD.000.C.0.12.1999.00.01.D1015">491398</definedName>
    <definedName name="SLD.000.C.0.12.1999.00.01.D1016">10463</definedName>
    <definedName name="SLD.000.C.0.12.1999.00.01.D1017">2174</definedName>
    <definedName name="SLD.000.C.0.12.1999.00.01.D1018">18114</definedName>
    <definedName name="SLD.000.C.0.12.1999.00.01.D1025">-49193</definedName>
    <definedName name="SLD.000.C.0.12.1999.00.01.D1026">-3588</definedName>
    <definedName name="SLD.000.C.0.12.1999.00.01.D1030">-71353</definedName>
    <definedName name="SLD.000.C.0.12.1999.00.01.D1074">-19350</definedName>
    <definedName name="SLD.000.C.0.12.1999.00.01.D1075">-8629</definedName>
    <definedName name="SLD.000.C.0.12.1999.00.01.D1076">77181</definedName>
    <definedName name="SLD.000.C.0.12.1999.00.01.D1093">1255</definedName>
    <definedName name="SLD.000.C.0.12.1999.00.01.D1094">1126</definedName>
    <definedName name="SLD.000.C.0.12.1999.00.01.D997">52401</definedName>
    <definedName name="SLD.000.C.0.12.1999.00.01.DCRECEBER">291</definedName>
    <definedName name="SLD.000.C.0.12.2000.00.00.117">533634.32999992</definedName>
    <definedName name="SLD.000.C.0.12.2000.00.00.121">31439885.269989</definedName>
    <definedName name="SLD.000.C.0.12.2000.00.00.131">0</definedName>
    <definedName name="SLD.000.C.0.12.2000.00.00.211">73815519.2800293</definedName>
    <definedName name="SLD.000.C.0.12.2000.00.00.212">88033.35000002</definedName>
    <definedName name="SLD.000.C.0.12.2000.00.00.217">17315355.6300048</definedName>
    <definedName name="SLD.000.C.0.12.2000.00.00.221">290102726.669921</definedName>
    <definedName name="SLD.000.C.0.12.2000.00.00.222">21139278.8200073</definedName>
    <definedName name="SLD.000.C.0.12.2000.00.00.241">129974445.70996</definedName>
    <definedName name="SLD.000.C.0.12.2000.00.00.244">2180449.56999969</definedName>
    <definedName name="SLD.000.C.0.12.2000.00.00.31">290217002.200195</definedName>
    <definedName name="SLD.000.C.0.12.2000.00.00.32">-21064440.0299987</definedName>
    <definedName name="SLD.000.C.0.12.2000.00.00.34">7705475.12000275</definedName>
    <definedName name="SLD.000.C.0.12.2000.00.00.41">-155587260.75</definedName>
    <definedName name="SLD.000.C.0.12.2000.00.00.42">-25368197.2900085</definedName>
    <definedName name="SLD.000.C.0.12.2000.00.00.45">-133099.42000008</definedName>
    <definedName name="SLD.000.C.0.12.2000.00.00.47101010001">-4710636.20999908</definedName>
    <definedName name="SLD.000.C.0.12.2000.00.00.47101010002">-1201172.17000008</definedName>
    <definedName name="SLD.000.C.0.12.2000.00.00.D1010">17989327</definedName>
    <definedName name="SLD.000.C.0.12.2000.00.00.D1011">9804813.5</definedName>
    <definedName name="SLD.000.C.0.12.2000.00.00.D1012">1992874.98999977</definedName>
    <definedName name="SLD.000.C.0.12.2000.00.00.D1013">7966124.47000122</definedName>
    <definedName name="SLD.000.C.0.12.2000.00.00.D1015">498771725.940429</definedName>
    <definedName name="SLD.000.C.0.12.2000.00.00.D1016">3861816.84998322</definedName>
    <definedName name="SLD.000.C.0.12.2000.00.00.D1017">6518375.77999878</definedName>
    <definedName name="SLD.000.C.0.12.2000.00.00.D1018">30428702.3901367</definedName>
    <definedName name="SLD.000.C.0.12.2000.00.00.D1025">-45744891.0900268</definedName>
    <definedName name="SLD.000.C.0.12.2000.00.00.D1026">-13650979.5200805</definedName>
    <definedName name="SLD.000.C.0.12.2000.00.00.D1030">-18147550.3200073</definedName>
    <definedName name="SLD.000.C.0.12.2000.00.00.D1093">1009504.21000004</definedName>
    <definedName name="SLD.000.C.0.12.2000.00.00.D1094">2896500.96999741</definedName>
    <definedName name="SLD.000.C.0.12.2000.00.00.DCRECEBER">1089681.6099987</definedName>
    <definedName name="SLD.000.C.0.12.2000.00.01.117">534</definedName>
    <definedName name="SLD.000.C.0.12.2000.00.01.121">31440</definedName>
    <definedName name="SLD.000.C.0.12.2000.00.01.131">0</definedName>
    <definedName name="SLD.000.C.0.12.2000.00.01.211">73816</definedName>
    <definedName name="SLD.000.C.0.12.2000.00.01.212">88</definedName>
    <definedName name="SLD.000.C.0.12.2000.00.01.217">17315</definedName>
    <definedName name="SLD.000.C.0.12.2000.00.01.221">290103</definedName>
    <definedName name="SLD.000.C.0.12.2000.00.01.222">21139</definedName>
    <definedName name="SLD.000.C.0.12.2000.00.01.241">129974</definedName>
    <definedName name="SLD.000.C.0.12.2000.00.01.244">3416</definedName>
    <definedName name="SLD.000.C.0.12.2000.00.01.31">290217</definedName>
    <definedName name="SLD.000.C.0.12.2000.00.01.32">-21064</definedName>
    <definedName name="SLD.000.C.0.12.2000.00.01.34">7705</definedName>
    <definedName name="SLD.000.C.0.12.2000.00.01.41">-155587</definedName>
    <definedName name="SLD.000.C.0.12.2000.00.01.42">-25368</definedName>
    <definedName name="SLD.000.C.0.12.2000.00.01.45">-133</definedName>
    <definedName name="SLD.000.C.0.12.2000.00.01.47101010001">-4711</definedName>
    <definedName name="SLD.000.C.0.12.2000.00.01.47101010002">-1201</definedName>
    <definedName name="SLD.000.C.0.12.2000.00.01.D1010">17989</definedName>
    <definedName name="SLD.000.C.0.12.2000.00.01.D1011">9805</definedName>
    <definedName name="SLD.000.C.0.12.2000.00.01.D1012">1993</definedName>
    <definedName name="SLD.000.C.0.12.2000.00.01.D1013">7966</definedName>
    <definedName name="SLD.000.C.0.12.2000.00.01.D1015">498772</definedName>
    <definedName name="SLD.000.C.0.12.2000.00.01.D1016">3862</definedName>
    <definedName name="SLD.000.C.0.12.2000.00.01.D1017">6518</definedName>
    <definedName name="SLD.000.C.0.12.2000.00.01.D1018">29193</definedName>
    <definedName name="SLD.000.C.0.12.2000.00.01.D1025">-45745</definedName>
    <definedName name="SLD.000.C.0.12.2000.00.01.D1026">-13651</definedName>
    <definedName name="SLD.000.C.0.12.2000.00.01.D1030">-18148</definedName>
    <definedName name="SLD.000.C.0.12.2000.00.01.D1093">1010</definedName>
    <definedName name="SLD.000.C.0.12.2000.00.01.D1094">2897</definedName>
    <definedName name="SLD.000.C.0.12.2000.00.01.DCRECEBER">1090</definedName>
    <definedName name="SLD.000.C.0.12.2001.00.01.11201010035">0</definedName>
    <definedName name="SLD.000.C.0.12.2001.00.01.11306010019">1</definedName>
    <definedName name="SLD.000.C.0.12.2001.00.01.11306010031">0</definedName>
    <definedName name="SLD.000.C.0.12.2001.00.01.11306010034">3</definedName>
    <definedName name="SLD.000.C.0.12.2001.00.01.11306010036">73</definedName>
    <definedName name="SLD.087.C.0.01.0000.00.01.21102">54378</definedName>
    <definedName name="SLD.087.C.0.01.0000.00.01.21103">22794</definedName>
    <definedName name="SLD.087.C.0.01.0000.00.01.22102">165826</definedName>
    <definedName name="SLD.087.C.0.01.0000.00.01.22103">123670</definedName>
    <definedName name="SLD.087.C.0.01.0000.00.01.24501">29193</definedName>
    <definedName name="SLD.087.C.0.01.0000.00.01.D1035">6124</definedName>
    <definedName name="SLD.087.C.0.01.0000.00.01.D1074">3439</definedName>
    <definedName name="SLD.087.C.0.01.2000.00.01.24501010001">-2740</definedName>
    <definedName name="SLD.087.C.0.02.0000.00.01.21102">58143</definedName>
    <definedName name="SLD.087.C.0.02.0000.00.01.21103">23767</definedName>
    <definedName name="SLD.087.C.0.02.0000.00.01.22102">172060</definedName>
    <definedName name="SLD.087.C.0.02.0000.00.01.22103">121699</definedName>
    <definedName name="SLD.087.C.0.02.0000.00.01.24501">29193</definedName>
    <definedName name="SLD.087.C.0.02.0000.00.01.D1035">15542</definedName>
    <definedName name="SLD.087.C.0.02.0000.00.01.D1074">-33</definedName>
    <definedName name="SLD.087.C.0.03.0000.00.01.21102">52333</definedName>
    <definedName name="SLD.087.C.0.03.0000.00.01.21103">23858</definedName>
    <definedName name="SLD.087.C.0.03.0000.00.01.22102">159867</definedName>
    <definedName name="SLD.087.C.0.03.0000.00.01.22103">119748</definedName>
    <definedName name="SLD.087.C.0.03.0000.00.01.24501">29193</definedName>
    <definedName name="SLD.087.C.0.03.0000.00.01.D1035">23151</definedName>
    <definedName name="SLD.087.C.0.03.0000.00.01.D1074">-5391</definedName>
    <definedName name="SLD.087.C.0.03.2000.00.01.34">702</definedName>
    <definedName name="SLD.087.C.0.03.2000.00.01.44">-7066</definedName>
    <definedName name="SLD.087.C.0.03.2000.00.01.D1074">8342</definedName>
    <definedName name="SLD.087.C.0.03.2000.00.01.D997">14663</definedName>
    <definedName name="SLD.087.C.0.03.2001.00.01.34">1803</definedName>
    <definedName name="SLD.087.C.0.03.2001.00.01.44">-33644</definedName>
    <definedName name="SLD.087.C.0.03.2001.00.01.D1074">-5391</definedName>
    <definedName name="SLD.087.C.0.03.2001.00.01.D1075">-10393</definedName>
    <definedName name="SLD.087.C.0.03.2001.00.01.D997">15100</definedName>
    <definedName name="SLD.087.C.0.04.0000.00.01.21102">54372</definedName>
    <definedName name="SLD.087.C.0.04.0000.00.01.21103">24897</definedName>
    <definedName name="SLD.087.C.0.04.0000.00.01.22102">161575</definedName>
    <definedName name="SLD.087.C.0.04.0000.00.01.22103">117776</definedName>
    <definedName name="SLD.087.C.0.04.0000.00.01.D1035">30760</definedName>
    <definedName name="SLD.087.C.0.04.0000.00.01.D1074">-4979</definedName>
    <definedName name="SLD.087.C.0.05.0000.00.01.21102">59405</definedName>
    <definedName name="SLD.087.C.0.05.0000.00.01.21103">26083</definedName>
    <definedName name="SLD.087.C.0.05.0000.00.01.22102">170697</definedName>
    <definedName name="SLD.087.C.0.05.0000.00.01.22103">115804</definedName>
    <definedName name="SLD.087.C.0.05.0000.00.01.D1035">38369</definedName>
    <definedName name="SLD.087.C.0.05.0000.00.01.D1074">-14254</definedName>
    <definedName name="SLD.087.C.0.06.0000.00.01.21102">59510</definedName>
    <definedName name="SLD.087.C.0.06.0000.00.01.21103">26015</definedName>
    <definedName name="SLD.087.C.0.06.0000.00.01.22102">166711</definedName>
    <definedName name="SLD.087.C.0.06.0000.00.01.22103">113810</definedName>
    <definedName name="SLD.087.C.0.06.0000.00.01.D1035">45978</definedName>
    <definedName name="SLD.087.C.0.06.0000.00.01.D1074">-9997</definedName>
    <definedName name="SLD.087.C.0.07.0000.00.01.21102">64399</definedName>
    <definedName name="SLD.087.C.0.07.0000.00.01.21103">27149</definedName>
    <definedName name="SLD.087.C.0.07.0000.00.01.22102">175854</definedName>
    <definedName name="SLD.087.C.0.07.0000.00.01.22103">111837</definedName>
    <definedName name="SLD.087.C.0.07.0000.00.01.D1035">53587</definedName>
    <definedName name="SLD.087.C.0.07.0000.00.01.D1074">-16582</definedName>
    <definedName name="SLD.087.C.0.07.2001.00.01.21102">64399</definedName>
    <definedName name="SLD.087.C.0.07.2001.00.01.21103">27149</definedName>
    <definedName name="SLD.087.C.0.07.2001.00.01.22102">175854</definedName>
    <definedName name="SLD.087.C.0.07.2001.00.01.22103">111837</definedName>
    <definedName name="SLD.087.C.0.07.2001.00.01.D1035">53587</definedName>
    <definedName name="SLD.087.C.0.07.2001.00.01.D1074">-16582</definedName>
    <definedName name="SLD.087.C.0.08.2000.00.01.21102">52598</definedName>
    <definedName name="SLD.087.C.0.08.2000.00.01.21103">21009</definedName>
    <definedName name="SLD.087.C.0.08.2000.00.01.22102">174915</definedName>
    <definedName name="SLD.087.C.0.08.2000.00.01.22103">132310</definedName>
    <definedName name="SLD.087.C.0.08.2000.00.01.24101010001">129974</definedName>
    <definedName name="SLD.087.C.0.08.2000.00.01.24401010001">1982</definedName>
    <definedName name="SLD.087.C.0.08.2000.00.01.24401010002">198</definedName>
    <definedName name="SLD.087.C.0.08.2000.00.01.24501">18114</definedName>
    <definedName name="SLD.087.C.0.08.2000.00.01.D1035">56850</definedName>
    <definedName name="SLD.087.C.0.08.2000.00.01.D1074">11588</definedName>
    <definedName name="SLD.087.C.0.08.2001.00.01.21102">69295</definedName>
    <definedName name="SLD.087.C.0.08.2001.00.01.21103">28322</definedName>
    <definedName name="SLD.087.C.0.08.2001.00.01.22102">184562</definedName>
    <definedName name="SLD.087.C.0.08.2001.00.01.22103">109852</definedName>
    <definedName name="SLD.087.C.0.08.2001.00.01.D1035">62490</definedName>
    <definedName name="SLD.087.C.0.08.2001.00.01.D1074">-21507</definedName>
    <definedName name="SLD.087.C.0.09.1999.00.01.24101010001">124174</definedName>
    <definedName name="SLD.087.C.0.09.1999.00.01.24401010001">1982</definedName>
    <definedName name="SLD.087.C.0.09.1999.00.01.24401010002">198</definedName>
    <definedName name="SLD.087.C.0.09.2000.00.01.11201010035">0</definedName>
    <definedName name="SLD.087.C.0.09.2000.00.01.11306010019">0</definedName>
    <definedName name="SLD.087.C.0.09.2000.00.01.21102">44925</definedName>
    <definedName name="SLD.087.C.0.09.2000.00.01.21103">19486</definedName>
    <definedName name="SLD.087.C.0.09.2000.00.01.2110302">19486</definedName>
    <definedName name="SLD.087.C.0.09.2000.00.01.22102">158111</definedName>
    <definedName name="SLD.087.C.0.09.2000.00.01.22103">131178</definedName>
    <definedName name="SLD.087.C.0.09.2000.00.01.24101010001">129974</definedName>
    <definedName name="SLD.087.C.0.09.2000.00.01.24401010001">1982</definedName>
    <definedName name="SLD.087.C.0.09.2000.00.01.24401010002">198</definedName>
    <definedName name="SLD.087.C.0.09.2000.00.01.24501">18114</definedName>
    <definedName name="SLD.087.C.0.09.2000.00.01.24501010001">-2740</definedName>
    <definedName name="SLD.087.C.0.09.2000.00.01.D1035">64621</definedName>
    <definedName name="SLD.087.C.0.09.2000.00.01.D1074">14031</definedName>
    <definedName name="SLD.087.C.0.09.2001.00.01.D1035">71452</definedName>
    <definedName name="SLD.087.C.0.09.2001.00.01.D1074">-23452</definedName>
    <definedName name="SLD.087.C.0.10.2000.00.01.21102">48321</definedName>
    <definedName name="SLD.087.C.0.10.2000.00.01.21103">20582</definedName>
    <definedName name="SLD.087.C.0.10.2000.00.01.22102">163710</definedName>
    <definedName name="SLD.087.C.0.10.2000.00.01.22103">129335</definedName>
    <definedName name="SLD.087.C.0.10.2000.00.01.D1035">72392</definedName>
    <definedName name="SLD.087.C.0.10.2000.00.01.D1074">14611</definedName>
    <definedName name="SLD.087.C.0.10.2001.00.01.D1035">80208</definedName>
    <definedName name="SLD.087.C.0.10.2001.00.01.D1074">-18978</definedName>
    <definedName name="SLD.087.C.0.11.2000.00.01.21102">50410</definedName>
    <definedName name="SLD.087.C.0.11.2000.00.01.21103">21639</definedName>
    <definedName name="SLD.087.C.0.11.2000.00.01.22102">164858</definedName>
    <definedName name="SLD.087.C.0.11.2000.00.01.22103">127467</definedName>
    <definedName name="SLD.087.C.0.11.2000.00.01.D1035">80163</definedName>
    <definedName name="SLD.087.C.0.11.2000.00.01.D1074">14199</definedName>
    <definedName name="SLD.087.C.0.11.2001.00.01.D1035">88567</definedName>
    <definedName name="SLD.087.C.0.11.2001.00.01.D1074">-4196</definedName>
    <definedName name="SLD.087.C.0.12.0000.00.01.21102">0</definedName>
    <definedName name="SLD.087.C.0.12.0000.00.01.21103">0</definedName>
    <definedName name="SLD.087.C.0.12.0000.00.01.22102">0</definedName>
    <definedName name="SLD.087.C.0.12.0000.00.01.22103">0</definedName>
    <definedName name="SLD.087.C.0.12.0000.00.01.24501">0</definedName>
    <definedName name="SLD.087.C.0.12.0000.00.01.D1035">0</definedName>
    <definedName name="SLD.087.C.0.12.0000.00.01.D1074">0</definedName>
    <definedName name="SLD.087.C.0.12.1999.00.00.24101010001">129974445.70996</definedName>
    <definedName name="SLD.087.C.0.12.1999.00.00.24401010001">1982226.87999916</definedName>
    <definedName name="SLD.087.C.0.12.1999.00.00.24401010002">198222.69000006</definedName>
    <definedName name="SLD.087.C.0.12.1999.00.00.24501010001">16609303.7200012</definedName>
    <definedName name="SLD.087.C.0.12.1999.00.01.24101010001">129974</definedName>
    <definedName name="SLD.087.C.0.12.1999.00.01.24401010001">1982</definedName>
    <definedName name="SLD.087.C.0.12.1999.00.01.24401010002">198</definedName>
    <definedName name="SLD.087.C.0.12.1999.00.01.24501010001">16609</definedName>
    <definedName name="SLD.087.C.0.12.2000.00.01.21102">52123</definedName>
    <definedName name="SLD.087.C.0.12.2000.00.01.21103">21692</definedName>
    <definedName name="SLD.087.C.0.12.2000.00.01.22102">164505</definedName>
    <definedName name="SLD.087.C.0.12.2000.00.01.22103">125598</definedName>
    <definedName name="SLD.087.C.0.12.2000.00.01.24101010001">129974</definedName>
    <definedName name="SLD.087.C.0.12.2000.00.01.24401010001">3105</definedName>
    <definedName name="SLD.087.C.0.12.2000.00.01.24401010002">311</definedName>
    <definedName name="SLD.087.C.0.12.2000.00.01.24501">16879</definedName>
    <definedName name="SLD.087.C.0.12.2000.00.01.24501010001">0</definedName>
    <definedName name="SLD.087.C.0.12.2000.00.01.D1035">87934</definedName>
    <definedName name="SLD.087.C.0.12.2000.00.01.D1074">12314</definedName>
    <definedName name="SLD.087.C.0.12.2001.00.01.D1035">97125</definedName>
    <definedName name="SLD.087.C.0.IN.2000.00.01.24101010001">129974</definedName>
    <definedName name="SLD.087.C.0.IN.2000.00.01.24401010001">1982</definedName>
    <definedName name="SLD.087.C.0.IN.2000.00.01.24401010002">198</definedName>
    <definedName name="SLD.087.C.0.IN.2000.00.01.24501">18114</definedName>
    <definedName name="SM">#REF!</definedName>
    <definedName name="SMC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1">#REF!</definedName>
    <definedName name="SOMA2">#REF!</definedName>
    <definedName name="SOMA3">#REF!</definedName>
    <definedName name="soma4" localSheetId="3">#REF!</definedName>
    <definedName name="soma4" localSheetId="4">#REF!</definedName>
    <definedName name="soma4">#REF!</definedName>
    <definedName name="sqdsad">#N/A</definedName>
    <definedName name="s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dfdf">#N/A</definedName>
    <definedName name="SUDENE">#N/A</definedName>
    <definedName name="Swvu.PLANILHA2." hidden="1">#REF!</definedName>
    <definedName name="t">#N/A</definedName>
    <definedName name="tab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ão">#REF!</definedName>
    <definedName name="tabelão1">#REF!</definedName>
    <definedName name="tabelão2">#REF!</definedName>
    <definedName name="TAC_Ant" localSheetId="3">#REF!</definedName>
    <definedName name="TAC_Ant" localSheetId="4">#REF!</definedName>
    <definedName name="TAC_Ant">#REF!</definedName>
    <definedName name="Tac_Atual" localSheetId="3">#REF!</definedName>
    <definedName name="Tac_Atual" localSheetId="4">#REF!</definedName>
    <definedName name="Tac_Atual">#REF!</definedName>
    <definedName name="taxa" localSheetId="3">#REF!</definedName>
    <definedName name="taxa" localSheetId="4">#REF!</definedName>
    <definedName name="taxa">#REF!</definedName>
    <definedName name="taxa_cap">#REF!</definedName>
    <definedName name="TBdbName" hidden="1">"88D5BF544BE111D2B8C5006097494125.mdb"</definedName>
    <definedName name="TELECOM">#REF!</definedName>
    <definedName name="temp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r">#REF!</definedName>
    <definedName name="TERR">#REF!</definedName>
    <definedName name="terra">#REF!</definedName>
    <definedName name="teste" localSheetId="3">#REF!</definedName>
    <definedName name="teste" localSheetId="4">#REF!</definedName>
    <definedName name="teste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7">#REF!</definedName>
    <definedName name="TextRefCopy18">#REF!</definedName>
    <definedName name="TextRefCopy19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6">#REF!</definedName>
    <definedName name="TextRefCopy67">#REF!</definedName>
    <definedName name="TextRefCopy68">#REF!</definedName>
    <definedName name="TextRefCopy7">#REF!</definedName>
    <definedName name="TextRefCopy8">#REF!</definedName>
    <definedName name="TextRefCopy9">#REF!</definedName>
    <definedName name="TextRefCopyRangeCount" hidden="1">68</definedName>
    <definedName name="th">#N/A</definedName>
    <definedName name="TIP" localSheetId="3">#REF!</definedName>
    <definedName name="TIP" localSheetId="4">#REF!</definedName>
    <definedName name="TIP">#REF!</definedName>
    <definedName name="Tipo_de_Contratação" localSheetId="3">#REF!</definedName>
    <definedName name="Tipo_de_Contratação" localSheetId="4">#REF!</definedName>
    <definedName name="Tipo_de_Contratação">#REF!</definedName>
    <definedName name="Tipo_de_Contratação_Ext" localSheetId="3">#REF!</definedName>
    <definedName name="Tipo_de_Contratação_Ext" localSheetId="4">#REF!</definedName>
    <definedName name="Tipo_de_Contratação_Ext">#REF!</definedName>
    <definedName name="TÍTULO1">#REF!</definedName>
    <definedName name="TÍTULO2">#REF!</definedName>
    <definedName name="TÍTULO3">#REF!</definedName>
    <definedName name="TÍTULO4">#REF!</definedName>
    <definedName name="TK">#REF!</definedName>
    <definedName name="TOLUENO">#REF!</definedName>
    <definedName name="TOTAL">#REF!</definedName>
    <definedName name="TOTAL1">#REF!</definedName>
    <definedName name="TOTAL2">#REF!</definedName>
    <definedName name="TPrazoObra">#REF!</definedName>
    <definedName name="tr">#N/A</definedName>
    <definedName name="TRANS" localSheetId="3">#REF!</definedName>
    <definedName name="TRANS" localSheetId="4">#REF!</definedName>
    <definedName name="TRANS">#REF!</definedName>
    <definedName name="transferencia" localSheetId="3">#REF!</definedName>
    <definedName name="transferencia" localSheetId="4">#REF!</definedName>
    <definedName name="transferencia">#REF!</definedName>
    <definedName name="trech" hidden="1">#REF!</definedName>
    <definedName name="trhfbnghmn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P" localSheetId="3">#REF!</definedName>
    <definedName name="TRP" localSheetId="4">#REF!</definedName>
    <definedName name="TRP">#REF!</definedName>
    <definedName name="trtrt">#N/A</definedName>
    <definedName name="tttt">#N/A</definedName>
    <definedName name="TUDO">#REF!</definedName>
    <definedName name="TUDO2">#REF!</definedName>
    <definedName name="tx">#REF!</definedName>
    <definedName name="tx_br_frete" localSheetId="3">#REF!</definedName>
    <definedName name="tx_br_frete" localSheetId="4">#REF!</definedName>
    <definedName name="tx_br_frete">#REF!</definedName>
    <definedName name="tx_br_serv" localSheetId="3">#REF!</definedName>
    <definedName name="tx_br_serv" localSheetId="4">#REF!</definedName>
    <definedName name="tx_br_serv">#REF!</definedName>
    <definedName name="tx_crescimento" localSheetId="3">#REF!</definedName>
    <definedName name="tx_crescimento" localSheetId="4">#REF!</definedName>
    <definedName name="tx_crescimento">#REF!</definedName>
    <definedName name="Tx_Juros1" localSheetId="3">#REF!</definedName>
    <definedName name="Tx_Juros1" localSheetId="4">#REF!</definedName>
    <definedName name="Tx_Juros1">#REF!</definedName>
    <definedName name="Tx_Juros2" localSheetId="3">#REF!</definedName>
    <definedName name="Tx_Juros2" localSheetId="4">#REF!</definedName>
    <definedName name="Tx_Juros2">#REF!</definedName>
    <definedName name="tx_us_serv" localSheetId="3">#REF!</definedName>
    <definedName name="tx_us_serv" localSheetId="4">#REF!</definedName>
    <definedName name="tx_us_serv">#REF!</definedName>
    <definedName name="tx_VPL_sem_alav" localSheetId="3">#REF!</definedName>
    <definedName name="tx_VPL_sem_alav" localSheetId="4">#REF!</definedName>
    <definedName name="tx_VPL_sem_alav">#REF!</definedName>
    <definedName name="txDez00">#REF!</definedName>
    <definedName name="u">#N/A</definedName>
    <definedName name="ufg">#REF!</definedName>
    <definedName name="UFIR" localSheetId="3">#REF!</definedName>
    <definedName name="UFIR" localSheetId="4">#REF!</definedName>
    <definedName name="UFIR">#REF!</definedName>
    <definedName name="UFIR94" localSheetId="3">#REF!</definedName>
    <definedName name="UFIR94" localSheetId="4">#REF!</definedName>
    <definedName name="UFIR94">#REF!</definedName>
    <definedName name="under">#REF!</definedName>
    <definedName name="unit" localSheetId="3">#REF!</definedName>
    <definedName name="unit" localSheetId="4">#REF!</definedName>
    <definedName name="unit">#REF!</definedName>
    <definedName name="UNS" localSheetId="3">#REF!</definedName>
    <definedName name="UNS" localSheetId="4">#REF!</definedName>
    <definedName name="UNS">#REF!</definedName>
    <definedName name="URV">#REF!</definedName>
    <definedName name="uu">#N/A</definedName>
    <definedName name="uuu">#N/A</definedName>
    <definedName name="uuuu">#N/A</definedName>
    <definedName name="uuuuu">#N/A</definedName>
    <definedName name="uuuuuu">#N/A</definedName>
    <definedName name="v">#N/A</definedName>
    <definedName name="V15NITRO">#REF!</definedName>
    <definedName name="V15PROPPET">#REF!</definedName>
    <definedName name="V15PVC">#REF!</definedName>
    <definedName name="V42NITRO">#REF!</definedName>
    <definedName name="V42OPPCAM">#REF!</definedName>
    <definedName name="V42PROPPET">#REF!</definedName>
    <definedName name="V42PVC">#REF!</definedName>
    <definedName name="VALOR_MEDIO" localSheetId="3">#REF!</definedName>
    <definedName name="VALOR_MEDIO" localSheetId="4">#REF!</definedName>
    <definedName name="VALOR_MEDIO">#REF!</definedName>
    <definedName name="VALOR_MEDIO2" localSheetId="3">#REF!</definedName>
    <definedName name="VALOR_MEDIO2" localSheetId="4">#REF!</definedName>
    <definedName name="VALOR_MEDIO2">#REF!</definedName>
    <definedName name="VALOR2" localSheetId="3">#REF!</definedName>
    <definedName name="VALOR2" localSheetId="4">#REF!</definedName>
    <definedName name="VALOR2">#REF!</definedName>
    <definedName name="Variacao" localSheetId="3">#REF!</definedName>
    <definedName name="Variacao" localSheetId="4">#REF!</definedName>
    <definedName name="Variacao">#REF!</definedName>
    <definedName name="VE">#REF!</definedName>
    <definedName name="VEE">#REF!</definedName>
    <definedName name="venda_existente_HCl">#REF!</definedName>
    <definedName name="venda_existente_hipo">#REF!</definedName>
    <definedName name="venda_existente_soda">#REF!</definedName>
    <definedName name="Venda_VIPE_Participação_Percentual" localSheetId="3">#REF!</definedName>
    <definedName name="Venda_VIPE_Participação_Percentual" localSheetId="4">#REF!</definedName>
    <definedName name="Venda_VIPE_Participação_Percentual">#REF!</definedName>
    <definedName name="VENDAS_DE_OUTROS_PRODUTOS" localSheetId="3">#REF!</definedName>
    <definedName name="VENDAS_DE_OUTROS_PRODUTOS" localSheetId="4">#REF!</definedName>
    <definedName name="VENDAS_DE_OUTROS_PRODUTOS">#REF!</definedName>
    <definedName name="vfrt">#N/A</definedName>
    <definedName name="vgv_incorp">#REF!</definedName>
    <definedName name="VIEW_2" localSheetId="3">#REF!</definedName>
    <definedName name="VIEW_2" localSheetId="4">#REF!</definedName>
    <definedName name="VIEW_2">#REF!</definedName>
    <definedName name="VIEW_3" localSheetId="3">#REF!</definedName>
    <definedName name="VIEW_3" localSheetId="4">#REF!</definedName>
    <definedName name="VIEW_3">#REF!</definedName>
    <definedName name="VIEW_4" localSheetId="3">#REF!</definedName>
    <definedName name="VIEW_4" localSheetId="4">#REF!</definedName>
    <definedName name="VIEW_4">#REF!</definedName>
    <definedName name="visões" localSheetId="3">#REF!</definedName>
    <definedName name="visões" localSheetId="4">#REF!</definedName>
    <definedName name="visões">#REF!</definedName>
    <definedName name="vlr_mensal" localSheetId="3">#REF!</definedName>
    <definedName name="vlr_mensal" localSheetId="4">#REF!</definedName>
    <definedName name="vlr_mensal">#REF!</definedName>
    <definedName name="VPL">#REF!</definedName>
    <definedName name="vv">#REF!</definedName>
    <definedName name="vvbb" localSheetId="11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1" hidden="1">{#N/A,#N/A,FALSE,"Plan1";#N/A,#N/A,FALSE,"Plan2"}</definedName>
    <definedName name="vvcbnb" localSheetId="3" hidden="1">{#N/A,#N/A,FALSE,"Plan1";#N/A,#N/A,FALSE,"Plan2"}</definedName>
    <definedName name="vvcbnb" localSheetId="2" hidden="1">{#N/A,#N/A,FALSE,"Plan1";#N/A,#N/A,FALSE,"Plan2"}</definedName>
    <definedName name="vvcbnb" localSheetId="0" hidden="1">{#N/A,#N/A,FALSE,"Plan1";#N/A,#N/A,FALSE,"Plan2"}</definedName>
    <definedName name="vvcbnb" localSheetId="4" hidden="1">{#N/A,#N/A,FALSE,"Plan1";#N/A,#N/A,FALSE,"Plan2"}</definedName>
    <definedName name="vvcbnb" hidden="1">{#N/A,#N/A,FALSE,"Plan1";#N/A,#N/A,FALSE,"Plan2"}</definedName>
    <definedName name="vvvvv" localSheetId="11" hidden="1">{#N/A,#N/A,FALSE,"Plan1";#N/A,#N/A,FALSE,"Plan2"}</definedName>
    <definedName name="vvvvv" localSheetId="3" hidden="1">{#N/A,#N/A,FALSE,"Plan1";#N/A,#N/A,FALSE,"Plan2"}</definedName>
    <definedName name="vvvvv" localSheetId="2" hidden="1">{#N/A,#N/A,FALSE,"Plan1";#N/A,#N/A,FALSE,"Plan2"}</definedName>
    <definedName name="vvvvv" localSheetId="0" hidden="1">{#N/A,#N/A,FALSE,"Plan1";#N/A,#N/A,FALSE,"Plan2"}</definedName>
    <definedName name="vvvvv" localSheetId="4" hidden="1">{#N/A,#N/A,FALSE,"Plan1";#N/A,#N/A,FALSE,"Plan2"}</definedName>
    <definedName name="vvvvv" hidden="1">{#N/A,#N/A,FALSE,"Plan1";#N/A,#N/A,FALSE,"Plan2"}</definedName>
    <definedName name="vvvvvv" localSheetId="11" hidden="1">{#N/A,#N/A,FALSE,"Plan1";#N/A,#N/A,FALSE,"Plan2"}</definedName>
    <definedName name="vvvvvv" localSheetId="3" hidden="1">{#N/A,#N/A,FALSE,"Plan1";#N/A,#N/A,FALSE,"Plan2"}</definedName>
    <definedName name="vvvvvv" localSheetId="2" hidden="1">{#N/A,#N/A,FALSE,"Plan1";#N/A,#N/A,FALSE,"Plan2"}</definedName>
    <definedName name="vvvvvv" localSheetId="0" hidden="1">{#N/A,#N/A,FALSE,"Plan1";#N/A,#N/A,FALSE,"Plan2"}</definedName>
    <definedName name="vvvvvv" localSheetId="4" hidden="1">{#N/A,#N/A,FALSE,"Plan1";#N/A,#N/A,FALSE,"Plan2"}</definedName>
    <definedName name="vvvvvv" hidden="1">{#N/A,#N/A,FALSE,"Plan1";#N/A,#N/A,FALSE,"Plan2"}</definedName>
    <definedName name="w">#N/A</definedName>
    <definedName name="wacc">#REF!</definedName>
    <definedName name="WERD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we">#N/A</definedName>
    <definedName name="WK" localSheetId="3">#REF!</definedName>
    <definedName name="WK" localSheetId="4">#REF!</definedName>
    <definedName name="WK">#REF!</definedName>
    <definedName name="wq" localSheetId="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wq">#N/A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impresión.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11" hidden="1">{#N/A,#N/A,FALSE,"Plan1";#N/A,#N/A,FALSE,"Plan2"}</definedName>
    <definedName name="wrn.IMPRESSO." localSheetId="3" hidden="1">{#N/A,#N/A,FALSE,"Plan1";#N/A,#N/A,FALSE,"Plan2"}</definedName>
    <definedName name="wrn.IMPRESSO." localSheetId="2" hidden="1">{#N/A,#N/A,FALSE,"Plan1";#N/A,#N/A,FALSE,"Plan2"}</definedName>
    <definedName name="wrn.IMPRESSO." localSheetId="0" hidden="1">{#N/A,#N/A,FALSE,"Plan1";#N/A,#N/A,FALSE,"Plan2"}</definedName>
    <definedName name="wrn.IMPRESSO." localSheetId="4" hidden="1">{#N/A,#N/A,FALSE,"Plan1";#N/A,#N/A,FALSE,"Plan2"}</definedName>
    <definedName name="wrn.IMPRESSO." hidden="1">{#N/A,#N/A,FALSE,"Plan1";#N/A,#N/A,FALSE,"Plan2"}</definedName>
    <definedName name="wrn.Imprimir." localSheetId="11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Model." localSheetId="1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2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4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OPP." localSheetId="1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2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4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TESTE." localSheetId="11" hidden="1">{#N/A,#N/A,FALSE,"Plan1"}</definedName>
    <definedName name="wrn.TESTE." localSheetId="3" hidden="1">{#N/A,#N/A,FALSE,"Plan1"}</definedName>
    <definedName name="wrn.TESTE." localSheetId="2" hidden="1">{#N/A,#N/A,FALSE,"Plan1"}</definedName>
    <definedName name="wrn.TESTE." localSheetId="0" hidden="1">{#N/A,#N/A,FALSE,"Plan1"}</definedName>
    <definedName name="wrn.TESTE." localSheetId="4" hidden="1">{#N/A,#N/A,FALSE,"Plan1"}</definedName>
    <definedName name="wrn.TESTE." hidden="1">{#N/A,#N/A,FALSE,"Plan1"}</definedName>
    <definedName name="wrn.VENTAS.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s">#REF!</definedName>
    <definedName name="wsa">#N/A</definedName>
    <definedName name="wvu.PLANILHA2.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1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1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q">#N/A</definedName>
    <definedName name="wwqq">#N/A</definedName>
    <definedName name="wwqqww">#N/A</definedName>
    <definedName name="www" localSheetId="11" hidden="1">{#N/A,#N/A,FALSE,"Plan1";#N/A,#N/A,FALSE,"Plan2"}</definedName>
    <definedName name="www" localSheetId="3" hidden="1">{#N/A,#N/A,FALSE,"Plan1";#N/A,#N/A,FALSE,"Plan2"}</definedName>
    <definedName name="www" localSheetId="2" hidden="1">{#N/A,#N/A,FALSE,"Plan1";#N/A,#N/A,FALSE,"Plan2"}</definedName>
    <definedName name="www" localSheetId="0" hidden="1">{#N/A,#N/A,FALSE,"Plan1";#N/A,#N/A,FALSE,"Plan2"}</definedName>
    <definedName name="www" localSheetId="4" hidden="1">{#N/A,#N/A,FALSE,"Plan1";#N/A,#N/A,FALSE,"Plan2"}</definedName>
    <definedName name="www" hidden="1">{#N/A,#N/A,FALSE,"Plan1";#N/A,#N/A,FALSE,"Plan2"}</definedName>
    <definedName name="wwww">#N/A</definedName>
    <definedName name="wwwwww">#N/A</definedName>
    <definedName name="wwwwwwww">#N/A</definedName>
    <definedName name="x">#N/A</definedName>
    <definedName name="XCFV" localSheetId="11" hidden="1">{#N/A,#N/A,FALSE,"Plan1";#N/A,#N/A,FALSE,"Plan2"}</definedName>
    <definedName name="XCFV" localSheetId="3" hidden="1">{#N/A,#N/A,FALSE,"Plan1";#N/A,#N/A,FALSE,"Plan2"}</definedName>
    <definedName name="XCFV" localSheetId="2" hidden="1">{#N/A,#N/A,FALSE,"Plan1";#N/A,#N/A,FALSE,"Plan2"}</definedName>
    <definedName name="XCFV" localSheetId="0" hidden="1">{#N/A,#N/A,FALSE,"Plan1";#N/A,#N/A,FALSE,"Plan2"}</definedName>
    <definedName name="XCFV" localSheetId="4" hidden="1">{#N/A,#N/A,FALSE,"Plan1";#N/A,#N/A,FALSE,"Plan2"}</definedName>
    <definedName name="XCFV" hidden="1">{#N/A,#N/A,FALSE,"Plan1";#N/A,#N/A,FALSE,"Plan2"}</definedName>
    <definedName name="XC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gnfgh" localSheetId="1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localSheetId="3">#REF!</definedName>
    <definedName name="xx" localSheetId="4">#REF!</definedName>
    <definedName name="xx">#REF!</definedName>
    <definedName name="xxx" localSheetId="1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x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y">#N/A</definedName>
    <definedName name="yt">#N/A</definedName>
    <definedName name="ytyt">#N/A</definedName>
    <definedName name="ytytyt">#N/A</definedName>
    <definedName name="yyyy">#N/A</definedName>
    <definedName name="yyyyyy">#N/A</definedName>
    <definedName name="yyyyyyyy">#N/A</definedName>
    <definedName name="Z">#REF!</definedName>
    <definedName name="zcd" localSheetId="3">#REF!</definedName>
    <definedName name="zcd" localSheetId="4">#REF!</definedName>
    <definedName name="zcd">#REF!</definedName>
    <definedName name="zdfvsd" localSheetId="1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erofin1">#N/A</definedName>
    <definedName name="ZonaInsercaoOESP" localSheetId="3">#REF!,#REF!,#REF!,#REF!</definedName>
    <definedName name="ZonaInsercaoOESP" localSheetId="4">#REF!,#REF!,#REF!,#REF!</definedName>
    <definedName name="ZonaInsercaoOESP">#REF!,#REF!,#REF!,#REF!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74" l="1"/>
  <c r="A38" i="74" l="1"/>
  <c r="A37" i="74"/>
  <c r="A36" i="74"/>
  <c r="A23" i="74"/>
  <c r="A24" i="74"/>
  <c r="A25" i="74"/>
  <c r="A26" i="74"/>
  <c r="A27" i="74"/>
  <c r="A29" i="74"/>
  <c r="A31" i="74"/>
  <c r="A22" i="74"/>
  <c r="A21" i="74"/>
  <c r="A35" i="74" s="1"/>
  <c r="B20" i="74"/>
  <c r="A20" i="74"/>
  <c r="B4" i="74"/>
  <c r="B3" i="74"/>
  <c r="B2" i="74"/>
  <c r="B6" i="74" s="1"/>
  <c r="D3" i="55"/>
  <c r="G72" i="6"/>
  <c r="G54" i="6"/>
  <c r="G36" i="6"/>
  <c r="M144" i="50"/>
  <c r="M155" i="50"/>
  <c r="O155" i="50" s="1"/>
  <c r="Q156" i="50"/>
  <c r="O156" i="50"/>
  <c r="I155" i="50"/>
  <c r="G154" i="50"/>
  <c r="G153" i="50"/>
  <c r="G152" i="50"/>
  <c r="G155" i="50"/>
  <c r="G156" i="50" s="1"/>
  <c r="G4" i="6"/>
  <c r="B9" i="1"/>
  <c r="D9" i="1"/>
  <c r="D36" i="1"/>
  <c r="O18" i="1"/>
  <c r="D136" i="1"/>
  <c r="D180" i="1"/>
  <c r="D101" i="1"/>
  <c r="D82" i="6"/>
  <c r="E82" i="6"/>
  <c r="D64" i="6"/>
  <c r="E64" i="6"/>
  <c r="D46" i="6"/>
  <c r="E46" i="6"/>
  <c r="F82" i="6"/>
  <c r="G82" i="6"/>
  <c r="G83" i="6"/>
  <c r="G79" i="6"/>
  <c r="G80" i="6" s="1"/>
  <c r="F72" i="6"/>
  <c r="I72" i="6" s="1"/>
  <c r="G65" i="6"/>
  <c r="G66" i="6" s="1"/>
  <c r="F64" i="6"/>
  <c r="F59" i="6"/>
  <c r="I59" i="6" s="1"/>
  <c r="G58" i="6"/>
  <c r="G40" i="6"/>
  <c r="F54" i="6"/>
  <c r="G48" i="6"/>
  <c r="G50" i="6"/>
  <c r="G29" i="6"/>
  <c r="H29" i="6" s="1"/>
  <c r="G12" i="6"/>
  <c r="G10" i="6"/>
  <c r="G8" i="6"/>
  <c r="H59" i="6"/>
  <c r="H54" i="6"/>
  <c r="F28" i="6"/>
  <c r="I54" i="6"/>
  <c r="F20" i="6"/>
  <c r="F3" i="6"/>
  <c r="I3" i="6" s="1"/>
  <c r="J28" i="6"/>
  <c r="J29" i="6"/>
  <c r="J20" i="6"/>
  <c r="J3" i="6"/>
  <c r="K4" i="6"/>
  <c r="K3" i="6"/>
  <c r="D37" i="1"/>
  <c r="D6" i="1"/>
  <c r="D79" i="1"/>
  <c r="D126" i="1"/>
  <c r="D125" i="1"/>
  <c r="D124" i="1"/>
  <c r="D169" i="1"/>
  <c r="D183" i="1"/>
  <c r="D88" i="1"/>
  <c r="D70" i="1"/>
  <c r="D49" i="1"/>
  <c r="D68" i="1"/>
  <c r="D187" i="1"/>
  <c r="D20" i="1"/>
  <c r="D64" i="1"/>
  <c r="D61" i="1"/>
  <c r="D38" i="1"/>
  <c r="D7" i="1"/>
  <c r="D16" i="1"/>
  <c r="D45" i="1"/>
  <c r="D41" i="1"/>
  <c r="D12" i="1"/>
  <c r="D32" i="1"/>
  <c r="D34" i="1"/>
  <c r="O34" i="1" s="1"/>
  <c r="B35" i="1"/>
  <c r="O35" i="1"/>
  <c r="C14" i="54"/>
  <c r="B5" i="74" l="1"/>
  <c r="B8" i="74" s="1"/>
  <c r="G49" i="6"/>
  <c r="J152" i="50"/>
  <c r="G68" i="6"/>
  <c r="G67" i="6"/>
  <c r="G84" i="6"/>
  <c r="G85" i="6" s="1"/>
  <c r="H72" i="6"/>
  <c r="H3" i="6"/>
  <c r="J72" i="6"/>
  <c r="J54" i="6"/>
  <c r="J36" i="6"/>
  <c r="B34" i="1"/>
  <c r="Q3" i="6"/>
  <c r="B77" i="6"/>
  <c r="B59" i="6"/>
  <c r="E192" i="72"/>
  <c r="F192" i="72"/>
  <c r="G192" i="72"/>
  <c r="H192" i="72"/>
  <c r="I192" i="72"/>
  <c r="J192" i="72"/>
  <c r="K192" i="72"/>
  <c r="L192" i="72"/>
  <c r="M192" i="72"/>
  <c r="N192" i="72"/>
  <c r="O192" i="72"/>
  <c r="E193" i="72"/>
  <c r="F193" i="72"/>
  <c r="G193" i="72"/>
  <c r="H193" i="72"/>
  <c r="I193" i="72"/>
  <c r="J193" i="72"/>
  <c r="D193" i="72"/>
  <c r="D192" i="72"/>
  <c r="O198" i="72"/>
  <c r="O197" i="72"/>
  <c r="O196" i="72"/>
  <c r="C194" i="72"/>
  <c r="C193" i="72"/>
  <c r="C192" i="72"/>
  <c r="C191" i="72"/>
  <c r="O189" i="72"/>
  <c r="O188" i="72"/>
  <c r="O187" i="72"/>
  <c r="H187" i="72"/>
  <c r="G187" i="72"/>
  <c r="F187" i="72"/>
  <c r="E187" i="72"/>
  <c r="D187" i="72"/>
  <c r="C187" i="72"/>
  <c r="O186" i="72"/>
  <c r="C185" i="72"/>
  <c r="A9" i="54"/>
  <c r="C3" i="54"/>
  <c r="G86" i="6" l="1"/>
  <c r="J46" i="6"/>
  <c r="J64" i="6"/>
  <c r="J82" i="6"/>
  <c r="B192" i="72"/>
  <c r="C190" i="72"/>
  <c r="C27" i="47" l="1"/>
  <c r="D27" i="47"/>
  <c r="E27" i="47"/>
  <c r="F27" i="47"/>
  <c r="G27" i="47"/>
  <c r="H27" i="47"/>
  <c r="I27" i="47"/>
  <c r="J27" i="47"/>
  <c r="K27" i="47"/>
  <c r="L27" i="47"/>
  <c r="M27" i="47"/>
  <c r="C18" i="47"/>
  <c r="D18" i="47"/>
  <c r="E18" i="47"/>
  <c r="F18" i="47"/>
  <c r="G18" i="47"/>
  <c r="H18" i="47"/>
  <c r="I18" i="47"/>
  <c r="J18" i="47"/>
  <c r="K18" i="47"/>
  <c r="L18" i="47"/>
  <c r="M18" i="47"/>
  <c r="C9" i="47"/>
  <c r="D9" i="47"/>
  <c r="E9" i="47"/>
  <c r="F9" i="47"/>
  <c r="G9" i="47"/>
  <c r="H9" i="47"/>
  <c r="I9" i="47"/>
  <c r="J9" i="47"/>
  <c r="K9" i="47"/>
  <c r="L9" i="47"/>
  <c r="M9" i="47"/>
  <c r="K29" i="6" l="1"/>
  <c r="K28" i="6"/>
  <c r="K20" i="6"/>
  <c r="L29" i="6"/>
  <c r="K4" i="2"/>
  <c r="K3" i="2"/>
  <c r="K2" i="2"/>
  <c r="B29" i="6"/>
  <c r="B28" i="6"/>
  <c r="B20" i="6"/>
  <c r="B3" i="6"/>
  <c r="D3" i="6" s="1"/>
  <c r="B178" i="72"/>
  <c r="B177" i="72"/>
  <c r="B176" i="72"/>
  <c r="B175" i="72"/>
  <c r="B174" i="72"/>
  <c r="O173" i="72"/>
  <c r="N173" i="72"/>
  <c r="M173" i="72"/>
  <c r="L173" i="72"/>
  <c r="K173" i="72"/>
  <c r="J173" i="72"/>
  <c r="I173" i="72"/>
  <c r="H173" i="72"/>
  <c r="G173" i="72"/>
  <c r="F173" i="72"/>
  <c r="E173" i="72"/>
  <c r="D173" i="72"/>
  <c r="B173" i="72" s="1"/>
  <c r="B172" i="72"/>
  <c r="B171" i="72"/>
  <c r="B170" i="72"/>
  <c r="B169" i="72"/>
  <c r="O168" i="72"/>
  <c r="B168" i="72"/>
  <c r="B167" i="72"/>
  <c r="B166" i="72"/>
  <c r="B165" i="72"/>
  <c r="B164" i="72"/>
  <c r="B163" i="72"/>
  <c r="B162" i="72"/>
  <c r="O161" i="72"/>
  <c r="N161" i="72"/>
  <c r="M161" i="72"/>
  <c r="L161" i="72"/>
  <c r="K161" i="72"/>
  <c r="J161" i="72"/>
  <c r="I161" i="72"/>
  <c r="H161" i="72"/>
  <c r="G161" i="72"/>
  <c r="F161" i="72"/>
  <c r="E161" i="72"/>
  <c r="D161" i="72"/>
  <c r="B161" i="72"/>
  <c r="B160" i="72"/>
  <c r="B159" i="72"/>
  <c r="B158" i="72"/>
  <c r="B157" i="72"/>
  <c r="B156" i="72"/>
  <c r="O155" i="72"/>
  <c r="N155" i="72"/>
  <c r="M155" i="72"/>
  <c r="L155" i="72"/>
  <c r="K155" i="72"/>
  <c r="J155" i="72"/>
  <c r="I155" i="72"/>
  <c r="H155" i="72"/>
  <c r="G155" i="72"/>
  <c r="F155" i="72"/>
  <c r="E155" i="72"/>
  <c r="D155" i="72"/>
  <c r="B155" i="72"/>
  <c r="B154" i="72"/>
  <c r="B153" i="72"/>
  <c r="B152" i="72"/>
  <c r="O151" i="72"/>
  <c r="N151" i="72"/>
  <c r="M151" i="72"/>
  <c r="L151" i="72"/>
  <c r="K151" i="72"/>
  <c r="J151" i="72"/>
  <c r="I151" i="72"/>
  <c r="H151" i="72"/>
  <c r="G151" i="72"/>
  <c r="F151" i="72"/>
  <c r="E151" i="72"/>
  <c r="D151" i="72"/>
  <c r="B151" i="72"/>
  <c r="B150" i="72"/>
  <c r="O149" i="72"/>
  <c r="O145" i="72" s="1"/>
  <c r="B149" i="72"/>
  <c r="B148" i="72"/>
  <c r="B147" i="72"/>
  <c r="B146" i="72"/>
  <c r="B145" i="72" s="1"/>
  <c r="N145" i="72"/>
  <c r="M145" i="72"/>
  <c r="L145" i="72"/>
  <c r="K145" i="72"/>
  <c r="J145" i="72"/>
  <c r="I145" i="72"/>
  <c r="H145" i="72"/>
  <c r="G145" i="72"/>
  <c r="F145" i="72"/>
  <c r="E145" i="72"/>
  <c r="D145" i="72"/>
  <c r="B144" i="72"/>
  <c r="B143" i="72"/>
  <c r="B142" i="72"/>
  <c r="B141" i="72"/>
  <c r="B140" i="72"/>
  <c r="B139" i="72"/>
  <c r="B138" i="72"/>
  <c r="B137" i="72"/>
  <c r="B136" i="72"/>
  <c r="B135" i="72"/>
  <c r="B134" i="72"/>
  <c r="B133" i="72"/>
  <c r="B132" i="72"/>
  <c r="B131" i="72"/>
  <c r="B130" i="72"/>
  <c r="B129" i="72"/>
  <c r="O128" i="72"/>
  <c r="N128" i="72"/>
  <c r="M128" i="72"/>
  <c r="L128" i="72"/>
  <c r="K128" i="72"/>
  <c r="J128" i="72"/>
  <c r="I128" i="72"/>
  <c r="H128" i="72"/>
  <c r="G128" i="72"/>
  <c r="F128" i="72"/>
  <c r="E128" i="72"/>
  <c r="D128" i="72"/>
  <c r="B128" i="72"/>
  <c r="O127" i="72"/>
  <c r="N127" i="72"/>
  <c r="M127" i="72"/>
  <c r="L127" i="72"/>
  <c r="L124" i="72" s="1"/>
  <c r="K127" i="72"/>
  <c r="J127" i="72"/>
  <c r="J124" i="72" s="1"/>
  <c r="I127" i="72"/>
  <c r="H127" i="72"/>
  <c r="H124" i="72" s="1"/>
  <c r="G127" i="72"/>
  <c r="F127" i="72"/>
  <c r="E127" i="72"/>
  <c r="D127" i="72"/>
  <c r="D124" i="72" s="1"/>
  <c r="O126" i="72"/>
  <c r="O124" i="72" s="1"/>
  <c r="N126" i="72"/>
  <c r="N124" i="72" s="1"/>
  <c r="M126" i="72"/>
  <c r="M124" i="72" s="1"/>
  <c r="L126" i="72"/>
  <c r="K126" i="72"/>
  <c r="J126" i="72"/>
  <c r="I126" i="72"/>
  <c r="I124" i="72" s="1"/>
  <c r="H126" i="72"/>
  <c r="G126" i="72"/>
  <c r="G124" i="72" s="1"/>
  <c r="F126" i="72"/>
  <c r="F124" i="72" s="1"/>
  <c r="E126" i="72"/>
  <c r="D126" i="72"/>
  <c r="B125" i="72"/>
  <c r="K124" i="72"/>
  <c r="B123" i="72"/>
  <c r="B122" i="72"/>
  <c r="O121" i="72"/>
  <c r="N121" i="72"/>
  <c r="M121" i="72"/>
  <c r="L121" i="72"/>
  <c r="K121" i="72"/>
  <c r="J121" i="72"/>
  <c r="I121" i="72"/>
  <c r="H121" i="72"/>
  <c r="G121" i="72"/>
  <c r="F121" i="72"/>
  <c r="E121" i="72"/>
  <c r="D121" i="72"/>
  <c r="J120" i="72"/>
  <c r="K120" i="72" s="1"/>
  <c r="L120" i="72" s="1"/>
  <c r="B119" i="72"/>
  <c r="K118" i="72"/>
  <c r="J118" i="72"/>
  <c r="I118" i="72"/>
  <c r="H118" i="72"/>
  <c r="G118" i="72"/>
  <c r="F118" i="72"/>
  <c r="E118" i="72"/>
  <c r="D118" i="72"/>
  <c r="O117" i="72"/>
  <c r="N117" i="72"/>
  <c r="M117" i="72"/>
  <c r="L117" i="72"/>
  <c r="K117" i="72"/>
  <c r="J117" i="72"/>
  <c r="I117" i="72"/>
  <c r="H117" i="72"/>
  <c r="G117" i="72"/>
  <c r="F117" i="72"/>
  <c r="E117" i="72"/>
  <c r="D117" i="72"/>
  <c r="K116" i="72"/>
  <c r="L116" i="72" s="1"/>
  <c r="M116" i="72" s="1"/>
  <c r="N116" i="72" s="1"/>
  <c r="O116" i="72" s="1"/>
  <c r="J116" i="72"/>
  <c r="I116" i="72"/>
  <c r="B116" i="72" s="1"/>
  <c r="H116" i="72"/>
  <c r="G116" i="72"/>
  <c r="F116" i="72"/>
  <c r="E116" i="72"/>
  <c r="D116" i="72"/>
  <c r="M115" i="72"/>
  <c r="H115" i="72"/>
  <c r="I115" i="72" s="1"/>
  <c r="J115" i="72" s="1"/>
  <c r="K115" i="72" s="1"/>
  <c r="L115" i="72" s="1"/>
  <c r="O115" i="72" s="1"/>
  <c r="G115" i="72"/>
  <c r="F115" i="72"/>
  <c r="E115" i="72"/>
  <c r="D115" i="72"/>
  <c r="B114" i="72"/>
  <c r="B113" i="72"/>
  <c r="E112" i="72"/>
  <c r="E191" i="72" s="1"/>
  <c r="D112" i="72"/>
  <c r="D191" i="72" s="1"/>
  <c r="B110" i="72"/>
  <c r="O109" i="72"/>
  <c r="N109" i="72"/>
  <c r="M109" i="72"/>
  <c r="L109" i="72"/>
  <c r="K109" i="72"/>
  <c r="J109" i="72"/>
  <c r="I109" i="72"/>
  <c r="H109" i="72"/>
  <c r="G109" i="72"/>
  <c r="F109" i="72"/>
  <c r="E109" i="72"/>
  <c r="D109" i="72"/>
  <c r="B109" i="72" s="1"/>
  <c r="B108" i="72"/>
  <c r="B107" i="72"/>
  <c r="M106" i="72"/>
  <c r="N106" i="72" s="1"/>
  <c r="O106" i="72" s="1"/>
  <c r="B105" i="72"/>
  <c r="F104" i="72"/>
  <c r="F103" i="72" s="1"/>
  <c r="E104" i="72"/>
  <c r="E103" i="72" s="1"/>
  <c r="D103" i="72"/>
  <c r="B102" i="72"/>
  <c r="I101" i="72"/>
  <c r="B101" i="72"/>
  <c r="B100" i="72"/>
  <c r="B99" i="72"/>
  <c r="M98" i="72"/>
  <c r="N98" i="72" s="1"/>
  <c r="M97" i="72"/>
  <c r="L97" i="72"/>
  <c r="K97" i="72"/>
  <c r="J97" i="72"/>
  <c r="I97" i="72"/>
  <c r="H97" i="72"/>
  <c r="G97" i="72"/>
  <c r="F97" i="72"/>
  <c r="E97" i="72"/>
  <c r="D97" i="72"/>
  <c r="B96" i="72"/>
  <c r="B95" i="72"/>
  <c r="B94" i="72"/>
  <c r="B93" i="72"/>
  <c r="B92" i="72"/>
  <c r="I91" i="72"/>
  <c r="J91" i="72" s="1"/>
  <c r="K91" i="72" s="1"/>
  <c r="L91" i="72" s="1"/>
  <c r="M91" i="72" s="1"/>
  <c r="N91" i="72" s="1"/>
  <c r="O91" i="72" s="1"/>
  <c r="F90" i="72"/>
  <c r="G90" i="72" s="1"/>
  <c r="G83" i="72" s="1"/>
  <c r="B89" i="72"/>
  <c r="B88" i="72"/>
  <c r="B87" i="72"/>
  <c r="B86" i="72"/>
  <c r="B85" i="72"/>
  <c r="B84" i="72"/>
  <c r="E83" i="72"/>
  <c r="D83" i="72"/>
  <c r="B82" i="72"/>
  <c r="B81" i="72"/>
  <c r="O80" i="72"/>
  <c r="N80" i="72"/>
  <c r="M80" i="72"/>
  <c r="L80" i="72"/>
  <c r="K80" i="72"/>
  <c r="J80" i="72"/>
  <c r="I80" i="72"/>
  <c r="H80" i="72"/>
  <c r="G80" i="72"/>
  <c r="F80" i="72"/>
  <c r="E80" i="72"/>
  <c r="D80" i="72"/>
  <c r="B79" i="72"/>
  <c r="E78" i="72"/>
  <c r="F78" i="72" s="1"/>
  <c r="B77" i="72"/>
  <c r="B76" i="72"/>
  <c r="D75" i="72"/>
  <c r="I74" i="72"/>
  <c r="K74" i="72" s="1"/>
  <c r="H74" i="72"/>
  <c r="G74" i="72"/>
  <c r="F74" i="72"/>
  <c r="E74" i="72"/>
  <c r="D74" i="72"/>
  <c r="B72" i="72"/>
  <c r="B71" i="72"/>
  <c r="O70" i="72"/>
  <c r="N70" i="72"/>
  <c r="M70" i="72"/>
  <c r="L70" i="72"/>
  <c r="K70" i="72"/>
  <c r="J70" i="72"/>
  <c r="I70" i="72"/>
  <c r="H70" i="72"/>
  <c r="G70" i="72"/>
  <c r="F70" i="72"/>
  <c r="E70" i="72"/>
  <c r="D70" i="72"/>
  <c r="B69" i="72"/>
  <c r="B68" i="72"/>
  <c r="B67" i="72"/>
  <c r="B66" i="72"/>
  <c r="B65" i="72"/>
  <c r="B64" i="72"/>
  <c r="O63" i="72"/>
  <c r="N63" i="72"/>
  <c r="M63" i="72"/>
  <c r="L63" i="72"/>
  <c r="K63" i="72"/>
  <c r="J63" i="72"/>
  <c r="I63" i="72"/>
  <c r="H63" i="72"/>
  <c r="G63" i="72"/>
  <c r="F63" i="72"/>
  <c r="E63" i="72"/>
  <c r="D63" i="72"/>
  <c r="B62" i="72"/>
  <c r="E61" i="72"/>
  <c r="B61" i="72"/>
  <c r="D60" i="72"/>
  <c r="E60" i="72" s="1"/>
  <c r="B59" i="72"/>
  <c r="M58" i="72"/>
  <c r="N58" i="72" s="1"/>
  <c r="D57" i="72"/>
  <c r="E57" i="72" s="1"/>
  <c r="F57" i="72" s="1"/>
  <c r="G57" i="72" s="1"/>
  <c r="H57" i="72" s="1"/>
  <c r="I57" i="72" s="1"/>
  <c r="J57" i="72" s="1"/>
  <c r="K57" i="72" s="1"/>
  <c r="L57" i="72" s="1"/>
  <c r="M57" i="72" s="1"/>
  <c r="N57" i="72" s="1"/>
  <c r="O57" i="72" s="1"/>
  <c r="D56" i="72"/>
  <c r="E56" i="72" s="1"/>
  <c r="D55" i="72"/>
  <c r="D53" i="72" s="1"/>
  <c r="D54" i="72"/>
  <c r="E54" i="72" s="1"/>
  <c r="B52" i="72"/>
  <c r="B51" i="72"/>
  <c r="B50" i="72"/>
  <c r="B49" i="72"/>
  <c r="B48" i="72"/>
  <c r="M47" i="72"/>
  <c r="N47" i="72" s="1"/>
  <c r="D46" i="72"/>
  <c r="D45" i="72"/>
  <c r="E45" i="72" s="1"/>
  <c r="F45" i="72" s="1"/>
  <c r="G45" i="72" s="1"/>
  <c r="H45" i="72" s="1"/>
  <c r="I45" i="72" s="1"/>
  <c r="J45" i="72" s="1"/>
  <c r="K45" i="72" s="1"/>
  <c r="L45" i="72" s="1"/>
  <c r="M45" i="72" s="1"/>
  <c r="N45" i="72" s="1"/>
  <c r="O45" i="72" s="1"/>
  <c r="B44" i="72"/>
  <c r="B43" i="72"/>
  <c r="L42" i="72"/>
  <c r="M42" i="72" s="1"/>
  <c r="N42" i="72" s="1"/>
  <c r="O42" i="72" s="1"/>
  <c r="K42" i="72"/>
  <c r="J42" i="72"/>
  <c r="I42" i="72"/>
  <c r="H42" i="72"/>
  <c r="G42" i="72"/>
  <c r="F42" i="72"/>
  <c r="E42" i="72"/>
  <c r="D42" i="72"/>
  <c r="D41" i="72"/>
  <c r="E41" i="72" s="1"/>
  <c r="F41" i="72" s="1"/>
  <c r="G41" i="72" s="1"/>
  <c r="H41" i="72" s="1"/>
  <c r="I41" i="72" s="1"/>
  <c r="J41" i="72" s="1"/>
  <c r="K41" i="72" s="1"/>
  <c r="L41" i="72" s="1"/>
  <c r="M41" i="72" s="1"/>
  <c r="N41" i="72" s="1"/>
  <c r="O41" i="72" s="1"/>
  <c r="D40" i="72"/>
  <c r="E40" i="72" s="1"/>
  <c r="F40" i="72" s="1"/>
  <c r="G40" i="72" s="1"/>
  <c r="H40" i="72" s="1"/>
  <c r="I40" i="72" s="1"/>
  <c r="J40" i="72" s="1"/>
  <c r="K40" i="72" s="1"/>
  <c r="L40" i="72" s="1"/>
  <c r="M40" i="72" s="1"/>
  <c r="N40" i="72" s="1"/>
  <c r="O40" i="72" s="1"/>
  <c r="B39" i="72"/>
  <c r="M38" i="72"/>
  <c r="N38" i="72" s="1"/>
  <c r="D37" i="72"/>
  <c r="D36" i="72"/>
  <c r="E36" i="72" s="1"/>
  <c r="F36" i="72" s="1"/>
  <c r="G36" i="72" s="1"/>
  <c r="H36" i="72" s="1"/>
  <c r="I36" i="72" s="1"/>
  <c r="J36" i="72" s="1"/>
  <c r="K36" i="72" s="1"/>
  <c r="L36" i="72" s="1"/>
  <c r="M36" i="72" s="1"/>
  <c r="N36" i="72" s="1"/>
  <c r="O36" i="72" s="1"/>
  <c r="B35" i="72"/>
  <c r="M34" i="72"/>
  <c r="N34" i="72" s="1"/>
  <c r="O34" i="72" s="1"/>
  <c r="L34" i="72"/>
  <c r="K34" i="72"/>
  <c r="J34" i="72"/>
  <c r="I34" i="72"/>
  <c r="H34" i="72"/>
  <c r="G34" i="72"/>
  <c r="F34" i="72"/>
  <c r="E34" i="72"/>
  <c r="D34" i="72"/>
  <c r="D33" i="72"/>
  <c r="D32" i="72"/>
  <c r="E32" i="72" s="1"/>
  <c r="F32" i="72" s="1"/>
  <c r="M31" i="72"/>
  <c r="N31" i="72" s="1"/>
  <c r="O31" i="72" s="1"/>
  <c r="D30" i="72"/>
  <c r="D29" i="72"/>
  <c r="E29" i="72" s="1"/>
  <c r="B27" i="72"/>
  <c r="B26" i="72"/>
  <c r="B25" i="72"/>
  <c r="B24" i="72"/>
  <c r="B23" i="72"/>
  <c r="B22" i="72"/>
  <c r="B21" i="72"/>
  <c r="B20" i="72"/>
  <c r="M19" i="72"/>
  <c r="N19" i="72" s="1"/>
  <c r="O19" i="72" s="1"/>
  <c r="D18" i="72"/>
  <c r="E18" i="72" s="1"/>
  <c r="F18" i="72" s="1"/>
  <c r="G18" i="72" s="1"/>
  <c r="H18" i="72" s="1"/>
  <c r="I18" i="72" s="1"/>
  <c r="J18" i="72" s="1"/>
  <c r="K18" i="72" s="1"/>
  <c r="L18" i="72" s="1"/>
  <c r="M18" i="72" s="1"/>
  <c r="N18" i="72" s="1"/>
  <c r="O18" i="72" s="1"/>
  <c r="D17" i="72"/>
  <c r="B16" i="72"/>
  <c r="B15" i="72"/>
  <c r="E14" i="72"/>
  <c r="F14" i="72" s="1"/>
  <c r="G14" i="72" s="1"/>
  <c r="H14" i="72" s="1"/>
  <c r="I14" i="72" s="1"/>
  <c r="J14" i="72" s="1"/>
  <c r="K14" i="72" s="1"/>
  <c r="L14" i="72" s="1"/>
  <c r="M14" i="72" s="1"/>
  <c r="N14" i="72" s="1"/>
  <c r="O14" i="72" s="1"/>
  <c r="D13" i="72"/>
  <c r="E13" i="72" s="1"/>
  <c r="F13" i="72" s="1"/>
  <c r="G13" i="72" s="1"/>
  <c r="H13" i="72" s="1"/>
  <c r="I13" i="72" s="1"/>
  <c r="J13" i="72" s="1"/>
  <c r="K13" i="72" s="1"/>
  <c r="L13" i="72" s="1"/>
  <c r="M13" i="72" s="1"/>
  <c r="D12" i="72"/>
  <c r="E11" i="72"/>
  <c r="D11" i="72"/>
  <c r="D10" i="72"/>
  <c r="D9" i="72"/>
  <c r="E9" i="72" s="1"/>
  <c r="F9" i="72" s="1"/>
  <c r="G9" i="72" s="1"/>
  <c r="H9" i="72" s="1"/>
  <c r="I9" i="72" s="1"/>
  <c r="J9" i="72" s="1"/>
  <c r="K9" i="72" s="1"/>
  <c r="L9" i="72" s="1"/>
  <c r="M9" i="72" s="1"/>
  <c r="N9" i="72" s="1"/>
  <c r="O9" i="72" s="1"/>
  <c r="F8" i="72"/>
  <c r="G8" i="72" s="1"/>
  <c r="H8" i="72" s="1"/>
  <c r="I8" i="72" s="1"/>
  <c r="J8" i="72" s="1"/>
  <c r="K8" i="72" s="1"/>
  <c r="L8" i="72" s="1"/>
  <c r="M8" i="72" s="1"/>
  <c r="E8" i="72"/>
  <c r="D7" i="72"/>
  <c r="E7" i="72" s="1"/>
  <c r="F7" i="72" s="1"/>
  <c r="G7" i="72" s="1"/>
  <c r="H7" i="72" s="1"/>
  <c r="I7" i="72" s="1"/>
  <c r="J7" i="72" s="1"/>
  <c r="K7" i="72" s="1"/>
  <c r="L7" i="72" s="1"/>
  <c r="M7" i="72" s="1"/>
  <c r="N7" i="72" s="1"/>
  <c r="O7" i="72" s="1"/>
  <c r="D6" i="72"/>
  <c r="E6" i="72" s="1"/>
  <c r="B4" i="72"/>
  <c r="B3" i="72"/>
  <c r="N137" i="71"/>
  <c r="M137" i="71"/>
  <c r="L137" i="71"/>
  <c r="K137" i="71"/>
  <c r="J137" i="71"/>
  <c r="I137" i="71"/>
  <c r="H137" i="71"/>
  <c r="G137" i="71"/>
  <c r="F137" i="71"/>
  <c r="E137" i="71"/>
  <c r="D137" i="71"/>
  <c r="B137" i="71"/>
  <c r="N96" i="71"/>
  <c r="M96" i="71"/>
  <c r="L96" i="71"/>
  <c r="K96" i="71"/>
  <c r="J96" i="71"/>
  <c r="I96" i="71"/>
  <c r="H96" i="71"/>
  <c r="G96" i="71"/>
  <c r="F96" i="71"/>
  <c r="E96" i="71"/>
  <c r="D96" i="71"/>
  <c r="B96" i="71"/>
  <c r="B24" i="71"/>
  <c r="N23" i="71"/>
  <c r="M23" i="71"/>
  <c r="L23" i="71"/>
  <c r="K23" i="71"/>
  <c r="J23" i="71"/>
  <c r="I23" i="71"/>
  <c r="H23" i="71"/>
  <c r="G23" i="71"/>
  <c r="F23" i="71"/>
  <c r="E23" i="71"/>
  <c r="D23" i="71"/>
  <c r="B23" i="71" s="1"/>
  <c r="C23" i="71"/>
  <c r="N20" i="71"/>
  <c r="M20" i="71"/>
  <c r="L20" i="71"/>
  <c r="K20" i="71"/>
  <c r="J20" i="71"/>
  <c r="I20" i="71"/>
  <c r="H20" i="71"/>
  <c r="G20" i="71"/>
  <c r="F20" i="71"/>
  <c r="E20" i="71"/>
  <c r="D20" i="71"/>
  <c r="F24" i="6" s="1"/>
  <c r="C20" i="71"/>
  <c r="B24" i="6" s="1"/>
  <c r="N19" i="71"/>
  <c r="M19" i="71"/>
  <c r="L19" i="71"/>
  <c r="K19" i="71"/>
  <c r="J19" i="71"/>
  <c r="I19" i="71"/>
  <c r="H19" i="71"/>
  <c r="G19" i="71"/>
  <c r="F19" i="71"/>
  <c r="E19" i="71"/>
  <c r="D19" i="71"/>
  <c r="F23" i="6" s="1"/>
  <c r="C19" i="71"/>
  <c r="B23" i="6" s="1"/>
  <c r="A19" i="71"/>
  <c r="A30" i="74" s="1"/>
  <c r="N18" i="71"/>
  <c r="M18" i="71"/>
  <c r="L18" i="71"/>
  <c r="K18" i="71"/>
  <c r="J18" i="71"/>
  <c r="I18" i="71"/>
  <c r="H18" i="71"/>
  <c r="G18" i="71"/>
  <c r="F18" i="71"/>
  <c r="E18" i="71"/>
  <c r="D18" i="71"/>
  <c r="F22" i="6" s="1"/>
  <c r="C18" i="71"/>
  <c r="B22" i="6" s="1"/>
  <c r="N17" i="71"/>
  <c r="M17" i="71"/>
  <c r="L17" i="71"/>
  <c r="K17" i="71"/>
  <c r="J17" i="71"/>
  <c r="I17" i="71"/>
  <c r="H17" i="71"/>
  <c r="G17" i="71"/>
  <c r="F17" i="71"/>
  <c r="E17" i="71"/>
  <c r="D17" i="71"/>
  <c r="F21" i="6" s="1"/>
  <c r="C17" i="71"/>
  <c r="B16" i="71"/>
  <c r="N15" i="71"/>
  <c r="M15" i="71"/>
  <c r="L15" i="71"/>
  <c r="K15" i="71"/>
  <c r="J15" i="71"/>
  <c r="I15" i="71"/>
  <c r="H15" i="71"/>
  <c r="G15" i="71"/>
  <c r="F15" i="71"/>
  <c r="E15" i="71"/>
  <c r="D15" i="71"/>
  <c r="F19" i="6" s="1"/>
  <c r="C15" i="71"/>
  <c r="B19" i="6" s="1"/>
  <c r="N14" i="71"/>
  <c r="M14" i="71"/>
  <c r="L14" i="71"/>
  <c r="K14" i="71"/>
  <c r="J14" i="71"/>
  <c r="I14" i="71"/>
  <c r="H14" i="71"/>
  <c r="G14" i="71"/>
  <c r="F14" i="71"/>
  <c r="E14" i="71"/>
  <c r="D14" i="71"/>
  <c r="F18" i="6" s="1"/>
  <c r="C14" i="71"/>
  <c r="B18" i="6" s="1"/>
  <c r="N13" i="71"/>
  <c r="M13" i="71"/>
  <c r="L13" i="71"/>
  <c r="K13" i="71"/>
  <c r="J13" i="71"/>
  <c r="I13" i="71"/>
  <c r="H13" i="71"/>
  <c r="G13" i="71"/>
  <c r="F13" i="71"/>
  <c r="E13" i="71"/>
  <c r="D13" i="71"/>
  <c r="F17" i="6" s="1"/>
  <c r="C13" i="71"/>
  <c r="K17" i="6" s="1"/>
  <c r="N12" i="71"/>
  <c r="M12" i="71"/>
  <c r="L12" i="71"/>
  <c r="K12" i="71"/>
  <c r="J12" i="71"/>
  <c r="I12" i="71"/>
  <c r="H12" i="71"/>
  <c r="G12" i="71"/>
  <c r="F12" i="71"/>
  <c r="E12" i="71"/>
  <c r="D12" i="71"/>
  <c r="F16" i="6" s="1"/>
  <c r="C12" i="71"/>
  <c r="B16" i="6" s="1"/>
  <c r="N11" i="71"/>
  <c r="M11" i="71"/>
  <c r="L11" i="71"/>
  <c r="K11" i="71"/>
  <c r="J11" i="71"/>
  <c r="I11" i="71"/>
  <c r="H11" i="71"/>
  <c r="G11" i="71"/>
  <c r="F11" i="71"/>
  <c r="E11" i="71"/>
  <c r="D11" i="71"/>
  <c r="F15" i="6" s="1"/>
  <c r="C11" i="71"/>
  <c r="K15" i="6" s="1"/>
  <c r="N10" i="71"/>
  <c r="M10" i="71"/>
  <c r="L10" i="71"/>
  <c r="K10" i="71"/>
  <c r="J10" i="71"/>
  <c r="I10" i="71"/>
  <c r="H10" i="71"/>
  <c r="G10" i="71"/>
  <c r="F10" i="71"/>
  <c r="E10" i="71"/>
  <c r="D10" i="71"/>
  <c r="F14" i="6" s="1"/>
  <c r="C10" i="71"/>
  <c r="K14" i="6" s="1"/>
  <c r="N8" i="71"/>
  <c r="M8" i="71"/>
  <c r="L8" i="71"/>
  <c r="K8" i="71"/>
  <c r="J8" i="71"/>
  <c r="I8" i="71"/>
  <c r="H8" i="71"/>
  <c r="G8" i="71"/>
  <c r="F8" i="71"/>
  <c r="E8" i="71"/>
  <c r="D8" i="71"/>
  <c r="C8" i="71"/>
  <c r="K11" i="6" s="1"/>
  <c r="N7" i="71"/>
  <c r="M7" i="71"/>
  <c r="L7" i="71"/>
  <c r="K7" i="71"/>
  <c r="J7" i="71"/>
  <c r="I7" i="71"/>
  <c r="H7" i="71"/>
  <c r="G7" i="71"/>
  <c r="F7" i="71"/>
  <c r="E7" i="71"/>
  <c r="D7" i="71"/>
  <c r="C7" i="71"/>
  <c r="K9" i="6" s="1"/>
  <c r="N6" i="71"/>
  <c r="N5" i="71" s="1"/>
  <c r="M6" i="71"/>
  <c r="M29" i="71" s="1"/>
  <c r="L6" i="71"/>
  <c r="K6" i="71"/>
  <c r="K5" i="71" s="1"/>
  <c r="J6" i="71"/>
  <c r="J5" i="71" s="1"/>
  <c r="I6" i="71"/>
  <c r="I29" i="71" s="1"/>
  <c r="H6" i="71"/>
  <c r="G6" i="71"/>
  <c r="G29" i="71" s="1"/>
  <c r="F6" i="71"/>
  <c r="F5" i="71" s="1"/>
  <c r="E6" i="71"/>
  <c r="E29" i="71" s="1"/>
  <c r="D6" i="71"/>
  <c r="C6" i="71"/>
  <c r="K7" i="6" s="1"/>
  <c r="B3" i="71"/>
  <c r="E190" i="72" l="1"/>
  <c r="F41" i="6"/>
  <c r="F11" i="6"/>
  <c r="F75" i="6" s="1"/>
  <c r="E10" i="2"/>
  <c r="F13" i="6"/>
  <c r="L29" i="71"/>
  <c r="F7" i="6"/>
  <c r="E8" i="2"/>
  <c r="F9" i="6"/>
  <c r="F57" i="6" s="1"/>
  <c r="E9" i="2"/>
  <c r="A3" i="2"/>
  <c r="A9" i="2"/>
  <c r="A2" i="2"/>
  <c r="A8" i="2"/>
  <c r="A4" i="2"/>
  <c r="A10" i="2"/>
  <c r="B7" i="6"/>
  <c r="B17" i="6"/>
  <c r="D29" i="71"/>
  <c r="C5" i="71"/>
  <c r="B9" i="6"/>
  <c r="B11" i="6"/>
  <c r="K24" i="6"/>
  <c r="B14" i="71"/>
  <c r="K23" i="6"/>
  <c r="G5" i="71"/>
  <c r="N29" i="71"/>
  <c r="H5" i="71"/>
  <c r="J9" i="71"/>
  <c r="J30" i="71" s="1"/>
  <c r="K9" i="71"/>
  <c r="K30" i="71" s="1"/>
  <c r="B8" i="71"/>
  <c r="K29" i="71"/>
  <c r="K31" i="71" s="1"/>
  <c r="K32" i="71" s="1"/>
  <c r="O58" i="72"/>
  <c r="B58" i="72" s="1"/>
  <c r="O98" i="72"/>
  <c r="O97" i="72" s="1"/>
  <c r="N97" i="72"/>
  <c r="B41" i="6"/>
  <c r="D190" i="72"/>
  <c r="B15" i="6"/>
  <c r="K22" i="6"/>
  <c r="D9" i="71"/>
  <c r="D30" i="71" s="1"/>
  <c r="J29" i="71"/>
  <c r="J31" i="71" s="1"/>
  <c r="J32" i="71" s="1"/>
  <c r="B14" i="6"/>
  <c r="N9" i="71"/>
  <c r="N30" i="71" s="1"/>
  <c r="E9" i="71"/>
  <c r="E30" i="71" s="1"/>
  <c r="E31" i="71" s="1"/>
  <c r="E32" i="71" s="1"/>
  <c r="B17" i="71"/>
  <c r="H90" i="72"/>
  <c r="I90" i="72" s="1"/>
  <c r="L118" i="72"/>
  <c r="L193" i="72" s="1"/>
  <c r="K193" i="72"/>
  <c r="K21" i="6"/>
  <c r="I5" i="71"/>
  <c r="G9" i="71"/>
  <c r="G30" i="71" s="1"/>
  <c r="G31" i="71" s="1"/>
  <c r="G32" i="71" s="1"/>
  <c r="B19" i="71"/>
  <c r="K19" i="6"/>
  <c r="B20" i="71"/>
  <c r="J21" i="71"/>
  <c r="J25" i="71" s="1"/>
  <c r="H9" i="71"/>
  <c r="H30" i="71" s="1"/>
  <c r="H29" i="71"/>
  <c r="K18" i="6"/>
  <c r="B10" i="71"/>
  <c r="B15" i="71"/>
  <c r="B11" i="71"/>
  <c r="L5" i="71"/>
  <c r="D28" i="72"/>
  <c r="F29" i="71"/>
  <c r="B21" i="6"/>
  <c r="K16" i="6"/>
  <c r="M5" i="71"/>
  <c r="B6" i="71"/>
  <c r="J7" i="6" s="1"/>
  <c r="E5" i="71"/>
  <c r="B13" i="71"/>
  <c r="L9" i="71"/>
  <c r="L30" i="71" s="1"/>
  <c r="L31" i="71" s="1"/>
  <c r="L32" i="71" s="1"/>
  <c r="B18" i="71"/>
  <c r="C9" i="71"/>
  <c r="C30" i="71" s="1"/>
  <c r="M9" i="71"/>
  <c r="M30" i="71" s="1"/>
  <c r="M31" i="71" s="1"/>
  <c r="M32" i="71" s="1"/>
  <c r="C29" i="71"/>
  <c r="N13" i="72"/>
  <c r="O13" i="72" s="1"/>
  <c r="L74" i="72"/>
  <c r="F11" i="72"/>
  <c r="G11" i="72" s="1"/>
  <c r="H11" i="72" s="1"/>
  <c r="I11" i="72" s="1"/>
  <c r="J11" i="72" s="1"/>
  <c r="K11" i="72" s="1"/>
  <c r="L11" i="72" s="1"/>
  <c r="M11" i="72" s="1"/>
  <c r="N11" i="72" s="1"/>
  <c r="O11" i="72" s="1"/>
  <c r="E55" i="72"/>
  <c r="F55" i="72" s="1"/>
  <c r="G55" i="72" s="1"/>
  <c r="H55" i="72" s="1"/>
  <c r="I55" i="72" s="1"/>
  <c r="J55" i="72" s="1"/>
  <c r="K55" i="72" s="1"/>
  <c r="L55" i="72" s="1"/>
  <c r="M55" i="72" s="1"/>
  <c r="N55" i="72" s="1"/>
  <c r="O55" i="72" s="1"/>
  <c r="F29" i="72"/>
  <c r="O38" i="72"/>
  <c r="B38" i="72"/>
  <c r="O47" i="72"/>
  <c r="B47" i="72"/>
  <c r="B80" i="72"/>
  <c r="F112" i="72"/>
  <c r="F191" i="72" s="1"/>
  <c r="F190" i="72" s="1"/>
  <c r="E111" i="72"/>
  <c r="B9" i="72"/>
  <c r="B18" i="72"/>
  <c r="B31" i="72"/>
  <c r="B34" i="72"/>
  <c r="G32" i="72"/>
  <c r="H32" i="72" s="1"/>
  <c r="I32" i="72" s="1"/>
  <c r="J32" i="72" s="1"/>
  <c r="K32" i="72" s="1"/>
  <c r="L32" i="72" s="1"/>
  <c r="M32" i="72" s="1"/>
  <c r="N32" i="72" s="1"/>
  <c r="O32" i="72" s="1"/>
  <c r="E10" i="72"/>
  <c r="F10" i="72" s="1"/>
  <c r="G10" i="72" s="1"/>
  <c r="H10" i="72" s="1"/>
  <c r="I10" i="72" s="1"/>
  <c r="J10" i="72" s="1"/>
  <c r="K10" i="72" s="1"/>
  <c r="L10" i="72" s="1"/>
  <c r="M10" i="72" s="1"/>
  <c r="N10" i="72" s="1"/>
  <c r="O10" i="72" s="1"/>
  <c r="F6" i="72"/>
  <c r="B42" i="72"/>
  <c r="B63" i="72"/>
  <c r="N115" i="72"/>
  <c r="B115" i="72" s="1"/>
  <c r="M120" i="72"/>
  <c r="N120" i="72" s="1"/>
  <c r="O120" i="72" s="1"/>
  <c r="B120" i="72"/>
  <c r="E12" i="72"/>
  <c r="F12" i="72" s="1"/>
  <c r="G12" i="72" s="1"/>
  <c r="H12" i="72" s="1"/>
  <c r="I12" i="72" s="1"/>
  <c r="J12" i="72" s="1"/>
  <c r="K12" i="72" s="1"/>
  <c r="L12" i="72" s="1"/>
  <c r="M12" i="72" s="1"/>
  <c r="N12" i="72" s="1"/>
  <c r="O12" i="72" s="1"/>
  <c r="E33" i="72"/>
  <c r="F33" i="72" s="1"/>
  <c r="G33" i="72" s="1"/>
  <c r="H33" i="72" s="1"/>
  <c r="I33" i="72" s="1"/>
  <c r="J33" i="72" s="1"/>
  <c r="K33" i="72" s="1"/>
  <c r="L33" i="72" s="1"/>
  <c r="M33" i="72" s="1"/>
  <c r="N33" i="72" s="1"/>
  <c r="O33" i="72" s="1"/>
  <c r="E46" i="72"/>
  <c r="F46" i="72" s="1"/>
  <c r="G46" i="72" s="1"/>
  <c r="H46" i="72" s="1"/>
  <c r="I46" i="72" s="1"/>
  <c r="J46" i="72" s="1"/>
  <c r="K46" i="72" s="1"/>
  <c r="L46" i="72" s="1"/>
  <c r="M46" i="72" s="1"/>
  <c r="N46" i="72" s="1"/>
  <c r="O46" i="72" s="1"/>
  <c r="F56" i="72"/>
  <c r="G56" i="72" s="1"/>
  <c r="H56" i="72" s="1"/>
  <c r="I56" i="72" s="1"/>
  <c r="J56" i="72" s="1"/>
  <c r="K56" i="72" s="1"/>
  <c r="L56" i="72" s="1"/>
  <c r="M56" i="72" s="1"/>
  <c r="N56" i="72" s="1"/>
  <c r="O56" i="72" s="1"/>
  <c r="D5" i="72"/>
  <c r="B8" i="72"/>
  <c r="B36" i="72"/>
  <c r="G78" i="72"/>
  <c r="H78" i="72" s="1"/>
  <c r="I78" i="72" s="1"/>
  <c r="J78" i="72" s="1"/>
  <c r="K78" i="72" s="1"/>
  <c r="L78" i="72" s="1"/>
  <c r="M78" i="72" s="1"/>
  <c r="N78" i="72" s="1"/>
  <c r="O78" i="72" s="1"/>
  <c r="B91" i="72"/>
  <c r="B121" i="72"/>
  <c r="B126" i="72"/>
  <c r="E124" i="72"/>
  <c r="B124" i="72" s="1"/>
  <c r="B45" i="72"/>
  <c r="E37" i="72"/>
  <c r="F37" i="72" s="1"/>
  <c r="G37" i="72" s="1"/>
  <c r="H37" i="72" s="1"/>
  <c r="I37" i="72" s="1"/>
  <c r="J37" i="72" s="1"/>
  <c r="K37" i="72" s="1"/>
  <c r="L37" i="72" s="1"/>
  <c r="M37" i="72" s="1"/>
  <c r="N37" i="72" s="1"/>
  <c r="O37" i="72" s="1"/>
  <c r="J74" i="72"/>
  <c r="B117" i="72"/>
  <c r="D111" i="72"/>
  <c r="E17" i="72"/>
  <c r="F17" i="72" s="1"/>
  <c r="G17" i="72" s="1"/>
  <c r="H17" i="72" s="1"/>
  <c r="I17" i="72" s="1"/>
  <c r="J17" i="72" s="1"/>
  <c r="K17" i="72" s="1"/>
  <c r="L17" i="72" s="1"/>
  <c r="M17" i="72" s="1"/>
  <c r="N17" i="72" s="1"/>
  <c r="O17" i="72" s="1"/>
  <c r="B17" i="72"/>
  <c r="E30" i="72"/>
  <c r="F30" i="72" s="1"/>
  <c r="G30" i="72" s="1"/>
  <c r="H30" i="72" s="1"/>
  <c r="I30" i="72" s="1"/>
  <c r="J30" i="72" s="1"/>
  <c r="K30" i="72" s="1"/>
  <c r="L30" i="72" s="1"/>
  <c r="M30" i="72" s="1"/>
  <c r="N30" i="72" s="1"/>
  <c r="O30" i="72" s="1"/>
  <c r="B41" i="72"/>
  <c r="B70" i="72"/>
  <c r="E75" i="72"/>
  <c r="F75" i="72" s="1"/>
  <c r="D73" i="72"/>
  <c r="B40" i="72"/>
  <c r="B57" i="72"/>
  <c r="G104" i="72"/>
  <c r="B127" i="72"/>
  <c r="B7" i="72"/>
  <c r="B14" i="72"/>
  <c r="B19" i="72"/>
  <c r="B60" i="72"/>
  <c r="F83" i="72"/>
  <c r="B106" i="72"/>
  <c r="F54" i="72"/>
  <c r="J22" i="71"/>
  <c r="N21" i="71"/>
  <c r="F9" i="71"/>
  <c r="F30" i="71" s="1"/>
  <c r="D5" i="71"/>
  <c r="B7" i="71"/>
  <c r="J9" i="6" s="1"/>
  <c r="J57" i="6" s="1"/>
  <c r="I9" i="71"/>
  <c r="I30" i="71" s="1"/>
  <c r="I31" i="71" s="1"/>
  <c r="I32" i="71" s="1"/>
  <c r="B12" i="71"/>
  <c r="J22" i="6" l="1"/>
  <c r="B29" i="74"/>
  <c r="J19" i="6"/>
  <c r="B27" i="74"/>
  <c r="J17" i="6"/>
  <c r="B25" i="74"/>
  <c r="J21" i="6"/>
  <c r="B28" i="74"/>
  <c r="J18" i="6"/>
  <c r="B26" i="74"/>
  <c r="M118" i="72"/>
  <c r="M193" i="72" s="1"/>
  <c r="E11" i="2"/>
  <c r="F9" i="2" s="1"/>
  <c r="J6" i="6"/>
  <c r="L4" i="2"/>
  <c r="J11" i="6"/>
  <c r="F6" i="6"/>
  <c r="F25" i="6" s="1"/>
  <c r="F39" i="6"/>
  <c r="N118" i="72"/>
  <c r="O118" i="72" s="1"/>
  <c r="O193" i="72" s="1"/>
  <c r="B31" i="74"/>
  <c r="J24" i="6"/>
  <c r="J14" i="6"/>
  <c r="J13" i="6" s="1"/>
  <c r="B22" i="74"/>
  <c r="H83" i="72"/>
  <c r="B30" i="74"/>
  <c r="J23" i="6"/>
  <c r="F10" i="2"/>
  <c r="H41" i="6"/>
  <c r="I41" i="6"/>
  <c r="H75" i="6"/>
  <c r="I75" i="6"/>
  <c r="I21" i="71"/>
  <c r="I22" i="71" s="1"/>
  <c r="J16" i="6"/>
  <c r="B24" i="74"/>
  <c r="B23" i="74"/>
  <c r="J15" i="6"/>
  <c r="F21" i="71"/>
  <c r="M21" i="71"/>
  <c r="M22" i="71" s="1"/>
  <c r="N31" i="71"/>
  <c r="N32" i="71" s="1"/>
  <c r="D31" i="71"/>
  <c r="D32" i="71" s="1"/>
  <c r="G21" i="71"/>
  <c r="G22" i="71" s="1"/>
  <c r="B98" i="72"/>
  <c r="B97" i="72" s="1"/>
  <c r="K21" i="71"/>
  <c r="D21" i="71"/>
  <c r="D25" i="71" s="1"/>
  <c r="E73" i="72"/>
  <c r="E185" i="72" s="1"/>
  <c r="E194" i="72" s="1"/>
  <c r="F31" i="71"/>
  <c r="F32" i="71" s="1"/>
  <c r="E21" i="71"/>
  <c r="B46" i="72"/>
  <c r="D185" i="72"/>
  <c r="D194" i="72" s="1"/>
  <c r="B78" i="72"/>
  <c r="L3" i="2"/>
  <c r="L21" i="71"/>
  <c r="L25" i="71" s="1"/>
  <c r="L2" i="2"/>
  <c r="B29" i="71"/>
  <c r="H31" i="71"/>
  <c r="H32" i="71" s="1"/>
  <c r="B11" i="72"/>
  <c r="B56" i="72"/>
  <c r="H21" i="71"/>
  <c r="B9" i="71"/>
  <c r="B30" i="71" s="1"/>
  <c r="C21" i="71"/>
  <c r="C22" i="71" s="1"/>
  <c r="C31" i="71"/>
  <c r="C32" i="71" s="1"/>
  <c r="G75" i="72"/>
  <c r="F73" i="72"/>
  <c r="B12" i="72"/>
  <c r="J90" i="72"/>
  <c r="I83" i="72"/>
  <c r="B10" i="72"/>
  <c r="B55" i="72"/>
  <c r="B33" i="72"/>
  <c r="D179" i="72"/>
  <c r="F111" i="72"/>
  <c r="G112" i="72"/>
  <c r="G191" i="72" s="1"/>
  <c r="G190" i="72" s="1"/>
  <c r="E28" i="72"/>
  <c r="B32" i="72"/>
  <c r="B37" i="72"/>
  <c r="F53" i="72"/>
  <c r="G54" i="72"/>
  <c r="M74" i="72"/>
  <c r="G103" i="72"/>
  <c r="H104" i="72"/>
  <c r="F5" i="72"/>
  <c r="G6" i="72"/>
  <c r="F28" i="72"/>
  <c r="G29" i="72"/>
  <c r="B30" i="72"/>
  <c r="E53" i="72"/>
  <c r="E5" i="72"/>
  <c r="B13" i="72"/>
  <c r="F22" i="71"/>
  <c r="F25" i="71"/>
  <c r="N25" i="71"/>
  <c r="N22" i="71"/>
  <c r="J27" i="71"/>
  <c r="J26" i="71"/>
  <c r="J168" i="71" s="1"/>
  <c r="B5" i="71"/>
  <c r="B21" i="74" s="1"/>
  <c r="G25" i="71"/>
  <c r="C23" i="74" l="1"/>
  <c r="C28" i="74"/>
  <c r="B41" i="74" s="1"/>
  <c r="I25" i="71"/>
  <c r="I27" i="71" s="1"/>
  <c r="C22" i="74"/>
  <c r="B36" i="74" s="1"/>
  <c r="C26" i="74"/>
  <c r="B39" i="74" s="1"/>
  <c r="F185" i="72"/>
  <c r="F194" i="72" s="1"/>
  <c r="F30" i="6"/>
  <c r="F26" i="6"/>
  <c r="N193" i="72"/>
  <c r="B193" i="72" s="1"/>
  <c r="C27" i="74"/>
  <c r="C21" i="74"/>
  <c r="B35" i="74" s="1"/>
  <c r="B32" i="74"/>
  <c r="C31" i="74" s="1"/>
  <c r="B40" i="74" s="1"/>
  <c r="J25" i="6"/>
  <c r="C29" i="74"/>
  <c r="C30" i="74"/>
  <c r="C24" i="74"/>
  <c r="F8" i="2"/>
  <c r="D22" i="71"/>
  <c r="L22" i="71"/>
  <c r="M25" i="71"/>
  <c r="M26" i="71" s="1"/>
  <c r="M168" i="71" s="1"/>
  <c r="B31" i="71"/>
  <c r="B32" i="71" s="1"/>
  <c r="C25" i="71"/>
  <c r="C26" i="71" s="1"/>
  <c r="K22" i="71"/>
  <c r="K25" i="71"/>
  <c r="B21" i="71"/>
  <c r="B22" i="71" s="1"/>
  <c r="E25" i="71"/>
  <c r="E22" i="71"/>
  <c r="H22" i="71"/>
  <c r="H25" i="71"/>
  <c r="B118" i="72"/>
  <c r="I104" i="72"/>
  <c r="H103" i="72"/>
  <c r="G28" i="72"/>
  <c r="H29" i="72"/>
  <c r="G111" i="72"/>
  <c r="H112" i="72"/>
  <c r="H191" i="72" s="1"/>
  <c r="H190" i="72" s="1"/>
  <c r="J83" i="72"/>
  <c r="K90" i="72"/>
  <c r="N74" i="72"/>
  <c r="G5" i="72"/>
  <c r="H6" i="72"/>
  <c r="H54" i="72"/>
  <c r="G53" i="72"/>
  <c r="E179" i="72"/>
  <c r="F179" i="72"/>
  <c r="H75" i="72"/>
  <c r="G73" i="72"/>
  <c r="G185" i="72" s="1"/>
  <c r="G194" i="72" s="1"/>
  <c r="D26" i="71"/>
  <c r="D168" i="71" s="1"/>
  <c r="D27" i="71"/>
  <c r="I26" i="71"/>
  <c r="I168" i="71" s="1"/>
  <c r="N26" i="71"/>
  <c r="N168" i="71" s="1"/>
  <c r="N27" i="71"/>
  <c r="F27" i="71"/>
  <c r="F26" i="71"/>
  <c r="F168" i="71" s="1"/>
  <c r="G26" i="71"/>
  <c r="G168" i="71" s="1"/>
  <c r="G27" i="71"/>
  <c r="L26" i="71"/>
  <c r="L168" i="71" s="1"/>
  <c r="L27" i="71"/>
  <c r="M27" i="71" l="1"/>
  <c r="B38" i="74"/>
  <c r="C25" i="74"/>
  <c r="B37" i="74" s="1"/>
  <c r="F31" i="6"/>
  <c r="F32" i="6"/>
  <c r="J26" i="6"/>
  <c r="J30" i="6"/>
  <c r="B25" i="71"/>
  <c r="B27" i="71" s="1"/>
  <c r="E27" i="71"/>
  <c r="E26" i="71"/>
  <c r="E168" i="71" s="1"/>
  <c r="K27" i="71"/>
  <c r="K26" i="71"/>
  <c r="K168" i="71" s="1"/>
  <c r="C27" i="71"/>
  <c r="H27" i="71"/>
  <c r="H26" i="71"/>
  <c r="H168" i="71" s="1"/>
  <c r="H111" i="72"/>
  <c r="I112" i="72"/>
  <c r="I191" i="72" s="1"/>
  <c r="G179" i="72"/>
  <c r="I6" i="72"/>
  <c r="H5" i="72"/>
  <c r="O74" i="72"/>
  <c r="B74" i="72"/>
  <c r="H28" i="72"/>
  <c r="I29" i="72"/>
  <c r="L90" i="72"/>
  <c r="K83" i="72"/>
  <c r="H53" i="72"/>
  <c r="I54" i="72"/>
  <c r="I75" i="72"/>
  <c r="H73" i="72"/>
  <c r="H185" i="72" s="1"/>
  <c r="H194" i="72" s="1"/>
  <c r="I103" i="72"/>
  <c r="J104" i="72"/>
  <c r="B26" i="71" l="1"/>
  <c r="B168" i="71" s="1"/>
  <c r="J32" i="6"/>
  <c r="J31" i="6"/>
  <c r="I190" i="72"/>
  <c r="I5" i="72"/>
  <c r="J6" i="72"/>
  <c r="I53" i="72"/>
  <c r="J54" i="72"/>
  <c r="I28" i="72"/>
  <c r="J29" i="72"/>
  <c r="K104" i="72"/>
  <c r="J103" i="72"/>
  <c r="H179" i="72"/>
  <c r="M90" i="72"/>
  <c r="L83" i="72"/>
  <c r="J75" i="72"/>
  <c r="I73" i="72"/>
  <c r="I111" i="72"/>
  <c r="J112" i="72"/>
  <c r="J191" i="72" s="1"/>
  <c r="J190" i="72" s="1"/>
  <c r="I185" i="72" l="1"/>
  <c r="N90" i="72"/>
  <c r="M83" i="72"/>
  <c r="K103" i="72"/>
  <c r="L104" i="72"/>
  <c r="K112" i="72"/>
  <c r="K191" i="72" s="1"/>
  <c r="K190" i="72" s="1"/>
  <c r="J111" i="72"/>
  <c r="K6" i="72"/>
  <c r="J5" i="72"/>
  <c r="K54" i="72"/>
  <c r="J53" i="72"/>
  <c r="K75" i="72"/>
  <c r="J73" i="72"/>
  <c r="K29" i="72"/>
  <c r="J28" i="72"/>
  <c r="I179" i="72"/>
  <c r="J185" i="72" l="1"/>
  <c r="I195" i="72"/>
  <c r="I194" i="72"/>
  <c r="J179" i="72"/>
  <c r="K111" i="72"/>
  <c r="L112" i="72"/>
  <c r="L191" i="72" s="1"/>
  <c r="L190" i="72" s="1"/>
  <c r="K28" i="72"/>
  <c r="L29" i="72"/>
  <c r="L6" i="72"/>
  <c r="K5" i="72"/>
  <c r="O90" i="72"/>
  <c r="N83" i="72"/>
  <c r="L75" i="72"/>
  <c r="K73" i="72"/>
  <c r="M104" i="72"/>
  <c r="L103" i="72"/>
  <c r="K53" i="72"/>
  <c r="L54" i="72"/>
  <c r="K185" i="72" l="1"/>
  <c r="K194" i="72"/>
  <c r="K195" i="72"/>
  <c r="J195" i="72"/>
  <c r="J194" i="72"/>
  <c r="M103" i="72"/>
  <c r="N104" i="72"/>
  <c r="L28" i="72"/>
  <c r="M29" i="72"/>
  <c r="M75" i="72"/>
  <c r="L73" i="72"/>
  <c r="L185" i="72" s="1"/>
  <c r="M54" i="72"/>
  <c r="L53" i="72"/>
  <c r="O83" i="72"/>
  <c r="B83" i="72" s="1"/>
  <c r="B90" i="72"/>
  <c r="M6" i="72"/>
  <c r="L5" i="72"/>
  <c r="L111" i="72"/>
  <c r="M112" i="72"/>
  <c r="M191" i="72" s="1"/>
  <c r="M190" i="72" s="1"/>
  <c r="K179" i="72"/>
  <c r="L194" i="72" l="1"/>
  <c r="L195" i="72"/>
  <c r="L179" i="72"/>
  <c r="M5" i="72"/>
  <c r="N6" i="72"/>
  <c r="N112" i="72"/>
  <c r="N191" i="72" s="1"/>
  <c r="M111" i="72"/>
  <c r="M53" i="72"/>
  <c r="N54" i="72"/>
  <c r="N75" i="72"/>
  <c r="M73" i="72"/>
  <c r="N29" i="72"/>
  <c r="M28" i="72"/>
  <c r="N103" i="72"/>
  <c r="O104" i="72"/>
  <c r="N190" i="72" l="1"/>
  <c r="O190" i="72" s="1"/>
  <c r="B191" i="72"/>
  <c r="M185" i="72"/>
  <c r="O75" i="72"/>
  <c r="N73" i="72"/>
  <c r="O103" i="72"/>
  <c r="B104" i="72"/>
  <c r="B103" i="72" s="1"/>
  <c r="O54" i="72"/>
  <c r="N53" i="72"/>
  <c r="N111" i="72"/>
  <c r="O112" i="72"/>
  <c r="O191" i="72" s="1"/>
  <c r="N28" i="72"/>
  <c r="O29" i="72"/>
  <c r="N5" i="72"/>
  <c r="O6" i="72"/>
  <c r="O5" i="72" s="1"/>
  <c r="B6" i="72"/>
  <c r="M179" i="72"/>
  <c r="N185" i="72" l="1"/>
  <c r="M194" i="72"/>
  <c r="M195" i="72"/>
  <c r="O73" i="72"/>
  <c r="B75" i="72"/>
  <c r="O111" i="72"/>
  <c r="B112" i="72"/>
  <c r="B111" i="72" s="1"/>
  <c r="B5" i="72"/>
  <c r="O28" i="72"/>
  <c r="B28" i="72" s="1"/>
  <c r="B29" i="72"/>
  <c r="O53" i="72"/>
  <c r="B53" i="72" s="1"/>
  <c r="B54" i="72"/>
  <c r="N179" i="72"/>
  <c r="B73" i="72" l="1"/>
  <c r="O185" i="72"/>
  <c r="O194" i="72" s="1"/>
  <c r="N194" i="72"/>
  <c r="N195" i="72"/>
  <c r="O195" i="72" s="1"/>
  <c r="B179" i="72"/>
  <c r="O179" i="72"/>
  <c r="C72" i="6" l="1"/>
  <c r="C54" i="6"/>
  <c r="C36" i="6"/>
  <c r="C46" i="6" s="1"/>
  <c r="P137" i="50"/>
  <c r="P136" i="50"/>
  <c r="G149" i="50"/>
  <c r="G148" i="50"/>
  <c r="G147" i="50"/>
  <c r="J147" i="50" s="1"/>
  <c r="M143" i="50" s="1"/>
  <c r="O137" i="50" s="1"/>
  <c r="G144" i="50"/>
  <c r="G143" i="50"/>
  <c r="I145" i="50" s="1"/>
  <c r="G142" i="50"/>
  <c r="J142" i="50" s="1"/>
  <c r="G139" i="50"/>
  <c r="G138" i="50"/>
  <c r="G137" i="50"/>
  <c r="J137" i="50" s="1"/>
  <c r="G134" i="50"/>
  <c r="G133" i="50"/>
  <c r="G132" i="50"/>
  <c r="J132" i="50" s="1"/>
  <c r="O51" i="1"/>
  <c r="B51" i="1"/>
  <c r="C37" i="1"/>
  <c r="C6" i="1"/>
  <c r="C180" i="1"/>
  <c r="C136" i="1"/>
  <c r="C101" i="1"/>
  <c r="B18" i="1"/>
  <c r="C168" i="1"/>
  <c r="B169" i="1"/>
  <c r="C118" i="1"/>
  <c r="C25" i="1"/>
  <c r="C52" i="1"/>
  <c r="C74" i="1"/>
  <c r="C183" i="1"/>
  <c r="B103" i="1"/>
  <c r="C88" i="1"/>
  <c r="B173" i="1"/>
  <c r="B172" i="1"/>
  <c r="B171" i="1"/>
  <c r="B170" i="1"/>
  <c r="B167" i="1"/>
  <c r="B115" i="1"/>
  <c r="C64" i="1"/>
  <c r="C61" i="1"/>
  <c r="B61" i="1" s="1"/>
  <c r="C68" i="1"/>
  <c r="B68" i="1" s="1"/>
  <c r="B62" i="1"/>
  <c r="B67" i="1"/>
  <c r="B69" i="1"/>
  <c r="B59" i="1"/>
  <c r="B60" i="1"/>
  <c r="C70" i="1"/>
  <c r="C49" i="1"/>
  <c r="C20" i="1"/>
  <c r="C45" i="1"/>
  <c r="C16" i="1"/>
  <c r="C41" i="1"/>
  <c r="C12" i="1"/>
  <c r="C7" i="1"/>
  <c r="C189" i="1"/>
  <c r="C38" i="1"/>
  <c r="C32" i="1"/>
  <c r="C30" i="1" s="1"/>
  <c r="B13" i="47" l="1"/>
  <c r="L54" i="6"/>
  <c r="Q54" i="6" s="1"/>
  <c r="B4" i="47"/>
  <c r="L36" i="6"/>
  <c r="Q36" i="6" s="1"/>
  <c r="B22" i="47"/>
  <c r="L72" i="6"/>
  <c r="M142" i="50"/>
  <c r="I140" i="50"/>
  <c r="M153" i="50" s="1"/>
  <c r="O154" i="50" s="1"/>
  <c r="I135" i="50"/>
  <c r="G140" i="50"/>
  <c r="G141" i="50" s="1"/>
  <c r="G135" i="50"/>
  <c r="G136" i="50" s="1"/>
  <c r="G145" i="50"/>
  <c r="G146" i="50" s="1"/>
  <c r="B3" i="2"/>
  <c r="C5" i="1"/>
  <c r="C58" i="1"/>
  <c r="B4" i="2" s="1"/>
  <c r="B2" i="2" l="1"/>
  <c r="O136" i="50"/>
  <c r="M136" i="50"/>
  <c r="O153" i="50"/>
  <c r="C79" i="1"/>
  <c r="B79" i="1" s="1"/>
  <c r="B165" i="1"/>
  <c r="B168" i="1"/>
  <c r="C124" i="1"/>
  <c r="B124" i="1" s="1"/>
  <c r="C125" i="1"/>
  <c r="C201" i="1" s="1"/>
  <c r="K59" i="6" s="1"/>
  <c r="C80" i="1"/>
  <c r="A20" i="6"/>
  <c r="C20" i="6"/>
  <c r="C12" i="6"/>
  <c r="L12" i="6" s="1"/>
  <c r="C10" i="6"/>
  <c r="L10" i="6" s="1"/>
  <c r="C9" i="6"/>
  <c r="L9" i="6" s="1"/>
  <c r="C7" i="6"/>
  <c r="L7" i="6" s="1"/>
  <c r="C8" i="6"/>
  <c r="L8" i="6" s="1"/>
  <c r="C4" i="6"/>
  <c r="C28" i="6" s="1"/>
  <c r="L3" i="6"/>
  <c r="D200" i="1"/>
  <c r="E200" i="1"/>
  <c r="F200" i="1"/>
  <c r="G200" i="1"/>
  <c r="H200" i="1"/>
  <c r="I200" i="1"/>
  <c r="J200" i="1"/>
  <c r="K200" i="1"/>
  <c r="L200" i="1"/>
  <c r="M200" i="1"/>
  <c r="N200" i="1"/>
  <c r="D201" i="1"/>
  <c r="E201" i="1"/>
  <c r="F201" i="1"/>
  <c r="G201" i="1"/>
  <c r="H201" i="1"/>
  <c r="I201" i="1"/>
  <c r="J201" i="1"/>
  <c r="K201" i="1"/>
  <c r="L201" i="1"/>
  <c r="M201" i="1"/>
  <c r="N201" i="1"/>
  <c r="D202" i="1"/>
  <c r="F77" i="6" s="1"/>
  <c r="E202" i="1"/>
  <c r="F202" i="1"/>
  <c r="G202" i="1"/>
  <c r="H202" i="1"/>
  <c r="I202" i="1"/>
  <c r="J202" i="1"/>
  <c r="K202" i="1"/>
  <c r="L202" i="1"/>
  <c r="M202" i="1"/>
  <c r="N202" i="1"/>
  <c r="C202" i="1"/>
  <c r="K77" i="6" s="1"/>
  <c r="O83" i="1"/>
  <c r="B83" i="1"/>
  <c r="B131" i="1"/>
  <c r="B130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G20" i="6" s="1"/>
  <c r="H20" i="6" s="1"/>
  <c r="A22" i="6"/>
  <c r="B188" i="1"/>
  <c r="B189" i="1"/>
  <c r="B190" i="1"/>
  <c r="B191" i="1"/>
  <c r="B187" i="1"/>
  <c r="B177" i="1"/>
  <c r="B178" i="1"/>
  <c r="B179" i="1"/>
  <c r="B180" i="1"/>
  <c r="B181" i="1"/>
  <c r="B182" i="1"/>
  <c r="B183" i="1"/>
  <c r="B184" i="1"/>
  <c r="B185" i="1"/>
  <c r="B176" i="1"/>
  <c r="B162" i="1"/>
  <c r="B160" i="1"/>
  <c r="D153" i="1"/>
  <c r="G23" i="6" s="1"/>
  <c r="H23" i="6" s="1"/>
  <c r="E153" i="1"/>
  <c r="F153" i="1"/>
  <c r="G153" i="1"/>
  <c r="H153" i="1"/>
  <c r="I153" i="1"/>
  <c r="J153" i="1"/>
  <c r="K153" i="1"/>
  <c r="L153" i="1"/>
  <c r="M153" i="1"/>
  <c r="N153" i="1"/>
  <c r="C153" i="1"/>
  <c r="C23" i="6" s="1"/>
  <c r="B154" i="1"/>
  <c r="B155" i="1"/>
  <c r="B156" i="1"/>
  <c r="B157" i="1"/>
  <c r="B158" i="1"/>
  <c r="B145" i="1"/>
  <c r="B146" i="1"/>
  <c r="B147" i="1"/>
  <c r="B144" i="1"/>
  <c r="B141" i="1"/>
  <c r="B142" i="1"/>
  <c r="B143" i="1"/>
  <c r="B136" i="1"/>
  <c r="B133" i="1"/>
  <c r="B134" i="1"/>
  <c r="B135" i="1"/>
  <c r="B140" i="1"/>
  <c r="B137" i="1"/>
  <c r="B138" i="1"/>
  <c r="B139" i="1"/>
  <c r="B152" i="1"/>
  <c r="B149" i="1"/>
  <c r="B150" i="1"/>
  <c r="B151" i="1"/>
  <c r="B148" i="1"/>
  <c r="B121" i="1"/>
  <c r="B122" i="1"/>
  <c r="B123" i="1"/>
  <c r="B126" i="1"/>
  <c r="B127" i="1"/>
  <c r="B128" i="1"/>
  <c r="B120" i="1"/>
  <c r="B112" i="1"/>
  <c r="B113" i="1"/>
  <c r="B114" i="1"/>
  <c r="B117" i="1"/>
  <c r="B118" i="1"/>
  <c r="B116" i="1"/>
  <c r="B108" i="1"/>
  <c r="B109" i="1"/>
  <c r="B110" i="1"/>
  <c r="B107" i="1"/>
  <c r="B106" i="1"/>
  <c r="B92" i="1"/>
  <c r="B93" i="1"/>
  <c r="B94" i="1"/>
  <c r="B95" i="1"/>
  <c r="B101" i="1"/>
  <c r="B96" i="1"/>
  <c r="B97" i="1"/>
  <c r="B98" i="1"/>
  <c r="B99" i="1"/>
  <c r="B100" i="1"/>
  <c r="B102" i="1"/>
  <c r="B104" i="1"/>
  <c r="B91" i="1"/>
  <c r="B89" i="1"/>
  <c r="B88" i="1"/>
  <c r="B82" i="1"/>
  <c r="B84" i="1"/>
  <c r="B85" i="1"/>
  <c r="B86" i="1"/>
  <c r="B81" i="1"/>
  <c r="B78" i="1"/>
  <c r="B71" i="1"/>
  <c r="B64" i="1"/>
  <c r="B65" i="1"/>
  <c r="B63" i="1"/>
  <c r="B66" i="1"/>
  <c r="B72" i="1"/>
  <c r="B73" i="1"/>
  <c r="B74" i="1"/>
  <c r="B75" i="1"/>
  <c r="B76" i="1"/>
  <c r="B70" i="1"/>
  <c r="B50" i="1"/>
  <c r="B48" i="1"/>
  <c r="B38" i="1"/>
  <c r="B39" i="1"/>
  <c r="B37" i="1"/>
  <c r="B36" i="1"/>
  <c r="B41" i="1"/>
  <c r="B42" i="1"/>
  <c r="B40" i="1"/>
  <c r="B43" i="1"/>
  <c r="B45" i="1"/>
  <c r="B46" i="1"/>
  <c r="B44" i="1"/>
  <c r="B47" i="1"/>
  <c r="B32" i="1"/>
  <c r="B33" i="1"/>
  <c r="B31" i="1"/>
  <c r="B52" i="1"/>
  <c r="B53" i="1"/>
  <c r="B54" i="1"/>
  <c r="B55" i="1"/>
  <c r="B56" i="1"/>
  <c r="B57" i="1"/>
  <c r="B49" i="1"/>
  <c r="B17" i="1"/>
  <c r="B15" i="1"/>
  <c r="B7" i="1"/>
  <c r="B8" i="1"/>
  <c r="B6" i="1"/>
  <c r="B12" i="1"/>
  <c r="B13" i="1"/>
  <c r="B10" i="1"/>
  <c r="B11" i="1"/>
  <c r="B14" i="1"/>
  <c r="B20" i="1"/>
  <c r="B21" i="1"/>
  <c r="B19" i="1"/>
  <c r="B22" i="1"/>
  <c r="B23" i="1"/>
  <c r="B24" i="1"/>
  <c r="B25" i="1"/>
  <c r="B26" i="1"/>
  <c r="B27" i="1"/>
  <c r="B16" i="1"/>
  <c r="B28" i="1"/>
  <c r="B29" i="1"/>
  <c r="I77" i="6" l="1"/>
  <c r="H77" i="6"/>
  <c r="B14" i="54"/>
  <c r="L23" i="6"/>
  <c r="D23" i="6"/>
  <c r="L20" i="6"/>
  <c r="D20" i="6"/>
  <c r="B125" i="1"/>
  <c r="B202" i="1"/>
  <c r="J77" i="6" s="1"/>
  <c r="B201" i="1"/>
  <c r="J59" i="6" s="1"/>
  <c r="C200" i="1"/>
  <c r="B129" i="1"/>
  <c r="Q20" i="6" s="1"/>
  <c r="B30" i="1"/>
  <c r="B153" i="1"/>
  <c r="Q23" i="6" s="1"/>
  <c r="A15" i="58"/>
  <c r="A15" i="57"/>
  <c r="A15" i="56"/>
  <c r="B200" i="1" l="1"/>
  <c r="J41" i="6" s="1"/>
  <c r="H26" i="54"/>
  <c r="K41" i="6" l="1"/>
  <c r="I120" i="50"/>
  <c r="G129" i="50"/>
  <c r="G128" i="50"/>
  <c r="I130" i="50" s="1"/>
  <c r="M61" i="50" s="1"/>
  <c r="O61" i="50" s="1"/>
  <c r="G127" i="50"/>
  <c r="J127" i="50" s="1"/>
  <c r="M26" i="50" s="1"/>
  <c r="N3" i="1"/>
  <c r="R29" i="6" l="1"/>
  <c r="O62" i="50"/>
  <c r="G130" i="50"/>
  <c r="G131" i="50" s="1"/>
  <c r="M30" i="47"/>
  <c r="O17" i="1"/>
  <c r="O15" i="1"/>
  <c r="O8" i="1"/>
  <c r="O13" i="1"/>
  <c r="O10" i="1"/>
  <c r="O11" i="1"/>
  <c r="O14" i="1"/>
  <c r="O21" i="1"/>
  <c r="O19" i="1"/>
  <c r="O22" i="1"/>
  <c r="O23" i="1"/>
  <c r="O24" i="1"/>
  <c r="O27" i="1"/>
  <c r="O28" i="1"/>
  <c r="O29" i="1"/>
  <c r="O50" i="1"/>
  <c r="O48" i="1"/>
  <c r="O38" i="1"/>
  <c r="O39" i="1"/>
  <c r="O42" i="1"/>
  <c r="O40" i="1"/>
  <c r="O43" i="1"/>
  <c r="O46" i="1"/>
  <c r="O44" i="1"/>
  <c r="O47" i="1"/>
  <c r="O33" i="1"/>
  <c r="O31" i="1"/>
  <c r="O53" i="1"/>
  <c r="O54" i="1"/>
  <c r="O55" i="1"/>
  <c r="O56" i="1"/>
  <c r="O57" i="1"/>
  <c r="O70" i="1"/>
  <c r="O71" i="1"/>
  <c r="O65" i="1"/>
  <c r="O63" i="1"/>
  <c r="O66" i="1"/>
  <c r="O72" i="1"/>
  <c r="O73" i="1"/>
  <c r="O76" i="1"/>
  <c r="O84" i="1"/>
  <c r="O85" i="1"/>
  <c r="O86" i="1"/>
  <c r="O89" i="1"/>
  <c r="O91" i="1"/>
  <c r="O92" i="1"/>
  <c r="O93" i="1"/>
  <c r="O94" i="1"/>
  <c r="O95" i="1"/>
  <c r="O96" i="1"/>
  <c r="O97" i="1"/>
  <c r="O104" i="1"/>
  <c r="O106" i="1"/>
  <c r="O109" i="1"/>
  <c r="O110" i="1"/>
  <c r="O107" i="1"/>
  <c r="O116" i="1"/>
  <c r="O113" i="1"/>
  <c r="O114" i="1"/>
  <c r="O117" i="1"/>
  <c r="O118" i="1"/>
  <c r="O120" i="1"/>
  <c r="O121" i="1"/>
  <c r="O123" i="1"/>
  <c r="O127" i="1"/>
  <c r="O144" i="1"/>
  <c r="O134" i="1"/>
  <c r="O140" i="1"/>
  <c r="O137" i="1"/>
  <c r="O138" i="1"/>
  <c r="O139" i="1"/>
  <c r="O152" i="1"/>
  <c r="O149" i="1"/>
  <c r="O150" i="1"/>
  <c r="O154" i="1"/>
  <c r="O156" i="1"/>
  <c r="O157" i="1"/>
  <c r="O158" i="1"/>
  <c r="O160" i="1"/>
  <c r="O162" i="1"/>
  <c r="O172" i="1"/>
  <c r="O173" i="1"/>
  <c r="O176" i="1"/>
  <c r="O179" i="1"/>
  <c r="O181" i="1"/>
  <c r="O182" i="1"/>
  <c r="O185" i="1"/>
  <c r="O187" i="1"/>
  <c r="O189" i="1"/>
  <c r="O190" i="1"/>
  <c r="O191" i="1"/>
  <c r="N30" i="1"/>
  <c r="N77" i="1"/>
  <c r="N105" i="1"/>
  <c r="N119" i="1"/>
  <c r="N132" i="1"/>
  <c r="N90" i="1"/>
  <c r="N111" i="1"/>
  <c r="N87" i="1"/>
  <c r="N58" i="1"/>
  <c r="N5" i="1"/>
  <c r="N186" i="1"/>
  <c r="N80" i="1"/>
  <c r="M20" i="47"/>
  <c r="M11" i="47"/>
  <c r="N163" i="1"/>
  <c r="N159" i="1"/>
  <c r="M77" i="1"/>
  <c r="A4" i="57"/>
  <c r="A4" i="58" s="1"/>
  <c r="B4" i="56"/>
  <c r="N199" i="1" l="1"/>
  <c r="N175" i="1"/>
  <c r="O188" i="1"/>
  <c r="M3" i="6"/>
  <c r="N194" i="1" l="1"/>
  <c r="N203" i="1" s="1"/>
  <c r="O81" i="1"/>
  <c r="N192" i="1"/>
  <c r="K6" i="6"/>
  <c r="O193" i="1"/>
  <c r="O195" i="1"/>
  <c r="O197" i="1"/>
  <c r="O198" i="1"/>
  <c r="O205" i="1"/>
  <c r="O206" i="1"/>
  <c r="O207" i="1"/>
  <c r="O208" i="1"/>
  <c r="O209" i="1"/>
  <c r="O210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N204" i="1" l="1"/>
  <c r="E25" i="54"/>
  <c r="M58" i="50"/>
  <c r="M111" i="1"/>
  <c r="O7" i="1"/>
  <c r="L20" i="47"/>
  <c r="L11" i="47"/>
  <c r="I25" i="54" l="1"/>
  <c r="M175" i="1"/>
  <c r="L30" i="47"/>
  <c r="Q8" i="6"/>
  <c r="Q10" i="6"/>
  <c r="Q58" i="6"/>
  <c r="B4" i="57" l="1"/>
  <c r="A12" i="6" l="1"/>
  <c r="A76" i="6" s="1"/>
  <c r="A10" i="6"/>
  <c r="A58" i="6" s="1"/>
  <c r="A8" i="6"/>
  <c r="A40" i="6" s="1"/>
  <c r="R10" i="6" l="1"/>
  <c r="R8" i="6"/>
  <c r="C40" i="6"/>
  <c r="C76" i="6"/>
  <c r="L76" i="6" s="1"/>
  <c r="C58" i="6"/>
  <c r="L58" i="6" s="1"/>
  <c r="G126" i="50"/>
  <c r="I126" i="50" s="1"/>
  <c r="G123" i="50"/>
  <c r="G124" i="50" s="1"/>
  <c r="J122" i="50"/>
  <c r="M25" i="50" s="1"/>
  <c r="J116" i="50"/>
  <c r="M11" i="50" s="1"/>
  <c r="G120" i="50"/>
  <c r="G121" i="50" s="1"/>
  <c r="O58" i="50" s="1"/>
  <c r="L40" i="6" l="1"/>
  <c r="Q40" i="6" s="1"/>
  <c r="C4" i="57"/>
  <c r="C4" i="56"/>
  <c r="M60" i="50"/>
  <c r="M41" i="50"/>
  <c r="M42" i="50"/>
  <c r="O59" i="50"/>
  <c r="O60" i="50" l="1"/>
  <c r="O177" i="1" l="1"/>
  <c r="L132" i="1" l="1"/>
  <c r="L199" i="1"/>
  <c r="K20" i="47"/>
  <c r="K11" i="47"/>
  <c r="C7" i="55"/>
  <c r="O32" i="1" l="1"/>
  <c r="K30" i="47"/>
  <c r="O16" i="1" l="1"/>
  <c r="O45" i="1"/>
  <c r="O49" i="1" l="1"/>
  <c r="A31" i="55"/>
  <c r="A20" i="55"/>
  <c r="A18" i="56" l="1"/>
  <c r="B4" i="55"/>
  <c r="B3" i="55"/>
  <c r="D42" i="54"/>
  <c r="E42" i="54" s="1"/>
  <c r="D41" i="54"/>
  <c r="E41" i="54" s="1"/>
  <c r="D40" i="54"/>
  <c r="E40" i="54" s="1"/>
  <c r="D39" i="54"/>
  <c r="E39" i="54" s="1"/>
  <c r="D38" i="54"/>
  <c r="E38" i="54" s="1"/>
  <c r="D37" i="54"/>
  <c r="E37" i="54" s="1"/>
  <c r="D36" i="54"/>
  <c r="E36" i="54" s="1"/>
  <c r="B9" i="54"/>
  <c r="H5" i="54"/>
  <c r="G3" i="54"/>
  <c r="B3" i="54"/>
  <c r="D26" i="54" l="1"/>
  <c r="B26" i="54"/>
  <c r="B28" i="54" s="1"/>
  <c r="C26" i="54"/>
  <c r="D43" i="54"/>
  <c r="O155" i="1" l="1"/>
  <c r="O147" i="1"/>
  <c r="C98" i="52"/>
  <c r="K175" i="1" l="1"/>
  <c r="B30" i="52"/>
  <c r="B31" i="52" s="1"/>
  <c r="B26" i="52"/>
  <c r="B27" i="52" s="1"/>
  <c r="B22" i="52"/>
  <c r="B23" i="52" s="1"/>
  <c r="B18" i="52"/>
  <c r="B19" i="52" s="1"/>
  <c r="B14" i="52"/>
  <c r="B15" i="52" s="1"/>
  <c r="B11" i="52"/>
  <c r="B6" i="52"/>
  <c r="B7" i="52" s="1"/>
  <c r="B3" i="52"/>
  <c r="D3" i="52" s="1"/>
  <c r="D7" i="52" l="1"/>
  <c r="D11" i="52" s="1"/>
  <c r="D15" i="52" s="1"/>
  <c r="D19" i="52" s="1"/>
  <c r="D23" i="52" s="1"/>
  <c r="D27" i="52" s="1"/>
  <c r="D31" i="52" s="1"/>
  <c r="G114" i="50" l="1"/>
  <c r="G115" i="50" s="1"/>
  <c r="I114" i="50" s="1"/>
  <c r="J111" i="50"/>
  <c r="G109" i="50"/>
  <c r="G110" i="50" s="1"/>
  <c r="I109" i="50" s="1"/>
  <c r="J106" i="50"/>
  <c r="G104" i="50"/>
  <c r="G105" i="50" s="1"/>
  <c r="G99" i="50"/>
  <c r="G100" i="50" s="1"/>
  <c r="G94" i="50"/>
  <c r="G95" i="50" s="1"/>
  <c r="I92" i="50" s="1"/>
  <c r="J89" i="50"/>
  <c r="G87" i="50"/>
  <c r="G88" i="50" s="1"/>
  <c r="J86" i="50"/>
  <c r="M24" i="50" s="1"/>
  <c r="G84" i="50"/>
  <c r="G85" i="50" s="1"/>
  <c r="I84" i="50" s="1"/>
  <c r="J82" i="50"/>
  <c r="G80" i="50"/>
  <c r="G81" i="50" s="1"/>
  <c r="I79" i="50" s="1"/>
  <c r="J75" i="50"/>
  <c r="G73" i="50"/>
  <c r="G74" i="50" s="1"/>
  <c r="I73" i="50" s="1"/>
  <c r="J72" i="50"/>
  <c r="M8" i="50" s="1"/>
  <c r="G70" i="50"/>
  <c r="G71" i="50" s="1"/>
  <c r="J69" i="50"/>
  <c r="M17" i="50" s="1"/>
  <c r="G67" i="50"/>
  <c r="G68" i="50" s="1"/>
  <c r="J66" i="50"/>
  <c r="M23" i="50" s="1"/>
  <c r="G64" i="50"/>
  <c r="G55" i="50"/>
  <c r="G56" i="50" s="1"/>
  <c r="J54" i="50"/>
  <c r="G52" i="50"/>
  <c r="J48" i="50"/>
  <c r="G46" i="50"/>
  <c r="G47" i="50" s="1"/>
  <c r="I45" i="50" s="1"/>
  <c r="J43" i="50"/>
  <c r="G41" i="50"/>
  <c r="G42" i="50" s="1"/>
  <c r="J40" i="50"/>
  <c r="M36" i="50" s="1"/>
  <c r="M45" i="50"/>
  <c r="G38" i="50"/>
  <c r="G39" i="50" s="1"/>
  <c r="J37" i="50" s="1"/>
  <c r="G35" i="50"/>
  <c r="G36" i="50" s="1"/>
  <c r="J34" i="50"/>
  <c r="M20" i="50" s="1"/>
  <c r="G32" i="50"/>
  <c r="G33" i="50" s="1"/>
  <c r="I31" i="50" s="1"/>
  <c r="J29" i="50"/>
  <c r="M32" i="50" s="1"/>
  <c r="G27" i="50"/>
  <c r="G28" i="50" s="1"/>
  <c r="I26" i="50" s="1"/>
  <c r="J24" i="50"/>
  <c r="G22" i="50"/>
  <c r="M15" i="50"/>
  <c r="G13" i="50"/>
  <c r="G14" i="50" s="1"/>
  <c r="J11" i="50"/>
  <c r="J10" i="50"/>
  <c r="G8" i="50"/>
  <c r="J3" i="50"/>
  <c r="J2" i="50"/>
  <c r="M43" i="50" s="1"/>
  <c r="M52" i="50" l="1"/>
  <c r="O52" i="50" s="1"/>
  <c r="M10" i="50"/>
  <c r="M40" i="50"/>
  <c r="M18" i="50"/>
  <c r="M46" i="50"/>
  <c r="M14" i="50"/>
  <c r="M16" i="50"/>
  <c r="M56" i="50"/>
  <c r="M39" i="50"/>
  <c r="M19" i="50"/>
  <c r="M54" i="50"/>
  <c r="M31" i="50"/>
  <c r="M9" i="50"/>
  <c r="O3" i="50" s="1"/>
  <c r="M35" i="50"/>
  <c r="M34" i="50"/>
  <c r="M37" i="50"/>
  <c r="M21" i="50"/>
  <c r="M33" i="50"/>
  <c r="M13" i="50"/>
  <c r="M44" i="50"/>
  <c r="M12" i="50"/>
  <c r="M38" i="50"/>
  <c r="M22" i="50"/>
  <c r="O53" i="50" l="1"/>
  <c r="O4" i="50"/>
  <c r="M5" i="50"/>
  <c r="O5" i="50"/>
  <c r="M3" i="50"/>
  <c r="M4" i="50"/>
  <c r="O54" i="50"/>
  <c r="O55" i="50"/>
  <c r="O57" i="50"/>
  <c r="O56" i="50"/>
  <c r="C2" i="57" l="1"/>
  <c r="D4" i="57" s="1"/>
  <c r="B15" i="57" s="1"/>
  <c r="L46" i="6"/>
  <c r="B2" i="55"/>
  <c r="C2" i="56" l="1"/>
  <c r="D4" i="56" s="1"/>
  <c r="B15" i="56" s="1"/>
  <c r="N4" i="47"/>
  <c r="N13" i="47"/>
  <c r="I30" i="47"/>
  <c r="H30" i="47"/>
  <c r="G30" i="47"/>
  <c r="F30" i="47"/>
  <c r="J30" i="47"/>
  <c r="D30" i="47"/>
  <c r="B30" i="47"/>
  <c r="E30" i="47"/>
  <c r="L28" i="6"/>
  <c r="B6" i="55"/>
  <c r="B5" i="55"/>
  <c r="B8" i="55" l="1"/>
  <c r="R54" i="6" l="1"/>
  <c r="E3" i="6" l="1"/>
  <c r="M132" i="1"/>
  <c r="K132" i="1"/>
  <c r="J132" i="1"/>
  <c r="I132" i="1"/>
  <c r="C9" i="54" l="1"/>
  <c r="E9" i="54" s="1"/>
  <c r="F9" i="54" s="1"/>
  <c r="R3" i="6" l="1"/>
  <c r="H2" i="54"/>
  <c r="D3" i="54"/>
  <c r="E3" i="54" s="1"/>
  <c r="H119" i="1"/>
  <c r="M119" i="1"/>
  <c r="L119" i="1"/>
  <c r="K119" i="1"/>
  <c r="J119" i="1"/>
  <c r="I119" i="1"/>
  <c r="F119" i="1"/>
  <c r="G80" i="1"/>
  <c r="O135" i="1"/>
  <c r="O136" i="1"/>
  <c r="O78" i="1"/>
  <c r="O142" i="1"/>
  <c r="O141" i="1"/>
  <c r="O166" i="1" l="1"/>
  <c r="B166" i="1"/>
  <c r="H3" i="54"/>
  <c r="H6" i="54"/>
  <c r="I2" i="54"/>
  <c r="H132" i="1"/>
  <c r="N3" i="6"/>
  <c r="B72" i="6"/>
  <c r="B54" i="6"/>
  <c r="B36" i="6"/>
  <c r="F36" i="6" s="1"/>
  <c r="H36" i="6" l="1"/>
  <c r="F46" i="6"/>
  <c r="I36" i="6"/>
  <c r="K72" i="6"/>
  <c r="D72" i="6"/>
  <c r="B2" i="56"/>
  <c r="K36" i="6"/>
  <c r="D36" i="6"/>
  <c r="K54" i="6"/>
  <c r="D54" i="6"/>
  <c r="H199" i="1"/>
  <c r="I3" i="54"/>
  <c r="I8" i="54"/>
  <c r="E36" i="6"/>
  <c r="E54" i="6"/>
  <c r="E72" i="6"/>
  <c r="B2" i="58" l="1"/>
  <c r="J199" i="1" l="1"/>
  <c r="N54" i="6"/>
  <c r="M54" i="6"/>
  <c r="K199" i="1"/>
  <c r="I199" i="1"/>
  <c r="M199" i="1"/>
  <c r="B2" i="57"/>
  <c r="B82" i="6" l="1"/>
  <c r="K82" i="6" s="1"/>
  <c r="M105" i="1"/>
  <c r="L105" i="1"/>
  <c r="K105" i="1"/>
  <c r="J105" i="1"/>
  <c r="I105" i="1"/>
  <c r="H105" i="1"/>
  <c r="G105" i="1"/>
  <c r="F105" i="1"/>
  <c r="C105" i="1"/>
  <c r="C17" i="6" s="1"/>
  <c r="F186" i="1"/>
  <c r="G186" i="1"/>
  <c r="F163" i="1"/>
  <c r="F196" i="1" s="1"/>
  <c r="G159" i="1"/>
  <c r="F159" i="1"/>
  <c r="F80" i="1"/>
  <c r="L17" i="6" l="1"/>
  <c r="D17" i="6"/>
  <c r="R36" i="6"/>
  <c r="B64" i="6"/>
  <c r="K64" i="6" s="1"/>
  <c r="B46" i="6"/>
  <c r="K46" i="6" s="1"/>
  <c r="O148" i="1"/>
  <c r="O126" i="1"/>
  <c r="O124" i="1"/>
  <c r="G111" i="1"/>
  <c r="O99" i="1"/>
  <c r="G87" i="1"/>
  <c r="G77" i="1"/>
  <c r="G3" i="1"/>
  <c r="O164" i="1" l="1"/>
  <c r="B164" i="1"/>
  <c r="G5" i="1"/>
  <c r="G58" i="1"/>
  <c r="G30" i="1"/>
  <c r="G163" i="1"/>
  <c r="G196" i="1" s="1"/>
  <c r="G119" i="1"/>
  <c r="G132" i="1"/>
  <c r="G90" i="1"/>
  <c r="G175" i="1"/>
  <c r="G192" i="1" l="1"/>
  <c r="G211" i="1" s="1"/>
  <c r="G194" i="1"/>
  <c r="G199" i="1"/>
  <c r="L5" i="2"/>
  <c r="M2" i="2" s="1"/>
  <c r="K5" i="2"/>
  <c r="A11" i="2" s="1"/>
  <c r="F47" i="6" l="1"/>
  <c r="J83" i="6"/>
  <c r="J78" i="6"/>
  <c r="F42" i="6"/>
  <c r="B47" i="6"/>
  <c r="G203" i="1"/>
  <c r="M4" i="2"/>
  <c r="M36" i="6"/>
  <c r="N36" i="6"/>
  <c r="M3" i="2"/>
  <c r="F78" i="6" l="1"/>
  <c r="F83" i="6"/>
  <c r="B83" i="6"/>
  <c r="K83" i="6" s="1"/>
  <c r="J65" i="6"/>
  <c r="J60" i="6"/>
  <c r="J61" i="6" s="1"/>
  <c r="F60" i="6"/>
  <c r="F65" i="6"/>
  <c r="B65" i="6"/>
  <c r="K65" i="6" s="1"/>
  <c r="J47" i="6"/>
  <c r="J42" i="6"/>
  <c r="H42" i="6"/>
  <c r="I42" i="6"/>
  <c r="F43" i="6"/>
  <c r="K47" i="6"/>
  <c r="M5" i="2"/>
  <c r="A23" i="6"/>
  <c r="F44" i="6" l="1"/>
  <c r="F48" i="6"/>
  <c r="J66" i="6"/>
  <c r="J62" i="6"/>
  <c r="F61" i="6"/>
  <c r="I60" i="6"/>
  <c r="H60" i="6"/>
  <c r="I78" i="6"/>
  <c r="F79" i="6"/>
  <c r="H78" i="6"/>
  <c r="A29" i="55"/>
  <c r="F62" i="6" l="1"/>
  <c r="F66" i="6"/>
  <c r="J67" i="6"/>
  <c r="J68" i="6"/>
  <c r="F49" i="6"/>
  <c r="F50" i="6"/>
  <c r="F84" i="6"/>
  <c r="F80" i="6"/>
  <c r="O23" i="6"/>
  <c r="B29" i="55"/>
  <c r="F85" i="6" l="1"/>
  <c r="F86" i="6"/>
  <c r="F67" i="6"/>
  <c r="F68" i="6"/>
  <c r="O178" i="1"/>
  <c r="F90" i="1"/>
  <c r="F199" i="1"/>
  <c r="F111" i="1"/>
  <c r="O75" i="1"/>
  <c r="F87" i="1"/>
  <c r="C64" i="6"/>
  <c r="B16" i="47" l="1"/>
  <c r="N16" i="47" s="1"/>
  <c r="L64" i="6"/>
  <c r="Q12" i="6"/>
  <c r="F132" i="1"/>
  <c r="F175" i="1"/>
  <c r="B4" i="1"/>
  <c r="L4" i="6" l="1"/>
  <c r="M4" i="6" s="1"/>
  <c r="O4" i="1"/>
  <c r="Q4" i="6" s="1"/>
  <c r="R12" i="6"/>
  <c r="F194" i="1"/>
  <c r="F203" i="1" s="1"/>
  <c r="A28" i="55"/>
  <c r="C2" i="55" l="1"/>
  <c r="B20" i="55" s="1"/>
  <c r="C29" i="55" s="1"/>
  <c r="C4" i="58"/>
  <c r="R4" i="6"/>
  <c r="O153" i="1"/>
  <c r="O145" i="1"/>
  <c r="O102" i="1"/>
  <c r="O146" i="1"/>
  <c r="O133" i="1"/>
  <c r="O101" i="1"/>
  <c r="O184" i="1"/>
  <c r="E105" i="1"/>
  <c r="C82" i="6"/>
  <c r="B25" i="47" s="1"/>
  <c r="B7" i="47"/>
  <c r="N7" i="47" s="1"/>
  <c r="O161" i="1" l="1"/>
  <c r="B161" i="1"/>
  <c r="C132" i="1"/>
  <c r="C21" i="6" s="1"/>
  <c r="R23" i="6"/>
  <c r="O200" i="1"/>
  <c r="O3" i="6"/>
  <c r="E132" i="1"/>
  <c r="E119" i="1"/>
  <c r="E90" i="1"/>
  <c r="L21" i="6" l="1"/>
  <c r="D21" i="6"/>
  <c r="E199" i="1"/>
  <c r="Q41" i="6"/>
  <c r="O54" i="6"/>
  <c r="O36" i="6"/>
  <c r="N23" i="6" l="1"/>
  <c r="M23" i="6" l="1"/>
  <c r="L82" i="6" l="1"/>
  <c r="N22" i="47" l="1"/>
  <c r="C30" i="47" l="1"/>
  <c r="N30" i="47" s="1"/>
  <c r="C2" i="58"/>
  <c r="D4" i="58" s="1"/>
  <c r="B15" i="58" s="1"/>
  <c r="B132" i="1"/>
  <c r="Q21" i="6" s="1"/>
  <c r="Q82" i="6"/>
  <c r="N25" i="47"/>
  <c r="N72" i="6"/>
  <c r="O72" i="6"/>
  <c r="O26" i="1" l="1"/>
  <c r="O143" i="1"/>
  <c r="O151" i="1"/>
  <c r="M163" i="1"/>
  <c r="L163" i="1"/>
  <c r="K163" i="1"/>
  <c r="J163" i="1"/>
  <c r="I163" i="1"/>
  <c r="H163" i="1"/>
  <c r="H196" i="1" s="1"/>
  <c r="E163" i="1"/>
  <c r="E196" i="1" s="1"/>
  <c r="D163" i="1"/>
  <c r="G28" i="6" s="1"/>
  <c r="H28" i="6" s="1"/>
  <c r="O88" i="1"/>
  <c r="M90" i="1"/>
  <c r="L90" i="1"/>
  <c r="K90" i="1"/>
  <c r="J90" i="1"/>
  <c r="I90" i="1"/>
  <c r="H90" i="1"/>
  <c r="D90" i="1"/>
  <c r="G16" i="6" s="1"/>
  <c r="L77" i="1"/>
  <c r="K77" i="1"/>
  <c r="J77" i="1"/>
  <c r="I77" i="1"/>
  <c r="H77" i="1"/>
  <c r="F77" i="1"/>
  <c r="E77" i="1"/>
  <c r="O79" i="1"/>
  <c r="O108" i="1"/>
  <c r="O125" i="1"/>
  <c r="M58" i="1"/>
  <c r="K58" i="1"/>
  <c r="M5" i="1"/>
  <c r="M186" i="1"/>
  <c r="L186" i="1"/>
  <c r="K186" i="1"/>
  <c r="J186" i="1"/>
  <c r="I186" i="1"/>
  <c r="H186" i="1"/>
  <c r="E186" i="1"/>
  <c r="D186" i="1"/>
  <c r="L175" i="1"/>
  <c r="J175" i="1"/>
  <c r="I175" i="1"/>
  <c r="H175" i="1"/>
  <c r="E175" i="1"/>
  <c r="M159" i="1"/>
  <c r="L159" i="1"/>
  <c r="K159" i="1"/>
  <c r="J159" i="1"/>
  <c r="I159" i="1"/>
  <c r="H159" i="1"/>
  <c r="E159" i="1"/>
  <c r="D159" i="1"/>
  <c r="G22" i="6" s="1"/>
  <c r="C159" i="1"/>
  <c r="C22" i="6" s="1"/>
  <c r="L111" i="1"/>
  <c r="K111" i="1"/>
  <c r="J111" i="1"/>
  <c r="I111" i="1"/>
  <c r="H111" i="1"/>
  <c r="E111" i="1"/>
  <c r="M87" i="1"/>
  <c r="L87" i="1"/>
  <c r="K87" i="1"/>
  <c r="J87" i="1"/>
  <c r="I87" i="1"/>
  <c r="H87" i="1"/>
  <c r="E87" i="1"/>
  <c r="M80" i="1"/>
  <c r="L80" i="1"/>
  <c r="K80" i="1"/>
  <c r="J80" i="1"/>
  <c r="I80" i="1"/>
  <c r="H80" i="1"/>
  <c r="E80" i="1"/>
  <c r="D80" i="1"/>
  <c r="G14" i="6" s="1"/>
  <c r="M3" i="1"/>
  <c r="L3" i="1"/>
  <c r="K3" i="1"/>
  <c r="J3" i="1"/>
  <c r="I3" i="1"/>
  <c r="H3" i="1"/>
  <c r="F3" i="1"/>
  <c r="E3" i="1"/>
  <c r="O52" i="1"/>
  <c r="I14" i="6" l="1"/>
  <c r="H14" i="6"/>
  <c r="I22" i="6"/>
  <c r="H22" i="6"/>
  <c r="I16" i="6"/>
  <c r="H16" i="6"/>
  <c r="L22" i="6"/>
  <c r="D22" i="6"/>
  <c r="M194" i="1"/>
  <c r="M203" i="1" s="1"/>
  <c r="O183" i="1"/>
  <c r="B159" i="1"/>
  <c r="Q22" i="6" s="1"/>
  <c r="O36" i="1"/>
  <c r="O64" i="1"/>
  <c r="O20" i="1"/>
  <c r="O41" i="1"/>
  <c r="O12" i="1"/>
  <c r="M30" i="1"/>
  <c r="O159" i="1"/>
  <c r="O74" i="1"/>
  <c r="L58" i="1"/>
  <c r="I58" i="1"/>
  <c r="I30" i="1"/>
  <c r="L30" i="1"/>
  <c r="L5" i="1"/>
  <c r="J30" i="1"/>
  <c r="J58" i="1"/>
  <c r="D58" i="1"/>
  <c r="D5" i="1"/>
  <c r="D30" i="1"/>
  <c r="D87" i="1"/>
  <c r="G15" i="6" s="1"/>
  <c r="D105" i="1"/>
  <c r="G17" i="6" s="1"/>
  <c r="E30" i="1"/>
  <c r="H5" i="1"/>
  <c r="F58" i="1"/>
  <c r="C11" i="6"/>
  <c r="L11" i="6" s="1"/>
  <c r="L6" i="6" s="1"/>
  <c r="E5" i="1"/>
  <c r="F30" i="1"/>
  <c r="F5" i="1"/>
  <c r="J5" i="1"/>
  <c r="E58" i="1"/>
  <c r="I5" i="1"/>
  <c r="K5" i="1"/>
  <c r="H58" i="1"/>
  <c r="K30" i="1"/>
  <c r="H30" i="1"/>
  <c r="L194" i="1"/>
  <c r="J194" i="1"/>
  <c r="K194" i="1"/>
  <c r="K203" i="1" s="1"/>
  <c r="D132" i="1"/>
  <c r="H194" i="1"/>
  <c r="H203" i="1" s="1"/>
  <c r="I194" i="1"/>
  <c r="I203" i="1" s="1"/>
  <c r="D119" i="1"/>
  <c r="G19" i="6" s="1"/>
  <c r="E194" i="1"/>
  <c r="E203" i="1" s="1"/>
  <c r="D77" i="1"/>
  <c r="D196" i="1"/>
  <c r="D175" i="1"/>
  <c r="G24" i="6" s="1"/>
  <c r="D111" i="1"/>
  <c r="G18" i="6" s="1"/>
  <c r="D3" i="1"/>
  <c r="H18" i="6" l="1"/>
  <c r="I18" i="6"/>
  <c r="H17" i="6"/>
  <c r="I17" i="6"/>
  <c r="I15" i="6"/>
  <c r="H15" i="6"/>
  <c r="B10" i="2"/>
  <c r="G11" i="6"/>
  <c r="I19" i="6"/>
  <c r="H19" i="6"/>
  <c r="G9" i="6"/>
  <c r="B9" i="2"/>
  <c r="G57" i="6"/>
  <c r="B8" i="2"/>
  <c r="G39" i="6"/>
  <c r="G7" i="6"/>
  <c r="O132" i="1"/>
  <c r="G21" i="6"/>
  <c r="G13" i="6" s="1"/>
  <c r="I24" i="6"/>
  <c r="H24" i="6"/>
  <c r="J204" i="1"/>
  <c r="J203" i="1"/>
  <c r="L204" i="1"/>
  <c r="L203" i="1"/>
  <c r="M204" i="1"/>
  <c r="I192" i="1"/>
  <c r="E192" i="1"/>
  <c r="E211" i="1" s="1"/>
  <c r="B58" i="1"/>
  <c r="J75" i="6" s="1"/>
  <c r="J79" i="6" s="1"/>
  <c r="M192" i="1"/>
  <c r="O105" i="1"/>
  <c r="B105" i="1"/>
  <c r="Q17" i="6" s="1"/>
  <c r="O58" i="1"/>
  <c r="H192" i="1"/>
  <c r="K192" i="1"/>
  <c r="O201" i="1"/>
  <c r="J192" i="1"/>
  <c r="F192" i="1"/>
  <c r="F211" i="1" s="1"/>
  <c r="D192" i="1"/>
  <c r="L192" i="1"/>
  <c r="I18" i="54"/>
  <c r="C59" i="6"/>
  <c r="B28" i="55"/>
  <c r="C28" i="55" s="1"/>
  <c r="E22" i="6"/>
  <c r="D199" i="1"/>
  <c r="K204" i="1"/>
  <c r="I204" i="1"/>
  <c r="N22" i="6"/>
  <c r="C75" i="6"/>
  <c r="D194" i="1"/>
  <c r="D203" i="1" s="1"/>
  <c r="H8" i="2" s="1"/>
  <c r="R22" i="6"/>
  <c r="M22" i="6"/>
  <c r="O22" i="6"/>
  <c r="A24" i="6"/>
  <c r="A30" i="55" s="1"/>
  <c r="A21" i="6"/>
  <c r="A27" i="55" s="1"/>
  <c r="A19" i="6"/>
  <c r="A26" i="55" s="1"/>
  <c r="A18" i="6"/>
  <c r="A25" i="55" s="1"/>
  <c r="A17" i="6"/>
  <c r="A24" i="55" s="1"/>
  <c r="A16" i="6"/>
  <c r="A23" i="55" s="1"/>
  <c r="A15" i="6"/>
  <c r="A22" i="55" s="1"/>
  <c r="A14" i="6"/>
  <c r="A21" i="55" s="1"/>
  <c r="A11" i="6"/>
  <c r="A9" i="6"/>
  <c r="A7" i="6"/>
  <c r="H9" i="6" l="1"/>
  <c r="I9" i="6"/>
  <c r="I11" i="6"/>
  <c r="H11" i="6"/>
  <c r="B11" i="2"/>
  <c r="C9" i="2" s="1"/>
  <c r="I9" i="2" s="1"/>
  <c r="J80" i="6"/>
  <c r="J84" i="6"/>
  <c r="G6" i="6"/>
  <c r="H6" i="6" s="1"/>
  <c r="H7" i="6"/>
  <c r="I7" i="6"/>
  <c r="H39" i="6"/>
  <c r="I39" i="6"/>
  <c r="I57" i="6"/>
  <c r="H57" i="6"/>
  <c r="H13" i="6"/>
  <c r="I21" i="6"/>
  <c r="H21" i="6"/>
  <c r="E59" i="6"/>
  <c r="L59" i="6"/>
  <c r="Q59" i="6" s="1"/>
  <c r="B23" i="47"/>
  <c r="L75" i="6"/>
  <c r="Q75" i="6" s="1"/>
  <c r="E18" i="54"/>
  <c r="O204" i="1"/>
  <c r="B5" i="56"/>
  <c r="B27" i="55"/>
  <c r="C27" i="55" s="1"/>
  <c r="D59" i="6"/>
  <c r="D211" i="1"/>
  <c r="Q11" i="6"/>
  <c r="C8" i="2" l="1"/>
  <c r="I8" i="2" s="1"/>
  <c r="J85" i="6"/>
  <c r="J86" i="6"/>
  <c r="O59" i="6"/>
  <c r="G25" i="6"/>
  <c r="C10" i="2"/>
  <c r="I10" i="2" s="1"/>
  <c r="C5" i="57"/>
  <c r="D5" i="57" s="1"/>
  <c r="B16" i="57" s="1"/>
  <c r="E16" i="54"/>
  <c r="E24" i="54"/>
  <c r="I24" i="54"/>
  <c r="E19" i="54"/>
  <c r="E21" i="54"/>
  <c r="I17" i="54"/>
  <c r="I20" i="54"/>
  <c r="R59" i="6"/>
  <c r="B5" i="57"/>
  <c r="M59" i="6"/>
  <c r="N21" i="6"/>
  <c r="E21" i="6"/>
  <c r="N59" i="6"/>
  <c r="G26" i="6" l="1"/>
  <c r="G30" i="6"/>
  <c r="E15" i="54"/>
  <c r="I16" i="54"/>
  <c r="E20" i="54"/>
  <c r="I19" i="54"/>
  <c r="N23" i="47"/>
  <c r="I15" i="54"/>
  <c r="E17" i="54"/>
  <c r="I21" i="54"/>
  <c r="C3" i="58"/>
  <c r="E23" i="54"/>
  <c r="I23" i="54"/>
  <c r="C6" i="55"/>
  <c r="I22" i="54"/>
  <c r="E22" i="54"/>
  <c r="R28" i="6"/>
  <c r="O75" i="6"/>
  <c r="C87" i="1"/>
  <c r="G31" i="6" l="1"/>
  <c r="G32" i="6"/>
  <c r="C15" i="6"/>
  <c r="O87" i="1"/>
  <c r="B87" i="1"/>
  <c r="Q15" i="6" s="1"/>
  <c r="D3" i="58"/>
  <c r="B14" i="58" s="1"/>
  <c r="E17" i="6"/>
  <c r="C41" i="6"/>
  <c r="C186" i="1"/>
  <c r="O180" i="1"/>
  <c r="O128" i="1"/>
  <c r="O122" i="1"/>
  <c r="O112" i="1"/>
  <c r="O100" i="1"/>
  <c r="O98" i="1"/>
  <c r="O82" i="1"/>
  <c r="C77" i="1"/>
  <c r="O37" i="1"/>
  <c r="O25" i="1"/>
  <c r="O6" i="1"/>
  <c r="C3" i="1"/>
  <c r="L15" i="6" l="1"/>
  <c r="D15" i="6"/>
  <c r="L41" i="6"/>
  <c r="D41" i="6"/>
  <c r="O186" i="1"/>
  <c r="B186" i="1"/>
  <c r="O77" i="1"/>
  <c r="B77" i="1"/>
  <c r="O174" i="1"/>
  <c r="B174" i="1"/>
  <c r="C5" i="56"/>
  <c r="D5" i="56" s="1"/>
  <c r="O30" i="1"/>
  <c r="B5" i="1"/>
  <c r="N17" i="6"/>
  <c r="B24" i="55"/>
  <c r="C24" i="55" s="1"/>
  <c r="E41" i="6"/>
  <c r="E15" i="6"/>
  <c r="O202" i="1"/>
  <c r="C119" i="1"/>
  <c r="C19" i="6" s="1"/>
  <c r="R17" i="6"/>
  <c r="M17" i="6"/>
  <c r="O17" i="6"/>
  <c r="C90" i="1"/>
  <c r="C163" i="1"/>
  <c r="C175" i="1"/>
  <c r="C24" i="6" s="1"/>
  <c r="C111" i="1"/>
  <c r="C18" i="6" s="1"/>
  <c r="Q39" i="6" l="1"/>
  <c r="J39" i="6"/>
  <c r="J43" i="6" s="1"/>
  <c r="L24" i="6"/>
  <c r="D24" i="6"/>
  <c r="C192" i="1"/>
  <c r="O192" i="1" s="1"/>
  <c r="L19" i="6"/>
  <c r="D19" i="6"/>
  <c r="L18" i="6"/>
  <c r="D18" i="6"/>
  <c r="C16" i="6"/>
  <c r="C194" i="1"/>
  <c r="O194" i="1" s="1"/>
  <c r="C14" i="6"/>
  <c r="L14" i="6" s="1"/>
  <c r="O175" i="1"/>
  <c r="B175" i="1"/>
  <c r="Q24" i="6" s="1"/>
  <c r="O163" i="1"/>
  <c r="B163" i="1"/>
  <c r="O119" i="1"/>
  <c r="B119" i="1"/>
  <c r="Q19" i="6" s="1"/>
  <c r="O111" i="1"/>
  <c r="B111" i="1"/>
  <c r="Q18" i="6" s="1"/>
  <c r="O90" i="1"/>
  <c r="B90" i="1"/>
  <c r="Q16" i="6" s="1"/>
  <c r="O80" i="1"/>
  <c r="B80" i="1"/>
  <c r="Q14" i="6" s="1"/>
  <c r="O5" i="1"/>
  <c r="Q7" i="6" s="1"/>
  <c r="C199" i="1"/>
  <c r="O199" i="1" s="1"/>
  <c r="C39" i="6"/>
  <c r="B16" i="56"/>
  <c r="N15" i="6"/>
  <c r="B22" i="55"/>
  <c r="C22" i="55" s="1"/>
  <c r="C57" i="6"/>
  <c r="C196" i="1"/>
  <c r="O196" i="1" s="1"/>
  <c r="R41" i="6"/>
  <c r="O41" i="6"/>
  <c r="N41" i="6"/>
  <c r="R15" i="6"/>
  <c r="R21" i="6"/>
  <c r="M21" i="6"/>
  <c r="O21" i="6"/>
  <c r="M15" i="6"/>
  <c r="O15" i="6"/>
  <c r="M41" i="6"/>
  <c r="C77" i="6"/>
  <c r="J48" i="6" l="1"/>
  <c r="J44" i="6"/>
  <c r="C203" i="1"/>
  <c r="O203" i="1" s="1"/>
  <c r="H2" i="2"/>
  <c r="L16" i="6"/>
  <c r="D16" i="6"/>
  <c r="L13" i="6"/>
  <c r="L25" i="6" s="1"/>
  <c r="R14" i="6"/>
  <c r="L39" i="6"/>
  <c r="O39" i="6" s="1"/>
  <c r="B5" i="47"/>
  <c r="N5" i="47" s="1"/>
  <c r="B14" i="47"/>
  <c r="N14" i="47" s="1"/>
  <c r="L57" i="6"/>
  <c r="Q57" i="6" s="1"/>
  <c r="L77" i="6"/>
  <c r="B193" i="1"/>
  <c r="R11" i="6"/>
  <c r="C6" i="6"/>
  <c r="G14" i="54" s="1"/>
  <c r="Q13" i="6"/>
  <c r="Q9" i="6"/>
  <c r="C211" i="1"/>
  <c r="O211" i="1" s="1"/>
  <c r="B23" i="55"/>
  <c r="C23" i="55" s="1"/>
  <c r="B21" i="55"/>
  <c r="C21" i="55" s="1"/>
  <c r="N7" i="6"/>
  <c r="O19" i="6"/>
  <c r="B26" i="55"/>
  <c r="C26" i="55" s="1"/>
  <c r="E18" i="6"/>
  <c r="R20" i="6"/>
  <c r="R19" i="6"/>
  <c r="M7" i="6"/>
  <c r="M20" i="6"/>
  <c r="O20" i="6"/>
  <c r="C13" i="6"/>
  <c r="F14" i="54" s="1"/>
  <c r="B5" i="2"/>
  <c r="C11" i="2" s="1"/>
  <c r="J49" i="6" l="1"/>
  <c r="J50" i="6"/>
  <c r="M77" i="6"/>
  <c r="Q77" i="6"/>
  <c r="R77" i="6" s="1"/>
  <c r="C3" i="56"/>
  <c r="C3" i="2"/>
  <c r="C4" i="2"/>
  <c r="C2" i="2"/>
  <c r="B5" i="58"/>
  <c r="D3" i="56"/>
  <c r="B14" i="56" s="1"/>
  <c r="C3" i="57"/>
  <c r="R7" i="6"/>
  <c r="O7" i="6"/>
  <c r="Q6" i="6"/>
  <c r="R6" i="6" s="1"/>
  <c r="R9" i="6"/>
  <c r="C25" i="6"/>
  <c r="C5" i="58"/>
  <c r="G26" i="54"/>
  <c r="O57" i="6"/>
  <c r="N18" i="6"/>
  <c r="B25" i="55"/>
  <c r="C25" i="55" s="1"/>
  <c r="O24" i="6"/>
  <c r="B30" i="55"/>
  <c r="C30" i="55" s="1"/>
  <c r="O77" i="6"/>
  <c r="O11" i="6"/>
  <c r="N11" i="6"/>
  <c r="O9" i="6"/>
  <c r="E16" i="6"/>
  <c r="E19" i="6"/>
  <c r="N19" i="6"/>
  <c r="N9" i="6"/>
  <c r="N24" i="6"/>
  <c r="N14" i="6"/>
  <c r="E77" i="6"/>
  <c r="E14" i="6"/>
  <c r="E24" i="6"/>
  <c r="N16" i="6"/>
  <c r="B192" i="1"/>
  <c r="R18" i="6"/>
  <c r="D14" i="6"/>
  <c r="M24" i="6"/>
  <c r="R75" i="6"/>
  <c r="R39" i="6"/>
  <c r="M14" i="6"/>
  <c r="R24" i="6"/>
  <c r="R57" i="6"/>
  <c r="O16" i="6"/>
  <c r="R16" i="6"/>
  <c r="D77" i="6"/>
  <c r="O14" i="6"/>
  <c r="M18" i="6"/>
  <c r="O18" i="6"/>
  <c r="M9" i="6"/>
  <c r="M11" i="6"/>
  <c r="B13" i="6"/>
  <c r="B78" i="6" s="1"/>
  <c r="C83" i="6"/>
  <c r="E83" i="6" l="1"/>
  <c r="D83" i="6"/>
  <c r="C47" i="6"/>
  <c r="C65" i="6"/>
  <c r="Q25" i="6"/>
  <c r="Q26" i="6" s="1"/>
  <c r="L83" i="6"/>
  <c r="B26" i="47"/>
  <c r="N26" i="47" s="1"/>
  <c r="B8" i="47"/>
  <c r="N8" i="47" s="1"/>
  <c r="L47" i="6"/>
  <c r="B60" i="6"/>
  <c r="K60" i="6" s="1"/>
  <c r="B42" i="6"/>
  <c r="K42" i="6" s="1"/>
  <c r="K78" i="6"/>
  <c r="F26" i="54"/>
  <c r="D31" i="54" s="1"/>
  <c r="E14" i="54"/>
  <c r="E26" i="54" s="1"/>
  <c r="I4" i="2"/>
  <c r="C78" i="6" s="1"/>
  <c r="I2" i="2"/>
  <c r="C42" i="6" s="1"/>
  <c r="I3" i="2"/>
  <c r="C60" i="6" s="1"/>
  <c r="D3" i="57"/>
  <c r="B14" i="57" s="1"/>
  <c r="L30" i="6"/>
  <c r="L32" i="6" s="1"/>
  <c r="D5" i="58"/>
  <c r="B16" i="58" s="1"/>
  <c r="C30" i="6"/>
  <c r="I14" i="54"/>
  <c r="I26" i="54" s="1"/>
  <c r="C4" i="55"/>
  <c r="D4" i="55" s="1"/>
  <c r="C13" i="55" s="1"/>
  <c r="N6" i="6"/>
  <c r="C3" i="55"/>
  <c r="C12" i="55" s="1"/>
  <c r="N77" i="6"/>
  <c r="O6" i="6"/>
  <c r="O13" i="6"/>
  <c r="M16" i="6"/>
  <c r="M19" i="6"/>
  <c r="M6" i="6"/>
  <c r="K13" i="6"/>
  <c r="K25" i="6" s="1"/>
  <c r="K30" i="6" s="1"/>
  <c r="K32" i="6" s="1"/>
  <c r="R13" i="6"/>
  <c r="D13" i="6"/>
  <c r="C26" i="6"/>
  <c r="C5" i="2"/>
  <c r="B17" i="47" l="1"/>
  <c r="N17" i="47" s="1"/>
  <c r="E65" i="6"/>
  <c r="D65" i="6"/>
  <c r="E47" i="6"/>
  <c r="D47" i="6"/>
  <c r="L65" i="6"/>
  <c r="E31" i="54"/>
  <c r="L78" i="6"/>
  <c r="Q78" i="6" s="1"/>
  <c r="B24" i="47"/>
  <c r="B27" i="47" s="1"/>
  <c r="L60" i="6"/>
  <c r="Q60" i="6" s="1"/>
  <c r="B15" i="47"/>
  <c r="B18" i="47" s="1"/>
  <c r="L42" i="6"/>
  <c r="Q42" i="6" s="1"/>
  <c r="B6" i="47"/>
  <c r="B9" i="47" s="1"/>
  <c r="R30" i="6"/>
  <c r="C31" i="6"/>
  <c r="B6" i="58"/>
  <c r="C5" i="55"/>
  <c r="C8" i="55" s="1"/>
  <c r="N13" i="6"/>
  <c r="M13" i="6"/>
  <c r="L26" i="6"/>
  <c r="C32" i="6"/>
  <c r="R42" i="6" l="1"/>
  <c r="Q43" i="6"/>
  <c r="Q44" i="6" s="1"/>
  <c r="N6" i="47"/>
  <c r="P5" i="47" s="1"/>
  <c r="L43" i="6"/>
  <c r="L48" i="6" s="1"/>
  <c r="L50" i="6" s="1"/>
  <c r="L79" i="6"/>
  <c r="L84" i="6" s="1"/>
  <c r="C61" i="6"/>
  <c r="N15" i="47"/>
  <c r="B6" i="57"/>
  <c r="C79" i="6"/>
  <c r="Q79" i="6" s="1"/>
  <c r="C43" i="6"/>
  <c r="E42" i="6"/>
  <c r="D42" i="6"/>
  <c r="L31" i="6"/>
  <c r="D78" i="6"/>
  <c r="B6" i="56"/>
  <c r="R32" i="6"/>
  <c r="E78" i="6"/>
  <c r="L61" i="6"/>
  <c r="D5" i="55"/>
  <c r="C14" i="55" s="1"/>
  <c r="K26" i="6"/>
  <c r="E60" i="6"/>
  <c r="N78" i="6"/>
  <c r="K31" i="6"/>
  <c r="D60" i="6"/>
  <c r="N24" i="47" l="1"/>
  <c r="N27" i="47" s="1"/>
  <c r="P27" i="47" s="1"/>
  <c r="N9" i="47"/>
  <c r="P9" i="47" s="1"/>
  <c r="C80" i="6"/>
  <c r="N42" i="6"/>
  <c r="C6" i="58"/>
  <c r="C7" i="58" s="1"/>
  <c r="M78" i="6"/>
  <c r="O42" i="6"/>
  <c r="C44" i="6"/>
  <c r="O78" i="6"/>
  <c r="R78" i="6"/>
  <c r="C6" i="56"/>
  <c r="C7" i="56" s="1"/>
  <c r="D7" i="56" s="1"/>
  <c r="M42" i="6"/>
  <c r="C48" i="6"/>
  <c r="C84" i="6"/>
  <c r="P14" i="47"/>
  <c r="N18" i="47"/>
  <c r="P18" i="47" s="1"/>
  <c r="L62" i="6"/>
  <c r="C6" i="57"/>
  <c r="C7" i="57" s="1"/>
  <c r="C66" i="6"/>
  <c r="R79" i="6"/>
  <c r="O60" i="6"/>
  <c r="N60" i="6"/>
  <c r="M60" i="6"/>
  <c r="C62" i="6"/>
  <c r="L80" i="6"/>
  <c r="R60" i="6"/>
  <c r="P23" i="47" l="1"/>
  <c r="D6" i="56"/>
  <c r="B17" i="56" s="1"/>
  <c r="B18" i="56"/>
  <c r="D6" i="58"/>
  <c r="B17" i="58" s="1"/>
  <c r="L44" i="6"/>
  <c r="L49" i="6"/>
  <c r="C50" i="6"/>
  <c r="C49" i="6"/>
  <c r="R43" i="6"/>
  <c r="C85" i="6"/>
  <c r="C86" i="6"/>
  <c r="L66" i="6"/>
  <c r="L67" i="6" s="1"/>
  <c r="D6" i="57"/>
  <c r="B17" i="57" s="1"/>
  <c r="D7" i="57"/>
  <c r="B18" i="57" s="1"/>
  <c r="L86" i="6"/>
  <c r="L85" i="6"/>
  <c r="C67" i="6"/>
  <c r="C68" i="6"/>
  <c r="Q88" i="6" l="1"/>
  <c r="D7" i="58"/>
  <c r="B18" i="58" s="1"/>
  <c r="L68" i="6"/>
  <c r="M72" i="6"/>
  <c r="L88" i="6" l="1"/>
  <c r="B57" i="6" l="1"/>
  <c r="D9" i="6"/>
  <c r="E9" i="6"/>
  <c r="B39" i="6"/>
  <c r="D7" i="6"/>
  <c r="E7" i="6"/>
  <c r="K39" i="6" l="1"/>
  <c r="B3" i="56" s="1"/>
  <c r="B7" i="56" s="1"/>
  <c r="E2" i="2"/>
  <c r="K57" i="6"/>
  <c r="B3" i="57" s="1"/>
  <c r="B7" i="57" s="1"/>
  <c r="E3" i="2"/>
  <c r="N39" i="6"/>
  <c r="M39" i="6"/>
  <c r="K43" i="6"/>
  <c r="D39" i="6"/>
  <c r="E39" i="6"/>
  <c r="B43" i="6"/>
  <c r="D57" i="6"/>
  <c r="E57" i="6"/>
  <c r="B61" i="6"/>
  <c r="K61" i="6" l="1"/>
  <c r="K62" i="6" s="1"/>
  <c r="N57" i="6"/>
  <c r="M57" i="6"/>
  <c r="K48" i="6"/>
  <c r="K44" i="6"/>
  <c r="B48" i="6"/>
  <c r="B44" i="6"/>
  <c r="B66" i="6"/>
  <c r="B62" i="6"/>
  <c r="K66" i="6" l="1"/>
  <c r="K67" i="6" s="1"/>
  <c r="K50" i="6"/>
  <c r="K49" i="6"/>
  <c r="B67" i="6"/>
  <c r="B68" i="6"/>
  <c r="B49" i="6"/>
  <c r="B50" i="6"/>
  <c r="K68" i="6" l="1"/>
  <c r="B75" i="6"/>
  <c r="B6" i="6"/>
  <c r="K75" i="6" l="1"/>
  <c r="M75" i="6" s="1"/>
  <c r="E4" i="2"/>
  <c r="D11" i="6"/>
  <c r="E11" i="6"/>
  <c r="D6" i="6"/>
  <c r="B25" i="6"/>
  <c r="E75" i="6"/>
  <c r="D75" i="6"/>
  <c r="B79" i="6"/>
  <c r="K79" i="6" l="1"/>
  <c r="N75" i="6"/>
  <c r="B3" i="58"/>
  <c r="B7" i="58" s="1"/>
  <c r="E5" i="2"/>
  <c r="K80" i="6"/>
  <c r="K84" i="6"/>
  <c r="B84" i="6"/>
  <c r="B80" i="6"/>
  <c r="B26" i="6"/>
  <c r="B30" i="6"/>
  <c r="F3" i="2" l="1"/>
  <c r="F2" i="2"/>
  <c r="F4" i="2"/>
  <c r="K85" i="6"/>
  <c r="K86" i="6"/>
  <c r="B31" i="6"/>
  <c r="B32" i="6"/>
  <c r="B86" i="6"/>
  <c r="B8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tc={A1A42BBB-CDCF-4718-AF66-40D75425CE1C}</author>
    <author>tc={3DD72FC6-8EB5-4551-9A72-9552DC0D008E}</author>
    <author>tc={B3FBB818-07BA-48B0-8C98-B3B3041D31BC}</author>
    <author>tc={74FCEC11-01EA-4B17-A1A0-DB522EACC69B}</author>
    <author>tc={3F44E0DD-907D-4080-9504-B37E330B88BB}</author>
    <author>adriana ramos</author>
    <author>tc={4D231AAA-3D8C-4EB7-942C-215D746B65F0}</author>
    <author>tc={A3814D5C-6C73-413D-98C5-C664E7CD5B15}</author>
    <author>tc={8E443F09-EC3D-4505-808E-9A2EA6F8A1FC}</author>
    <author>tc={8EA73A5B-CF0C-42FD-96A2-E01E33C23F7D}</author>
    <author>tc={2D0895FF-158C-439C-A363-17E0DCC503CB}</author>
    <author>tc={096C88CD-A101-477C-A157-9EDDEE760459}</author>
    <author>tc={935408A5-B5B7-4BEE-84BB-ABA77671691D}</author>
  </authors>
  <commentList>
    <comment ref="D74" authorId="0" shapeId="0" xr:uid="{A1A42BBB-CDCF-4718-AF66-40D75425C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O valor da Bellini esta sendo abatido 
</t>
      </text>
    </comment>
    <comment ref="E74" authorId="1" shapeId="0" xr:uid="{3DD72FC6-8EB5-4551-9A72-9552DC0D00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F74" authorId="2" shapeId="0" xr:uid="{B3FBB818-07BA-48B0-8C98-B3B3041D31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G74" authorId="3" shapeId="0" xr:uid="{74FCEC11-01EA-4B17-A1A0-DB522EACC6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H74" authorId="4" shapeId="0" xr:uid="{3F44E0DD-907D-4080-9504-B37E330B8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F90" authorId="5" shapeId="0" xr:uid="{4AE6ACAB-FA99-42D7-AF28-CFC12FEEC472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I91" authorId="5" shapeId="0" xr:uid="{37DE8161-FA22-4706-BE07-BBAE9C39FD23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</t>
        </r>
      </text>
    </comment>
    <comment ref="M98" authorId="5" shapeId="0" xr:uid="{A94AD72A-10D7-45DE-BAC1-C51DD02943D9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D101" authorId="6" shapeId="0" xr:uid="{4D231AAA-3D8C-4EB7-942C-215D746B65F0}">
      <text>
        <t>[Threaded comment]
Your version of Excel allows you to read this threaded comment; however, any edits to it will get removed if the file is opened in a newer version of Excel. Learn more: https://go.microsoft.com/fwlink/?linkid=870924
Comment:
    DCTF REINF</t>
      </text>
    </comment>
    <comment ref="E101" authorId="7" shapeId="0" xr:uid="{A3814D5C-6C73-413D-98C5-C664E7CD5B15}">
      <text>
        <t>[Threaded comment]
Your version of Excel allows you to read this threaded comment; however, any edits to it will get removed if the file is opened in a newer version of Excel. Learn more: https://go.microsoft.com/fwlink/?linkid=870924
Comment:
    SPED</t>
      </text>
    </comment>
    <comment ref="I101" authorId="8" shapeId="0" xr:uid="{8E443F09-EC3D-4505-808E-9A2EA6F8A1FC}">
      <text>
        <t>[Threaded comment]
Your version of Excel allows you to read this threaded comment; however, any edits to it will get removed if the file is opened in a newer version of Excel. Learn more: https://go.microsoft.com/fwlink/?linkid=870924
Comment:
    DIRF</t>
      </text>
    </comment>
    <comment ref="J101" authorId="9" shapeId="0" xr:uid="{8EA73A5B-CF0C-42FD-96A2-E01E33C23F7D}">
      <text>
        <t>[Threaded comment]
Your version of Excel allows you to read this threaded comment; however, any edits to it will get removed if the file is opened in a newer version of Excel. Learn more: https://go.microsoft.com/fwlink/?linkid=870924
Comment:
    DCTF REINF</t>
      </text>
    </comment>
    <comment ref="K101" authorId="10" shapeId="0" xr:uid="{2D0895FF-158C-439C-A363-17E0DCC503CB}">
      <text>
        <t>[Threaded comment]
Your version of Excel allows you to read this threaded comment; however, any edits to it will get removed if the file is opened in a newer version of Excel. Learn more: https://go.microsoft.com/fwlink/?linkid=870924
Comment:
    ECD SPED</t>
      </text>
    </comment>
    <comment ref="M106" authorId="5" shapeId="0" xr:uid="{80265F05-A745-4033-8EA1-5458225DFBFC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renovação
</t>
        </r>
      </text>
    </comment>
    <comment ref="M113" authorId="5" shapeId="0" xr:uid="{1D53C3CE-DCB2-4FD2-B1B2-46B146FE7970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 USD
</t>
        </r>
      </text>
    </comment>
    <comment ref="D120" authorId="11" shapeId="0" xr:uid="{096C88CD-A101-477C-A157-9EDDEE76045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Incendio</t>
      </text>
    </comment>
    <comment ref="J120" authorId="12" shapeId="0" xr:uid="{935408A5-B5B7-4BEE-84BB-ABA77671691D}">
      <text>
        <t>[Threaded comment]
Your version of Excel allows you to read this threaded comment; however, any edits to it will get removed if the file is opened in a newer version of Excel. Learn more: https://go.microsoft.com/fwlink/?linkid=870924
Comment:
    RC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tc={DC4CCF00-D869-48D8-9042-B140A5002B24}</author>
    <author>tc={7F3DC91C-FE8C-458A-8E88-8A35A3E99FF9}</author>
    <author>tc={D311058C-6ACC-4409-A988-A44C09F0BAF7}</author>
    <author>tc={FC6915F8-109B-47AF-B5B1-442FF11A7FF0}</author>
    <author>tc={4A6230D4-1CBC-47DC-A487-7F7C34E0D7DD}</author>
    <author>tc={2FA80074-6ED6-4F29-9620-467883A26A53}</author>
    <author>tc={7DDE8C08-6492-4414-B013-B76E261CE652}</author>
    <author>tc={88441528-463F-4416-836A-55F38BE75B7B}</author>
  </authors>
  <commentList>
    <comment ref="M81" authorId="0" shapeId="0" xr:uid="{DC4CCF00-D869-48D8-9042-B140A5002B24}">
      <text>
        <t>[Threaded comment]
Your version of Excel allows you to read this threaded comment; however, any edits to it will get removed if the file is opened in a newer version of Excel. Learn more: https://go.microsoft.com/fwlink/?linkid=870924
Comment:
    Aluguel - valor pago Belline</t>
      </text>
    </comment>
    <comment ref="N81" authorId="1" shapeId="0" xr:uid="{7F3DC91C-FE8C-458A-8E88-8A35A3E99FF9}">
      <text>
        <t>[Threaded comment]
Your version of Excel allows you to read this threaded comment; however, any edits to it will get removed if the file is opened in a newer version of Excel. Learn more: https://go.microsoft.com/fwlink/?linkid=870924
Comment:
    Aluguel - valor pago Belline</t>
      </text>
    </comment>
    <comment ref="C101" authorId="2" shapeId="0" xr:uid="{D311058C-6ACC-4409-A988-A44C09F0BAF7}">
      <text>
        <t>[Threaded comment]
Your version of Excel allows you to read this threaded comment; however, any edits to it will get removed if the file is opened in a newer version of Excel. Learn more: https://go.microsoft.com/fwlink/?linkid=870924
Comment:
    191,74 Café Bravo - 443,90 produtos de limpeza e 1423,95 produtos copa</t>
      </text>
    </comment>
    <comment ref="C120" authorId="3" shapeId="0" xr:uid="{FC6915F8-109B-47AF-B5B1-442FF11A7FF0}">
      <text>
        <t>[Threaded comment]
Your version of Excel allows you to read this threaded comment; however, any edits to it will get removed if the file is opened in a newer version of Excel. Learn more: https://go.microsoft.com/fwlink/?linkid=870924
Comment:
    E-CPF</t>
      </text>
    </comment>
    <comment ref="L121" authorId="4" shapeId="0" xr:uid="{4A6230D4-1CBC-47DC-A487-7F7C34E0D7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economist - assinatura anual</t>
      </text>
    </comment>
    <comment ref="L123" authorId="5" shapeId="0" xr:uid="{2FA80074-6ED6-4F29-9620-467883A26A53}">
      <text>
        <t>[Threaded comment]
Your version of Excel allows you to read this threaded comment; however, any edits to it will get removed if the file is opened in a newer version of Excel. Learn more: https://go.microsoft.com/fwlink/?linkid=870924
Comment:
    Jornal Valor Economico - assinatura anual</t>
      </text>
    </comment>
    <comment ref="C134" authorId="6" shapeId="0" xr:uid="{7DDE8C08-6492-4414-B013-B76E261CE652}">
      <text>
        <t>[Threaded comment]
Your version of Excel allows you to read this threaded comment; however, any edits to it will get removed if the file is opened in a newer version of Excel. Learn more: https://go.microsoft.com/fwlink/?linkid=870924
Comment:
    Audiência MBC+ LPC Latina</t>
      </text>
    </comment>
    <comment ref="C136" authorId="7" shapeId="0" xr:uid="{88441528-463F-4416-836A-55F38BE75B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Compra de vinhos parcelado 3x - ⅔ e bolo de aniversariante</t>
      </text>
    </comment>
  </commentList>
</comments>
</file>

<file path=xl/sharedStrings.xml><?xml version="1.0" encoding="utf-8"?>
<sst xmlns="http://schemas.openxmlformats.org/spreadsheetml/2006/main" count="3463" uniqueCount="574">
  <si>
    <t>META 2026</t>
  </si>
  <si>
    <t>YTD</t>
  </si>
  <si>
    <t>jan a jun</t>
  </si>
  <si>
    <t>jan a ago</t>
  </si>
  <si>
    <t>projeção ate dez</t>
  </si>
  <si>
    <t>Meta Anual</t>
  </si>
  <si>
    <t>Nova meta mês</t>
  </si>
  <si>
    <t>Nacionais</t>
  </si>
  <si>
    <t>Internacionais</t>
  </si>
  <si>
    <t>Pre faturas</t>
  </si>
  <si>
    <t>WM</t>
  </si>
  <si>
    <t>Tonico</t>
  </si>
  <si>
    <t>META 2025</t>
  </si>
  <si>
    <t>Recebimento</t>
  </si>
  <si>
    <t>Faturamento</t>
  </si>
  <si>
    <t>Meta</t>
  </si>
  <si>
    <t>Despesas</t>
  </si>
  <si>
    <t>Despesas indiretas</t>
  </si>
  <si>
    <t>Custo direto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</si>
  <si>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</si>
  <si>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</si>
  <si>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</si>
  <si>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</si>
  <si>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</si>
  <si>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</si>
  <si>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</si>
  <si>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</si>
  <si>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</si>
  <si>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</si>
  <si>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</si>
  <si>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</si>
  <si>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 ANUAL</t>
  </si>
  <si>
    <t>#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</si>
  <si>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</si>
  <si>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</si>
  <si>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</si>
  <si>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</si>
  <si>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</si>
  <si>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</si>
  <si>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</si>
  <si>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</si>
  <si>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</si>
  <si>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</si>
  <si>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</si>
  <si>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</si>
  <si>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</si>
  <si>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Resultado Financeiro 2025</t>
  </si>
  <si>
    <t>Soma  JAN. a DEZ.</t>
  </si>
  <si>
    <t>Movimentação de Entradas</t>
  </si>
  <si>
    <t>Receita de honorários</t>
  </si>
  <si>
    <t>Custo equipe - Contencioso</t>
  </si>
  <si>
    <t>Daniel Costa Caselta - Distribuição Mensal Fixa</t>
  </si>
  <si>
    <t>Daniel Costa Caselta - Pro labore</t>
  </si>
  <si>
    <t>Daniel Costa Caselta - Convenio Medico</t>
  </si>
  <si>
    <t>Aurelio Marchini Santos - Distribuição Mensal Fixa</t>
  </si>
  <si>
    <t>Aurelio Marchini Santos- Pro labore</t>
  </si>
  <si>
    <t>Aurelio Marchini Santos - Convenio Medico</t>
  </si>
  <si>
    <t>Beatriz Baes Xavier - Distribuição Mensal Fixa</t>
  </si>
  <si>
    <t>Beatriz Baes Xavier - Pro Labore</t>
  </si>
  <si>
    <t>Beatriz Baes Xavier - Convenio Medico</t>
  </si>
  <si>
    <t>Beatriz Baes Xavier - Despesas  Extras - Cartao Predio</t>
  </si>
  <si>
    <t>Beatriz Baes Xavier - Reajuste de Distribuição Mensal Fixa</t>
  </si>
  <si>
    <t>Isabel de Almeida Rego Campinho - Distribuição Mensal Fixa</t>
  </si>
  <si>
    <t>Isabel de Almeida Rego Campinho - Pro Labore</t>
  </si>
  <si>
    <t>Isabel de Almeida Rego Campinho - Convenio Medico</t>
  </si>
  <si>
    <t>Isabel de Almeida Rego Campinho - Reajuste de Distribuição Mensal Fixa</t>
  </si>
  <si>
    <t>Joao Victor estagiario</t>
  </si>
  <si>
    <t>Joao Victor VT</t>
  </si>
  <si>
    <t>ISS Trimestral</t>
  </si>
  <si>
    <t>Seguro de vida</t>
  </si>
  <si>
    <t>Vale Refeição</t>
  </si>
  <si>
    <t>Amortização</t>
  </si>
  <si>
    <r>
      <t xml:space="preserve">Participação/comissão/repasse - </t>
    </r>
    <r>
      <rPr>
        <b/>
        <sz val="11"/>
        <rFont val="Aptos Narrow"/>
        <family val="2"/>
        <scheme val="minor"/>
      </rPr>
      <t>Contencioso</t>
    </r>
  </si>
  <si>
    <t>Custo equipe - Econômico</t>
  </si>
  <si>
    <t>Ricardo Franco Botelho - Distribuição Mensal Fixa</t>
  </si>
  <si>
    <t>Ricardo Franco Botelho - Pro labore</t>
  </si>
  <si>
    <t>Ricardo Franco Botelho - Convenio Medico</t>
  </si>
  <si>
    <t>Aurelio Marchini Santos - AASP</t>
  </si>
  <si>
    <t>Bruno Micalli Pedrinelli - Distribuição Mensal Fixa</t>
  </si>
  <si>
    <t>Bruno Micalli Pedrinelli - Pro Labore</t>
  </si>
  <si>
    <t>Bruno Micalli Pedrinelli - Convenio Medico</t>
  </si>
  <si>
    <t>Bruno Micalli Pedrinelli - Reajuste de Distribuição Mensal Fixa</t>
  </si>
  <si>
    <t>Elisa Hime Funari - Distribuição Mensal Fixa</t>
  </si>
  <si>
    <t>Elisa Hime Funari - Pro Labore</t>
  </si>
  <si>
    <t>Elisa Hime Funari - Convenio Medico</t>
  </si>
  <si>
    <t>Elisa Hime Funari - Reajuste de Distribuição Mensal Fixa</t>
  </si>
  <si>
    <t>Andrielly da Silva Gonsalves - Distribuição Mensal Fixa</t>
  </si>
  <si>
    <t>Andrielly da Silva Gonsalves - Pro Labore</t>
  </si>
  <si>
    <t>Andrielly da Silva Gonsalves - Convenio Medico</t>
  </si>
  <si>
    <t>Vale Transporte</t>
  </si>
  <si>
    <r>
      <t xml:space="preserve">Participação/comissão/repasse - </t>
    </r>
    <r>
      <rPr>
        <b/>
        <sz val="11"/>
        <rFont val="Aptos Narrow"/>
        <family val="2"/>
        <scheme val="minor"/>
      </rPr>
      <t>Economico</t>
    </r>
  </si>
  <si>
    <t>Custo equipe - Arbitragem e Compliance</t>
  </si>
  <si>
    <t>Martim Della Valle - Distribuição Mensal Fixa</t>
  </si>
  <si>
    <t>Martim Della Valle - Pro labore</t>
  </si>
  <si>
    <t>Felipe Sartório de Melo - Distribuição Mensal Fixa</t>
  </si>
  <si>
    <t xml:space="preserve">Felipe Sartório de Melo - Pro Labore </t>
  </si>
  <si>
    <t>Felipe Sartório de Melo - Convenio Medico</t>
  </si>
  <si>
    <t>Felipe Sartório de Melo - Reajuste de Distribuição Mensal Fixa</t>
  </si>
  <si>
    <t>Joao</t>
  </si>
  <si>
    <t>Emillly</t>
  </si>
  <si>
    <r>
      <t>Participação/comissão/repasse - A</t>
    </r>
    <r>
      <rPr>
        <b/>
        <sz val="11"/>
        <rFont val="Aptos Narrow"/>
        <family val="2"/>
        <scheme val="minor"/>
      </rPr>
      <t>rbitragem</t>
    </r>
  </si>
  <si>
    <t>Despesas para Clientes</t>
  </si>
  <si>
    <t>Não Reembolsáveis</t>
  </si>
  <si>
    <t>Reembolsáveis</t>
  </si>
  <si>
    <t>Ocupação</t>
  </si>
  <si>
    <t>Aluguel</t>
  </si>
  <si>
    <t>Condomínio</t>
  </si>
  <si>
    <t>Cameras Ed. Lacerda</t>
  </si>
  <si>
    <t>Energia</t>
  </si>
  <si>
    <t>IPTU</t>
  </si>
  <si>
    <t>Seguro Locação</t>
  </si>
  <si>
    <t>Telecomunicações</t>
  </si>
  <si>
    <t>Internet</t>
  </si>
  <si>
    <t xml:space="preserve">Telefonia Fixa </t>
  </si>
  <si>
    <t>Despesas Gerais</t>
  </si>
  <si>
    <t>Alteração Contrato Social</t>
  </si>
  <si>
    <t>Cartório</t>
  </si>
  <si>
    <t>Cópias / Gráfica</t>
  </si>
  <si>
    <t>Correio</t>
  </si>
  <si>
    <t>Estacionamento (clientes)</t>
  </si>
  <si>
    <t>Higiene e Copa</t>
  </si>
  <si>
    <t>Limpeza e Copeira</t>
  </si>
  <si>
    <t>Manutenção ar condicionado</t>
  </si>
  <si>
    <t>Manutenção do Escritório</t>
  </si>
  <si>
    <t>Manutenção do Jardim</t>
  </si>
  <si>
    <t>Material de Escritório</t>
  </si>
  <si>
    <t xml:space="preserve">Motoboy </t>
  </si>
  <si>
    <t>Táxi</t>
  </si>
  <si>
    <t>Consultoria</t>
  </si>
  <si>
    <t>Consultoria Adm. e Financeira</t>
  </si>
  <si>
    <t>Contabilidade BPO</t>
  </si>
  <si>
    <t>Contabilidade | Taxas e Obrigações Fiscais</t>
  </si>
  <si>
    <t>Escrituração fiscal e cetificado digital</t>
  </si>
  <si>
    <t xml:space="preserve">Consultoria em Marketing </t>
  </si>
  <si>
    <t>Salários Administração</t>
  </si>
  <si>
    <t>Salario ADM</t>
  </si>
  <si>
    <t>13º Salário - ADM</t>
  </si>
  <si>
    <t>Convênio Médico - ADM</t>
  </si>
  <si>
    <t xml:space="preserve">Exame médico </t>
  </si>
  <si>
    <t>FGTS</t>
  </si>
  <si>
    <t>Vale Refeição- ADM</t>
  </si>
  <si>
    <t>Assinaturas</t>
  </si>
  <si>
    <r>
      <t xml:space="preserve">Assinaturas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(AASP)</t>
    </r>
  </si>
  <si>
    <r>
      <t xml:space="preserve">Assinaturas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(The Economist)</t>
    </r>
  </si>
  <si>
    <r>
      <t xml:space="preserve">Assinaturas - </t>
    </r>
    <r>
      <rPr>
        <b/>
        <sz val="11"/>
        <rFont val="Aptos Narrow"/>
        <family val="2"/>
        <scheme val="minor"/>
      </rPr>
      <t>Arbitragem e Compliance</t>
    </r>
  </si>
  <si>
    <t>Assinaturas - Institucional (ADOBE e  Valor)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</si>
  <si>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(Canal Arbitragem e ICC)</t>
    </r>
  </si>
  <si>
    <r>
      <t xml:space="preserve">Associações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(Canal de arbitragem, ICC, IBRAC)</t>
    </r>
  </si>
  <si>
    <r>
      <t xml:space="preserve">Associações - </t>
    </r>
    <r>
      <rPr>
        <b/>
        <sz val="11"/>
        <rFont val="Aptos Narrow"/>
        <family val="2"/>
        <scheme val="minor"/>
      </rPr>
      <t>Arbitragem e Compliance</t>
    </r>
    <r>
      <rPr>
        <sz val="11"/>
        <rFont val="Aptos Narrow"/>
        <family val="2"/>
        <scheme val="minor"/>
      </rPr>
      <t xml:space="preserve"> (Canal de Arbitragem, ICC, CBAR)</t>
    </r>
  </si>
  <si>
    <t>Associações - Institucional</t>
  </si>
  <si>
    <t xml:space="preserve">Seguro </t>
  </si>
  <si>
    <t>Taxas / Despesas Financeiras</t>
  </si>
  <si>
    <t>Transação cambial</t>
  </si>
  <si>
    <t>Tarifas e Taxas Bancárias</t>
  </si>
  <si>
    <t>Investimentos em Prospecção</t>
  </si>
  <si>
    <r>
      <t xml:space="preserve">Refeições - </t>
    </r>
    <r>
      <rPr>
        <b/>
        <sz val="11"/>
        <rFont val="Aptos Narrow"/>
        <family val="2"/>
        <scheme val="minor"/>
      </rPr>
      <t>Institucional</t>
    </r>
  </si>
  <si>
    <r>
      <t xml:space="preserve">Refeições - </t>
    </r>
    <r>
      <rPr>
        <b/>
        <sz val="11"/>
        <rFont val="Aptos Narrow"/>
        <family val="2"/>
        <scheme val="minor"/>
      </rPr>
      <t>Arbitragem e Compliance</t>
    </r>
  </si>
  <si>
    <r>
      <t xml:space="preserve">Refeições - </t>
    </r>
    <r>
      <rPr>
        <b/>
        <sz val="11"/>
        <rFont val="Aptos Narrow"/>
        <family val="2"/>
        <scheme val="minor"/>
      </rPr>
      <t>Contencioso</t>
    </r>
  </si>
  <si>
    <r>
      <t xml:space="preserve">Refeições - </t>
    </r>
    <r>
      <rPr>
        <b/>
        <sz val="11"/>
        <rFont val="Aptos Narrow"/>
        <family val="2"/>
        <scheme val="minor"/>
      </rPr>
      <t>Direito Econômico</t>
    </r>
  </si>
  <si>
    <r>
      <t xml:space="preserve">Patrocinio de eventos - </t>
    </r>
    <r>
      <rPr>
        <b/>
        <sz val="11"/>
        <rFont val="Aptos Narrow"/>
        <family val="2"/>
        <scheme val="minor"/>
      </rPr>
      <t>Institucional</t>
    </r>
  </si>
  <si>
    <r>
      <t xml:space="preserve">Patrocinio de eventos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</si>
  <si>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Patrocinio de eventos - </t>
    </r>
    <r>
      <rPr>
        <b/>
        <sz val="11"/>
        <rFont val="Aptos Narrow"/>
        <family val="2"/>
        <scheme val="minor"/>
      </rPr>
      <t>Contencioso</t>
    </r>
  </si>
  <si>
    <r>
      <t xml:space="preserve">Patrocinio de eventos - </t>
    </r>
    <r>
      <rPr>
        <b/>
        <sz val="11"/>
        <rFont val="Aptos Narrow"/>
        <family val="2"/>
        <scheme val="minor"/>
      </rPr>
      <t>Direito Econômico</t>
    </r>
  </si>
  <si>
    <r>
      <t xml:space="preserve">Eventos e Happy hour - </t>
    </r>
    <r>
      <rPr>
        <b/>
        <sz val="11"/>
        <rFont val="Aptos Narrow"/>
        <family val="2"/>
        <scheme val="minor"/>
      </rPr>
      <t>Institucional</t>
    </r>
  </si>
  <si>
    <r>
      <t xml:space="preserve">Eventos e Happy hour - </t>
    </r>
    <r>
      <rPr>
        <b/>
        <sz val="11"/>
        <rFont val="Aptos Narrow"/>
        <family val="2"/>
        <scheme val="minor"/>
      </rPr>
      <t>Arbitragem e Compliance</t>
    </r>
  </si>
  <si>
    <r>
      <t xml:space="preserve">Eventos e Happy hour - </t>
    </r>
    <r>
      <rPr>
        <b/>
        <sz val="11"/>
        <rFont val="Aptos Narrow"/>
        <family val="2"/>
        <scheme val="minor"/>
      </rPr>
      <t>Contencioso</t>
    </r>
  </si>
  <si>
    <r>
      <t xml:space="preserve">Eventos e Happy hour - </t>
    </r>
    <r>
      <rPr>
        <b/>
        <sz val="11"/>
        <rFont val="Aptos Narrow"/>
        <family val="2"/>
        <scheme val="minor"/>
      </rPr>
      <t>Direito Econômico</t>
    </r>
  </si>
  <si>
    <r>
      <t xml:space="preserve">Material Grafico - </t>
    </r>
    <r>
      <rPr>
        <b/>
        <sz val="11"/>
        <rFont val="Aptos Narrow"/>
        <family val="2"/>
        <scheme val="minor"/>
      </rPr>
      <t>Institucional</t>
    </r>
  </si>
  <si>
    <r>
      <t xml:space="preserve">Material Grafico - </t>
    </r>
    <r>
      <rPr>
        <b/>
        <sz val="11"/>
        <rFont val="Aptos Narrow"/>
        <family val="2"/>
        <scheme val="minor"/>
      </rPr>
      <t>Arbitragem e Compliance</t>
    </r>
  </si>
  <si>
    <r>
      <t xml:space="preserve">Material Grafico - </t>
    </r>
    <r>
      <rPr>
        <b/>
        <sz val="11"/>
        <rFont val="Aptos Narrow"/>
        <family val="2"/>
        <scheme val="minor"/>
      </rPr>
      <t>Contencioso</t>
    </r>
  </si>
  <si>
    <r>
      <t xml:space="preserve">Material Grafico - </t>
    </r>
    <r>
      <rPr>
        <b/>
        <sz val="11"/>
        <rFont val="Aptos Narrow"/>
        <family val="2"/>
        <scheme val="minor"/>
      </rPr>
      <t>Direito Econômico</t>
    </r>
  </si>
  <si>
    <r>
      <t xml:space="preserve">Viagens - </t>
    </r>
    <r>
      <rPr>
        <b/>
        <sz val="11"/>
        <rFont val="Aptos Narrow"/>
        <family val="2"/>
        <scheme val="minor"/>
      </rPr>
      <t>Institucional</t>
    </r>
  </si>
  <si>
    <r>
      <t xml:space="preserve">Viagens - </t>
    </r>
    <r>
      <rPr>
        <b/>
        <sz val="11"/>
        <rFont val="Aptos Narrow"/>
        <family val="2"/>
        <scheme val="minor"/>
      </rPr>
      <t>Arbitragem e Compliance</t>
    </r>
  </si>
  <si>
    <r>
      <t xml:space="preserve">Viagens - </t>
    </r>
    <r>
      <rPr>
        <b/>
        <sz val="11"/>
        <rFont val="Aptos Narrow"/>
        <family val="2"/>
        <scheme val="minor"/>
      </rPr>
      <t>Contencioso</t>
    </r>
  </si>
  <si>
    <r>
      <t xml:space="preserve">Viagens - </t>
    </r>
    <r>
      <rPr>
        <b/>
        <sz val="11"/>
        <rFont val="Aptos Narrow"/>
        <family val="2"/>
        <scheme val="minor"/>
      </rPr>
      <t>Direito Econômico</t>
    </r>
  </si>
  <si>
    <t>Gestão do Conhecimento</t>
  </si>
  <si>
    <r>
      <t xml:space="preserve">Cursos e Treinamentos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</si>
  <si>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Cursos e Treinamentos - </t>
    </r>
    <r>
      <rPr>
        <b/>
        <sz val="11"/>
        <rFont val="Aptos Narrow"/>
        <family val="2"/>
        <scheme val="minor"/>
      </rPr>
      <t>Contencioso</t>
    </r>
  </si>
  <si>
    <r>
      <t xml:space="preserve">Cursos e Treinamentos - </t>
    </r>
    <r>
      <rPr>
        <b/>
        <sz val="11"/>
        <rFont val="Aptos Narrow"/>
        <family val="2"/>
        <scheme val="minor"/>
      </rPr>
      <t>Direito Econômico</t>
    </r>
  </si>
  <si>
    <t>Cursos e treinamentos - Institucional</t>
  </si>
  <si>
    <t>Manutenção Biblioteca</t>
  </si>
  <si>
    <t>Endomarketing</t>
  </si>
  <si>
    <t>Brinde Equipe</t>
  </si>
  <si>
    <t>Eventos Internos - Almoços - Confraternização Equipe</t>
  </si>
  <si>
    <t>Presentes / Incentivo MBC</t>
  </si>
  <si>
    <t xml:space="preserve">Impostos </t>
  </si>
  <si>
    <t>COFINS</t>
  </si>
  <si>
    <t>ISS</t>
  </si>
  <si>
    <t xml:space="preserve">PIS </t>
  </si>
  <si>
    <t>TFE</t>
  </si>
  <si>
    <t>E-social</t>
  </si>
  <si>
    <t xml:space="preserve">Informática </t>
  </si>
  <si>
    <t>Antivírus</t>
  </si>
  <si>
    <t>Data Center  (Oracle)</t>
  </si>
  <si>
    <t>Data Center  (Azure)</t>
  </si>
  <si>
    <t>Impressoras e Periféricos</t>
  </si>
  <si>
    <t>Inspira Tecnologia</t>
  </si>
  <si>
    <t>Licenças de Uso Microsoft  - Institucional</t>
  </si>
  <si>
    <t xml:space="preserve">Certificado SLL GO Daddy </t>
  </si>
  <si>
    <t>Suporte de Informática</t>
  </si>
  <si>
    <t>Suporte Juritis</t>
  </si>
  <si>
    <t>Sistema Juridico</t>
  </si>
  <si>
    <t>Microcomputadores / Servidores</t>
  </si>
  <si>
    <t>Distribuição de Lucros extras</t>
  </si>
  <si>
    <t>Bônus equipe</t>
  </si>
  <si>
    <t>DL excedente dos sócios</t>
  </si>
  <si>
    <t xml:space="preserve">DL Extraordinaria </t>
  </si>
  <si>
    <t>DL excedente MV</t>
  </si>
  <si>
    <t>Repasse Cacione</t>
  </si>
  <si>
    <t>Total saídas</t>
  </si>
  <si>
    <t>Despesas Institucional</t>
  </si>
  <si>
    <t>Investimentos Institucional</t>
  </si>
  <si>
    <t>Imposto</t>
  </si>
  <si>
    <t>Despesas Totais das Areas</t>
  </si>
  <si>
    <t>Despesas Área:</t>
  </si>
  <si>
    <t>Orçado Anual</t>
  </si>
  <si>
    <t>Contencioso</t>
  </si>
  <si>
    <t>Econômico</t>
  </si>
  <si>
    <t>Arbitragem e Compliance</t>
  </si>
  <si>
    <t>Investimentos Área:</t>
  </si>
  <si>
    <t>DRE</t>
  </si>
  <si>
    <t xml:space="preserve">             Resultado  Institucional</t>
  </si>
  <si>
    <t>Orçado</t>
  </si>
  <si>
    <t xml:space="preserve">Faturamento </t>
  </si>
  <si>
    <t xml:space="preserve">Despesas </t>
  </si>
  <si>
    <t>Custos Diretos</t>
  </si>
  <si>
    <t>Despesas Indiretas</t>
  </si>
  <si>
    <t xml:space="preserve">Administrativas </t>
  </si>
  <si>
    <t>Resultado Bruto</t>
  </si>
  <si>
    <t>Margem de bruta</t>
  </si>
  <si>
    <t>Impostos</t>
  </si>
  <si>
    <t>Resultado Liquido após impostos</t>
  </si>
  <si>
    <t>Margem liquida</t>
  </si>
  <si>
    <t>Reserva bônus</t>
  </si>
  <si>
    <t>Rentabilidade</t>
  </si>
  <si>
    <t>JANEIRO</t>
  </si>
  <si>
    <t>DESPESAS RATEADAS</t>
  </si>
  <si>
    <t>Rateio anual</t>
  </si>
  <si>
    <t>Total das Áreas</t>
  </si>
  <si>
    <t>Realizado</t>
  </si>
  <si>
    <t>Minimo de receita</t>
  </si>
  <si>
    <t>Equipe</t>
  </si>
  <si>
    <t>Margem Liq.</t>
  </si>
  <si>
    <t>Investimento amortizaçao</t>
  </si>
  <si>
    <t>Economico</t>
  </si>
  <si>
    <t>Arbitragem</t>
  </si>
  <si>
    <t>ANUAL</t>
  </si>
  <si>
    <t xml:space="preserve">Janeiro </t>
  </si>
  <si>
    <t xml:space="preserve">Março </t>
  </si>
  <si>
    <t xml:space="preserve">Abril </t>
  </si>
  <si>
    <t xml:space="preserve">Julho </t>
  </si>
  <si>
    <t xml:space="preserve">Setembro </t>
  </si>
  <si>
    <t xml:space="preserve">Novembro </t>
  </si>
  <si>
    <t>Daniel Costa Caselta - AASP</t>
  </si>
  <si>
    <t xml:space="preserve">João Victor Santos de Oliveira - Bolsa auxilio / IR Estagiários </t>
  </si>
  <si>
    <t>João Victor Santos de Oliveira - 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</si>
  <si>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Contencioso</t>
    </r>
  </si>
  <si>
    <t>Repasse - Contencioso</t>
  </si>
  <si>
    <t>Victoria Malta Corradini - Convenio Medico</t>
  </si>
  <si>
    <t>ISS - Trimestral</t>
  </si>
  <si>
    <t>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</si>
  <si>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Economico</t>
    </r>
  </si>
  <si>
    <t>Repasse - Economico</t>
  </si>
  <si>
    <t>Emilly Kauany Martins Calixto - Ajuda de Custo VR</t>
  </si>
  <si>
    <t>Emilly Kauany Martins Calixto - Convenio medico</t>
  </si>
  <si>
    <t>Emilly Kauany Martins Calixto - Distribuição Mensal Fixa</t>
  </si>
  <si>
    <t>Emilly Kauany Martins Calixto - Pro Labore</t>
  </si>
  <si>
    <t>Joao Gabriel Previero de Arruda Sampaio - Convenio Medico</t>
  </si>
  <si>
    <t>Joao Gabriel Previero de Arruda Sampaio - Distribuição Mensal Fixa</t>
  </si>
  <si>
    <r>
      <t>Participação/comissão - A</t>
    </r>
    <r>
      <rPr>
        <b/>
        <sz val="11"/>
        <rFont val="Aptos Narrow"/>
        <family val="2"/>
        <scheme val="minor"/>
      </rPr>
      <t>rbitragem</t>
    </r>
  </si>
  <si>
    <t>Repasse - Arbitragem</t>
  </si>
  <si>
    <t>Camera Ed. Lacerda</t>
  </si>
  <si>
    <t>Limpeza e Copeira - Serviço Terceirizado</t>
  </si>
  <si>
    <t>Material de Higiene e Copa</t>
  </si>
  <si>
    <t>OAB / CS</t>
  </si>
  <si>
    <t>Contabilidade</t>
  </si>
  <si>
    <t>Férias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</si>
  <si>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(Canal Arbitragem, ICC e IBRAC)</t>
    </r>
  </si>
  <si>
    <t>Seguro de Responsabilidade Civil</t>
  </si>
  <si>
    <t>Biblioteca</t>
  </si>
  <si>
    <t>CSLL Trimestral</t>
  </si>
  <si>
    <t>Impostos 3ºs</t>
  </si>
  <si>
    <t>INSS Folha e Pro - Labores</t>
  </si>
  <si>
    <t>IRRF Folha</t>
  </si>
  <si>
    <t>IRRF Trimestral</t>
  </si>
  <si>
    <t>ISS 3ºs</t>
  </si>
  <si>
    <t>Licenças de Uso de Software  - Institucional</t>
  </si>
  <si>
    <t>Gravaçao na Nuvem - anual</t>
  </si>
  <si>
    <t>Suporte Totvs</t>
  </si>
  <si>
    <t>DRE 2025</t>
  </si>
  <si>
    <t>CHECK</t>
  </si>
  <si>
    <t>Variação Mensal</t>
  </si>
  <si>
    <t>Orçado YTG</t>
  </si>
  <si>
    <t>Orçado YTD</t>
  </si>
  <si>
    <t>Variação</t>
  </si>
  <si>
    <t>YTG</t>
  </si>
  <si>
    <t xml:space="preserve">Receita </t>
  </si>
  <si>
    <t>Investimento amortização</t>
  </si>
  <si>
    <t xml:space="preserve">Bonus </t>
  </si>
  <si>
    <t>Resultado Contencioso</t>
  </si>
  <si>
    <t>Desvio%</t>
  </si>
  <si>
    <t xml:space="preserve">Custo Equipe </t>
  </si>
  <si>
    <t>Despesas Equipe</t>
  </si>
  <si>
    <t xml:space="preserve"> Resultado Econômico</t>
  </si>
  <si>
    <t xml:space="preserve"> Resultado Arbitragem</t>
  </si>
  <si>
    <t xml:space="preserve">Despesas Institucional </t>
  </si>
  <si>
    <t xml:space="preserve">Orçado </t>
  </si>
  <si>
    <t>Custo equipe</t>
  </si>
  <si>
    <t>Resultado Liquido</t>
  </si>
  <si>
    <t>Comissão</t>
  </si>
  <si>
    <t>Despesa Institucional</t>
  </si>
  <si>
    <t>Fatura</t>
  </si>
  <si>
    <t>Nº</t>
  </si>
  <si>
    <t>Cliente</t>
  </si>
  <si>
    <t>Caso</t>
  </si>
  <si>
    <t>Advogado</t>
  </si>
  <si>
    <t>Valor</t>
  </si>
  <si>
    <t>Area Originador</t>
  </si>
  <si>
    <t>DT Receb</t>
  </si>
  <si>
    <t>Valor a Creditar</t>
  </si>
  <si>
    <t>Area Destino</t>
  </si>
  <si>
    <t>saida</t>
  </si>
  <si>
    <t>entrada</t>
  </si>
  <si>
    <t>Atems</t>
  </si>
  <si>
    <t>Ream - Trabalhos Adicionais</t>
  </si>
  <si>
    <t>ASG</t>
  </si>
  <si>
    <t>Consolidado</t>
  </si>
  <si>
    <t>Area Origem (saida)</t>
  </si>
  <si>
    <t>Area Destino (Entrada)</t>
  </si>
  <si>
    <t>BBX</t>
  </si>
  <si>
    <t>BMP</t>
  </si>
  <si>
    <t>DC</t>
  </si>
  <si>
    <t>RB</t>
  </si>
  <si>
    <t>VC</t>
  </si>
  <si>
    <t>Area Origem</t>
  </si>
  <si>
    <t>MÊS</t>
  </si>
  <si>
    <t>Total Fatura</t>
  </si>
  <si>
    <t>Recebido</t>
  </si>
  <si>
    <t>White Martins</t>
  </si>
  <si>
    <t>Ato de Concentração - Projeto CSA</t>
  </si>
  <si>
    <t>IAC</t>
  </si>
  <si>
    <t>Deere</t>
  </si>
  <si>
    <t>Projeto Santos</t>
  </si>
  <si>
    <t>JGS</t>
  </si>
  <si>
    <t>MV</t>
  </si>
  <si>
    <t>10% Comiss</t>
  </si>
  <si>
    <t>Dascher</t>
  </si>
  <si>
    <t>Administrative Proceeding nº 08012.001183/2009-08 - Freight Forwarding</t>
  </si>
  <si>
    <t>FMF</t>
  </si>
  <si>
    <t>Meu Financiamento Solar</t>
  </si>
  <si>
    <t>Notificação de operação ao CADE | Projeto Parker</t>
  </si>
  <si>
    <t>AM</t>
  </si>
  <si>
    <t>Valor Comissao</t>
  </si>
  <si>
    <t>MS ANP - Cessão de Bases</t>
  </si>
  <si>
    <t>JCT</t>
  </si>
  <si>
    <t>John Deere Brasil</t>
  </si>
  <si>
    <t>Consultas Diversas</t>
  </si>
  <si>
    <t>Pré-contencioso - Contrato de Distribuição Rota Oeste</t>
  </si>
  <si>
    <t>Project South</t>
  </si>
  <si>
    <t>Engelog</t>
  </si>
  <si>
    <t>Elaboração de Protocolo Antitruste</t>
  </si>
  <si>
    <t>EHF</t>
  </si>
  <si>
    <t xml:space="preserve">Silvia Figueiredo </t>
  </si>
  <si>
    <t>Ação Civil Pública - Reserva Legal e APP</t>
  </si>
  <si>
    <t>contencioso para arbitragem</t>
  </si>
  <si>
    <t>Deere &amp; Company</t>
  </si>
  <si>
    <t>3</t>
  </si>
  <si>
    <t>Project North</t>
  </si>
  <si>
    <t>arbitragem para o contencioso</t>
  </si>
  <si>
    <t>Hunter Douglas do Brasil</t>
  </si>
  <si>
    <t>Contrato de Credenciamento de Revenda</t>
  </si>
  <si>
    <t>Consolidado Comissão</t>
  </si>
  <si>
    <t>Núm. Fat.</t>
  </si>
  <si>
    <t>Cód. Cliente</t>
  </si>
  <si>
    <t>Razão Social Cliente</t>
  </si>
  <si>
    <t>Nome do caso</t>
  </si>
  <si>
    <t>Data Pagto/Canc.</t>
  </si>
  <si>
    <t>Valor Original Hon.</t>
  </si>
  <si>
    <t>Valor Líquido</t>
  </si>
  <si>
    <t>Sócio Responsável</t>
  </si>
  <si>
    <t>White Martins Gases Industriais Ltda.</t>
  </si>
  <si>
    <t>1</t>
  </si>
  <si>
    <t xml:space="preserve">Ato de Concentração - Projeto CSA </t>
  </si>
  <si>
    <t xml:space="preserve">Contencioso </t>
  </si>
  <si>
    <t>Ambev S.A.</t>
  </si>
  <si>
    <t>16</t>
  </si>
  <si>
    <t>Arbitragem Projeto Morgan</t>
  </si>
  <si>
    <t>Arcos Dourados Comercio de Alimentos Ltda</t>
  </si>
  <si>
    <t>Representação da Arcos Dourados em dois Inquéritos Administrativos em curso no Cade</t>
  </si>
  <si>
    <t>(Contrato Fixo) - Mandados de Segurança - TRF1</t>
  </si>
  <si>
    <t>VLI Multimodal S.A</t>
  </si>
  <si>
    <t>6 - (Contrato Fixo)  Cautelar Dragagem MPF e MPSP / 8 - (Contrato Fixo) - Ação Ordinária ANTAQ / 12 - (Contrato Fixo) - Ação Judicial - Cobrança Multa Contratual Valec  / 50 - Ação Civil Pública - Cava</t>
  </si>
  <si>
    <t>Renewal Pharma Brasil Royalties Ltda.</t>
  </si>
  <si>
    <t>Farmacia Artesanal - Injunction and Arbitration</t>
  </si>
  <si>
    <t>Companhia Brasileira de Distribuição - GPA</t>
  </si>
  <si>
    <t>Secondment GPA - Compliance</t>
  </si>
  <si>
    <t>Transocean Brasil Ltda.</t>
  </si>
  <si>
    <t>Ação Civil Pública FUP</t>
  </si>
  <si>
    <t>Atem's Distribuidora De Petróleo S.A.</t>
  </si>
  <si>
    <t>9</t>
  </si>
  <si>
    <t>Cade - Cumprimento ACC</t>
  </si>
  <si>
    <t>10</t>
  </si>
  <si>
    <t>Questionamentos MME</t>
  </si>
  <si>
    <t>KCI Brazil Holdings LLC</t>
  </si>
  <si>
    <t>1 - PA Mercado de Trabalho - Ferreira / 2-PA Mercado de Trabalho - Garcia / 3 - PA Mercado de Trabalho - Silva</t>
  </si>
  <si>
    <t>12</t>
  </si>
  <si>
    <t>Consultas diversas - Navemazônia Navegação Ltda</t>
  </si>
  <si>
    <t>17</t>
  </si>
  <si>
    <t>Notificação de Operação ao CADE | Operação WPL</t>
  </si>
  <si>
    <t>Cansford Associates Limited</t>
  </si>
  <si>
    <t>AMCHAM 156</t>
  </si>
  <si>
    <t>Companhia Ultragaz S.A.</t>
  </si>
  <si>
    <t>Trustee AC Ultragaz Supergasbras</t>
  </si>
  <si>
    <t>Paulo Kopenhagen Goldfinger</t>
  </si>
  <si>
    <t>Contrato Padrão Judicial - Fixo acompanhamento mensal (Brascan Allpark)</t>
  </si>
  <si>
    <t>Solange Queiroz Ramiro Costa</t>
  </si>
  <si>
    <t>5</t>
  </si>
  <si>
    <t>Consultas Gerais</t>
  </si>
  <si>
    <t>Dionatan Meira</t>
  </si>
  <si>
    <t>Sol Da Costa Gestão Patrimonial S.A</t>
  </si>
  <si>
    <t>Locação Comercial Pinheiros - SCGP</t>
  </si>
  <si>
    <t>Sherwin-Williams do Brasil Indústria e Comércio Ltda.</t>
  </si>
  <si>
    <t>4 - (Contrato Fixo) - Ação de Cobrança - Renato Vaz de Mello - Acompanhamento Processual / 7-(Contrato Fixo) - Ação de Cobrança - ARG Representações - Acompanhamento Processual /9-(Contrato Fixo) - Ação de Cobrança - Matos &amp; Alves Representações Ltda. ME - Acompanhamento Processual /11-(Contrato Fixo) - Ação de Cobrança - CRB Representações Ltda. - Acompanhamento Processual / 13 - (Contrato Fixo) - Ação de Cobrança - Uelton Antonio Benfica e Cia Ltda. ME - Acompanhamento Processual / 16 - (Contrato Fixo) Ação de Cobrança - Wellington Aparecido de Carvalho - Acompanhamento</t>
  </si>
  <si>
    <t>Rodrigo Cantusio Segurado</t>
  </si>
  <si>
    <t>2</t>
  </si>
  <si>
    <t xml:space="preserve">Sobrepartilha </t>
  </si>
  <si>
    <t>Eólica Serra Das Vacas Vii S.A.</t>
  </si>
  <si>
    <t>Ação Indenizatória Neo Energia</t>
  </si>
  <si>
    <t>4</t>
  </si>
  <si>
    <t>Ação judicial (Powertech/Sabbá) - Trabalhos adicionais</t>
  </si>
  <si>
    <t>Alexandre Gossn Barreto</t>
  </si>
  <si>
    <t>03</t>
  </si>
  <si>
    <t>JusInvest - produção antecipada de provas</t>
  </si>
  <si>
    <t>6 - (Contrato Fixo)  Cautelar Dragagem MPF e MPSP / 8 - (Contrato Fixo) - Ação Ordinária ANTAQ /  50 - Ação Civil Pública - Cava</t>
  </si>
  <si>
    <t>Antonio Jose Pereira Lyra</t>
  </si>
  <si>
    <t>Assuntos pessoais Antonio Lyra</t>
  </si>
  <si>
    <t>04</t>
  </si>
  <si>
    <t>Jusinvest - Ação ordinária</t>
  </si>
  <si>
    <t>Dachser SE</t>
  </si>
  <si>
    <t>Appeal Brazilian Court</t>
  </si>
  <si>
    <t>Spotify Technology S.A</t>
  </si>
  <si>
    <t>CADE – Mercado Livre Complaint</t>
  </si>
  <si>
    <t>Boehringer Ingelheim Corporate Center GmbH</t>
  </si>
  <si>
    <t>Hellmuth Spoennemann - Boehringer Ingelheim</t>
  </si>
  <si>
    <t>29</t>
  </si>
  <si>
    <t>Resposta a Ofício - Ato de Concentração nº 08700.008863/2024-25</t>
  </si>
  <si>
    <t>Nova Mata Agropecuária e Imobiliária Ltda</t>
  </si>
  <si>
    <t>João Ulisses Monti</t>
  </si>
  <si>
    <t>Casa Blanca Agropecuária e Imobiliária Ltda</t>
  </si>
  <si>
    <t>[Casa Blanca] Ação judicial - Corretores de Imóvel</t>
  </si>
  <si>
    <t>Itaú Unibanco S.A.</t>
  </si>
  <si>
    <t>Notificação de Operação ao CADE | Cambur - Rua das Palmeiras</t>
  </si>
  <si>
    <t>Visita Presencial nas bases das Compromissárias</t>
  </si>
  <si>
    <t>Rafael Pullen Parente</t>
  </si>
  <si>
    <t>Ação de Cobrança</t>
  </si>
  <si>
    <t>Gordilho Napolitano Advogados Associados</t>
  </si>
  <si>
    <t>Procedimento Arbitral - Guaçu</t>
  </si>
  <si>
    <t>CADE – Ayden/Safra Administrative Inquiry - Response to CADE's Questionnaire</t>
  </si>
  <si>
    <t>Antonio Cleidenir Tonico Ramos</t>
  </si>
  <si>
    <t>Representação MPSP - Fundacao Arnaldo Vieira de Carvalho</t>
  </si>
  <si>
    <t>John Deere Brasil Ltda.</t>
  </si>
  <si>
    <t xml:space="preserve">Consultas Diversas </t>
  </si>
  <si>
    <t>Orizon Valorização de Resíduos S.A</t>
  </si>
  <si>
    <t>Wald, Antunes, Vita e Blattner Advogados</t>
  </si>
  <si>
    <t>Operação Cade - Projeto Onda - Por horas</t>
  </si>
  <si>
    <t>Zetta</t>
  </si>
  <si>
    <t>Audiência Pública Cade - Contribuições escritas e oral</t>
  </si>
  <si>
    <t>Samarco Mineração S.A.</t>
  </si>
  <si>
    <t>8</t>
  </si>
  <si>
    <t>Consultoria - Direito Concorrencial e Antitruste</t>
  </si>
  <si>
    <t>Falência/Inventário - Providências</t>
  </si>
  <si>
    <t>Consultoria - Compliance</t>
  </si>
  <si>
    <t>O Estado de S. Paulo S.A</t>
  </si>
  <si>
    <t>Ação RG da Rocha</t>
  </si>
  <si>
    <t>6</t>
  </si>
  <si>
    <t>Consultas</t>
  </si>
  <si>
    <t>3 - Consultas Gerais / 5 - João Ulisses Monti</t>
  </si>
  <si>
    <t>15</t>
  </si>
  <si>
    <t>Pleitos de Acesso ao TUP RefMan</t>
  </si>
  <si>
    <t>Assessoria e Monitoramento (Etapa 3) - Cade</t>
  </si>
  <si>
    <t>Execução fiadores - Décio Gardel</t>
  </si>
  <si>
    <t>Meu Financiamento Solar Ltda.</t>
  </si>
  <si>
    <t>CanadaHRT Brasil Royalties Ltda.</t>
  </si>
  <si>
    <t>CAMES: Anulatória Sentença Arbitral</t>
  </si>
  <si>
    <t>Fornecedora Engelog Locações E Serviços LTDA</t>
  </si>
  <si>
    <t xml:space="preserve">Elaboração de Protocolo Antitruste </t>
  </si>
  <si>
    <t>Dr. Consulta Centro Médico Ltda</t>
  </si>
  <si>
    <t>Resposta ao Ofício nº 1275/2025</t>
  </si>
  <si>
    <t>[Casa Blanca] -Consultas Gerais</t>
  </si>
  <si>
    <t>CADE_x001F__x001F_-UBEM Administrative Proceeding</t>
  </si>
  <si>
    <t>Robert Bosch Ltda</t>
  </si>
  <si>
    <t>Avaliação de Risco Concorrencial</t>
  </si>
  <si>
    <t>Luciana Faria Nascimento Belli</t>
  </si>
  <si>
    <t>Despejo Madre Teodora</t>
  </si>
  <si>
    <t>6,8,50</t>
  </si>
  <si>
    <t>11</t>
  </si>
  <si>
    <t xml:space="preserve">Sherwin-Williams do Brasil Indústria e Comércio </t>
  </si>
  <si>
    <t>4,7,9,11,13,16</t>
  </si>
  <si>
    <t>Nova Mata Agropecuária e Imobiliária Ltda.</t>
  </si>
  <si>
    <t>3,5</t>
  </si>
  <si>
    <t>1,2,3</t>
  </si>
  <si>
    <t>Orizon Meio Ambiente</t>
  </si>
  <si>
    <t>Due Diligence</t>
  </si>
  <si>
    <t>Spotify A.B</t>
  </si>
  <si>
    <t>Supergasbras Energia Ltda</t>
  </si>
  <si>
    <t>Sottopelle Brasil S.A</t>
  </si>
  <si>
    <t>Silvia Figueiredo de Mello Barros e Outros</t>
  </si>
  <si>
    <t>Ação Coletiva - Associação de Hospitais de MG</t>
  </si>
  <si>
    <t>Companhia Brasileira de Distribuição</t>
  </si>
  <si>
    <t>Consultas Compliance</t>
  </si>
  <si>
    <t>Sherwin-Williams do Brasil Indústria e Comércio Ltda. Sherwin-Williams do Brasil Indústria e Comérc</t>
  </si>
  <si>
    <t>Agência Estado S.A.</t>
  </si>
  <si>
    <t>Consultas - Direito da Concorrência</t>
  </si>
  <si>
    <t>Nu Pagamentos S.A. - Instituição de Pagamento</t>
  </si>
  <si>
    <t>CADE – Resposta Ofício - Inquérito Administrativo (Apple ATT)</t>
  </si>
  <si>
    <t>Ato de Concentração - Armac/Fornecedora</t>
  </si>
  <si>
    <t>Agropecuária Sol da Costa S.A</t>
  </si>
  <si>
    <t>Parceria SJC</t>
  </si>
  <si>
    <t>Competition analysis and comments on Bill No. 4,675/2025</t>
  </si>
  <si>
    <t>Consulta - Programa Protect</t>
  </si>
  <si>
    <t>Movilway Payment Ltda</t>
  </si>
  <si>
    <t>Notificação CADE Movilway II</t>
  </si>
  <si>
    <t>Hunter Douglas do Brasil LTDA</t>
  </si>
  <si>
    <t>Contrato Montasul</t>
  </si>
  <si>
    <t>8,50</t>
  </si>
  <si>
    <t xml:space="preserve"> 8 - (Contrato Fixo) - Ação Ordinária ANTAQ /  50 - Ação Civil Pública - Cava</t>
  </si>
  <si>
    <t>Maristela Haddad Andraus De Oliveira</t>
  </si>
  <si>
    <t>Contratos Grune - Eucaliptos</t>
  </si>
  <si>
    <t>Cristina Pisaneschi Azevedo</t>
  </si>
  <si>
    <t>Abril Comunicações S.A.</t>
  </si>
  <si>
    <t>Ação de Obrigação de Fazer - Gaia</t>
  </si>
  <si>
    <t>Acumulado Maio</t>
  </si>
  <si>
    <t>Total</t>
  </si>
  <si>
    <t>Mensal</t>
  </si>
  <si>
    <t>parcela 1/60</t>
  </si>
  <si>
    <t>Acumulado Junho</t>
  </si>
  <si>
    <t>parcela 2/60</t>
  </si>
  <si>
    <t>Acumulado Julho</t>
  </si>
  <si>
    <t>parcela 3/60</t>
  </si>
  <si>
    <t>Acumulado Agosto</t>
  </si>
  <si>
    <t>parcela 4/60</t>
  </si>
  <si>
    <t>Acumulado Setembro</t>
  </si>
  <si>
    <t>parcela 5/60</t>
  </si>
  <si>
    <t>Acumulado Outubro</t>
  </si>
  <si>
    <t>parcela 6/60</t>
  </si>
  <si>
    <t>Acumulado Novembro</t>
  </si>
  <si>
    <t>parcela 7/60</t>
  </si>
  <si>
    <t>Acumulado Dezembro</t>
  </si>
  <si>
    <t>parcela 8/60</t>
  </si>
  <si>
    <t>Acumulado Janeiro</t>
  </si>
  <si>
    <t xml:space="preserve">-   </t>
  </si>
  <si>
    <t>parcela 09/60</t>
  </si>
  <si>
    <t>Mês</t>
  </si>
  <si>
    <t xml:space="preserve">Parcela </t>
  </si>
  <si>
    <t>Valor Institucional</t>
  </si>
  <si>
    <t>Andrielly da Silva Gonsalves - Subsidio de Pós</t>
  </si>
  <si>
    <t>Andrielly da Silva Gonsalves -  Reajuste de Distribuição Mensal Fixa</t>
  </si>
  <si>
    <t xml:space="preserve">Joao Gabriel Previero de Arruda Sampaio - </t>
  </si>
  <si>
    <t>Aurelio Marchini Santos- AASP</t>
  </si>
  <si>
    <t>Mapa Capital Participações e Consultoria Ltda</t>
  </si>
  <si>
    <t>contencioso</t>
  </si>
  <si>
    <t>18</t>
  </si>
  <si>
    <t>1,2</t>
  </si>
  <si>
    <t>19</t>
  </si>
  <si>
    <t>Consulta Econômico e Lei Ferrari - Parceria MWM – Tupy do Brasil Ltda.</t>
  </si>
  <si>
    <t>Investigação antidumping - Pneus Agrícolas</t>
  </si>
  <si>
    <t>[Casa Blanca] Ação judicial - Corretores de Imóvel/[Casa Blanca] -Consultas Gerais</t>
  </si>
  <si>
    <t>Arbitragem CMA 918-P</t>
  </si>
  <si>
    <t>Notificação de operação ao CADE | Plural Care</t>
  </si>
  <si>
    <t>Consolidado Alocação</t>
  </si>
  <si>
    <t>Pessoal</t>
  </si>
  <si>
    <t>TI</t>
  </si>
  <si>
    <t>Prospecção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</si>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</sst>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#,##0_ ;[Red]\-#,##0\ "/>
    <numFmt numFmtId="168" formatCode="mmmm/yyyy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b/>
      <sz val="14"/>
      <color indexed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</font>
    <font>
      <b/>
      <sz val="14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7">
    <border>
      <left/>
      <right/>
      <top/>
      <bottom/>
      <diagonal/>
    </border>
    <border>
      <left style="thin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ck">
        <color rgb="FFFFFF00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rgb="FFFFC000"/>
      </top>
      <bottom style="medium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/>
      <top/>
      <bottom style="medium">
        <color rgb="FFFFC000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rgb="FFFFC000"/>
      </left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572F"/>
      </bottom>
      <diagonal/>
    </border>
    <border>
      <left style="thin">
        <color auto="1"/>
      </left>
      <right style="thin">
        <color auto="1"/>
      </right>
      <top/>
      <bottom style="thick">
        <color rgb="FFFF57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rgb="FFFFC000"/>
      </left>
      <right/>
      <top/>
      <bottom style="medium">
        <color indexed="64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FFC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rgb="FFFF0000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>
      <alignment wrapText="1"/>
    </xf>
    <xf numFmtId="0" fontId="1" fillId="0" borderId="0"/>
    <xf numFmtId="9" fontId="2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>
      <alignment wrapText="1"/>
    </xf>
    <xf numFmtId="0" fontId="39" fillId="0" borderId="0">
      <alignment wrapText="1"/>
    </xf>
  </cellStyleXfs>
  <cellXfs count="664">
    <xf numFmtId="0" fontId="0" fillId="0" borderId="0" xfId="0"/>
    <xf numFmtId="166" fontId="0" fillId="0" borderId="0" xfId="0" applyNumberFormat="1"/>
    <xf numFmtId="165" fontId="0" fillId="3" borderId="0" xfId="0" applyNumberFormat="1" applyFill="1" applyAlignment="1">
      <alignment vertical="center"/>
    </xf>
    <xf numFmtId="165" fontId="6" fillId="3" borderId="0" xfId="1" applyNumberFormat="1" applyFont="1" applyFill="1" applyBorder="1" applyAlignment="1">
      <alignment horizontal="right" vertical="center"/>
    </xf>
    <xf numFmtId="165" fontId="6" fillId="3" borderId="0" xfId="1" applyNumberFormat="1" applyFont="1" applyFill="1" applyBorder="1" applyAlignment="1">
      <alignment vertical="center"/>
    </xf>
    <xf numFmtId="10" fontId="0" fillId="0" borderId="0" xfId="0" applyNumberFormat="1"/>
    <xf numFmtId="0" fontId="0" fillId="3" borderId="1" xfId="0" applyFill="1" applyBorder="1"/>
    <xf numFmtId="0" fontId="0" fillId="3" borderId="4" xfId="0" applyFill="1" applyBorder="1"/>
    <xf numFmtId="164" fontId="0" fillId="3" borderId="5" xfId="1" applyFont="1" applyFill="1" applyBorder="1"/>
    <xf numFmtId="0" fontId="4" fillId="3" borderId="10" xfId="0" applyFont="1" applyFill="1" applyBorder="1"/>
    <xf numFmtId="164" fontId="4" fillId="3" borderId="11" xfId="1" applyFont="1" applyFill="1" applyBorder="1"/>
    <xf numFmtId="0" fontId="0" fillId="3" borderId="7" xfId="0" applyFill="1" applyBorder="1"/>
    <xf numFmtId="164" fontId="0" fillId="3" borderId="8" xfId="1" applyFont="1" applyFill="1" applyBorder="1"/>
    <xf numFmtId="165" fontId="7" fillId="0" borderId="27" xfId="1" applyNumberFormat="1" applyFont="1" applyFill="1" applyBorder="1" applyAlignment="1">
      <alignment horizontal="left" vertical="center"/>
    </xf>
    <xf numFmtId="165" fontId="7" fillId="0" borderId="25" xfId="1" applyNumberFormat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vertical="center"/>
    </xf>
    <xf numFmtId="165" fontId="5" fillId="4" borderId="0" xfId="0" applyNumberFormat="1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vertical="center"/>
    </xf>
    <xf numFmtId="165" fontId="0" fillId="0" borderId="36" xfId="0" applyNumberFormat="1" applyBorder="1" applyAlignment="1">
      <alignment horizontal="center"/>
    </xf>
    <xf numFmtId="165" fontId="0" fillId="0" borderId="36" xfId="0" applyNumberFormat="1" applyBorder="1"/>
    <xf numFmtId="165" fontId="5" fillId="4" borderId="35" xfId="0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0" borderId="35" xfId="0" applyNumberFormat="1" applyBorder="1"/>
    <xf numFmtId="165" fontId="0" fillId="0" borderId="0" xfId="0" applyNumberFormat="1" applyAlignment="1">
      <alignment vertical="center"/>
    </xf>
    <xf numFmtId="165" fontId="6" fillId="3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5" fontId="5" fillId="3" borderId="0" xfId="0" applyNumberFormat="1" applyFont="1" applyFill="1" applyAlignment="1">
      <alignment horizontal="left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5" fillId="3" borderId="0" xfId="0" applyNumberFormat="1" applyFont="1" applyFill="1" applyAlignment="1">
      <alignment horizontal="right" vertical="center"/>
    </xf>
    <xf numFmtId="165" fontId="6" fillId="3" borderId="0" xfId="1" applyNumberFormat="1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6" fillId="9" borderId="0" xfId="0" applyNumberFormat="1" applyFont="1" applyFill="1" applyAlignment="1">
      <alignment vertical="center"/>
    </xf>
    <xf numFmtId="165" fontId="0" fillId="9" borderId="35" xfId="0" applyNumberFormat="1" applyFill="1" applyBorder="1" applyAlignment="1">
      <alignment horizontal="center"/>
    </xf>
    <xf numFmtId="165" fontId="0" fillId="9" borderId="36" xfId="0" applyNumberFormat="1" applyFill="1" applyBorder="1" applyAlignment="1">
      <alignment horizontal="center"/>
    </xf>
    <xf numFmtId="165" fontId="0" fillId="9" borderId="36" xfId="0" applyNumberFormat="1" applyFill="1" applyBorder="1"/>
    <xf numFmtId="165" fontId="0" fillId="9" borderId="0" xfId="0" applyNumberFormat="1" applyFill="1" applyAlignment="1">
      <alignment vertical="center"/>
    </xf>
    <xf numFmtId="165" fontId="6" fillId="9" borderId="0" xfId="0" applyNumberFormat="1" applyFont="1" applyFill="1" applyAlignment="1">
      <alignment horizontal="right" vertical="center"/>
    </xf>
    <xf numFmtId="165" fontId="6" fillId="10" borderId="0" xfId="0" applyNumberFormat="1" applyFont="1" applyFill="1" applyAlignment="1">
      <alignment horizontal="right" vertical="center"/>
    </xf>
    <xf numFmtId="165" fontId="6" fillId="10" borderId="0" xfId="0" applyNumberFormat="1" applyFont="1" applyFill="1" applyAlignment="1">
      <alignment vertical="center"/>
    </xf>
    <xf numFmtId="165" fontId="0" fillId="10" borderId="36" xfId="0" applyNumberFormat="1" applyFill="1" applyBorder="1" applyAlignment="1">
      <alignment horizontal="center"/>
    </xf>
    <xf numFmtId="165" fontId="0" fillId="10" borderId="36" xfId="0" applyNumberFormat="1" applyFill="1" applyBorder="1"/>
    <xf numFmtId="165" fontId="0" fillId="10" borderId="0" xfId="0" applyNumberFormat="1" applyFill="1" applyAlignment="1">
      <alignment vertical="center"/>
    </xf>
    <xf numFmtId="165" fontId="6" fillId="11" borderId="0" xfId="0" applyNumberFormat="1" applyFont="1" applyFill="1" applyAlignment="1">
      <alignment horizontal="right" vertical="center"/>
    </xf>
    <xf numFmtId="165" fontId="6" fillId="11" borderId="0" xfId="0" applyNumberFormat="1" applyFont="1" applyFill="1" applyAlignment="1">
      <alignment vertical="center"/>
    </xf>
    <xf numFmtId="165" fontId="0" fillId="11" borderId="36" xfId="0" applyNumberFormat="1" applyFill="1" applyBorder="1" applyAlignment="1">
      <alignment horizontal="center"/>
    </xf>
    <xf numFmtId="165" fontId="0" fillId="11" borderId="36" xfId="0" applyNumberFormat="1" applyFill="1" applyBorder="1"/>
    <xf numFmtId="165" fontId="0" fillId="11" borderId="0" xfId="0" applyNumberFormat="1" applyFill="1" applyAlignment="1">
      <alignment vertical="center"/>
    </xf>
    <xf numFmtId="164" fontId="0" fillId="0" borderId="0" xfId="1" applyFont="1"/>
    <xf numFmtId="10" fontId="0" fillId="0" borderId="0" xfId="2" applyNumberFormat="1" applyFont="1"/>
    <xf numFmtId="165" fontId="0" fillId="9" borderId="35" xfId="0" applyNumberFormat="1" applyFill="1" applyBorder="1"/>
    <xf numFmtId="165" fontId="0" fillId="13" borderId="35" xfId="0" applyNumberFormat="1" applyFill="1" applyBorder="1" applyAlignment="1">
      <alignment horizontal="center"/>
    </xf>
    <xf numFmtId="165" fontId="0" fillId="13" borderId="35" xfId="0" applyNumberFormat="1" applyFill="1" applyBorder="1"/>
    <xf numFmtId="165" fontId="6" fillId="13" borderId="0" xfId="0" applyNumberFormat="1" applyFont="1" applyFill="1" applyAlignment="1">
      <alignment vertical="center"/>
    </xf>
    <xf numFmtId="0" fontId="6" fillId="14" borderId="0" xfId="0" applyFont="1" applyFill="1" applyAlignment="1">
      <alignment vertical="center"/>
    </xf>
    <xf numFmtId="165" fontId="0" fillId="14" borderId="0" xfId="0" applyNumberFormat="1" applyFill="1" applyAlignment="1">
      <alignment vertical="center"/>
    </xf>
    <xf numFmtId="0" fontId="0" fillId="0" borderId="0" xfId="0" applyAlignment="1">
      <alignment horizontal="center"/>
    </xf>
    <xf numFmtId="164" fontId="0" fillId="0" borderId="43" xfId="1" applyFont="1" applyBorder="1"/>
    <xf numFmtId="167" fontId="0" fillId="3" borderId="43" xfId="1" applyNumberFormat="1" applyFont="1" applyFill="1" applyBorder="1"/>
    <xf numFmtId="164" fontId="6" fillId="0" borderId="0" xfId="1" applyFont="1"/>
    <xf numFmtId="9" fontId="6" fillId="0" borderId="0" xfId="2" applyFont="1"/>
    <xf numFmtId="167" fontId="0" fillId="3" borderId="0" xfId="1" applyNumberFormat="1" applyFont="1" applyFill="1" applyBorder="1"/>
    <xf numFmtId="164" fontId="0" fillId="3" borderId="0" xfId="1" applyFont="1" applyFill="1"/>
    <xf numFmtId="164" fontId="4" fillId="3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/>
    <xf numFmtId="0" fontId="4" fillId="0" borderId="41" xfId="0" applyFont="1" applyBorder="1"/>
    <xf numFmtId="0" fontId="4" fillId="0" borderId="13" xfId="0" applyFont="1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4" fillId="0" borderId="1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/>
    <xf numFmtId="166" fontId="4" fillId="0" borderId="23" xfId="0" applyNumberFormat="1" applyFont="1" applyBorder="1"/>
    <xf numFmtId="0" fontId="0" fillId="6" borderId="0" xfId="0" applyFill="1"/>
    <xf numFmtId="166" fontId="0" fillId="6" borderId="0" xfId="0" applyNumberFormat="1" applyFill="1"/>
    <xf numFmtId="0" fontId="0" fillId="15" borderId="0" xfId="0" applyFill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166" fontId="0" fillId="0" borderId="31" xfId="0" applyNumberFormat="1" applyBorder="1"/>
    <xf numFmtId="0" fontId="0" fillId="0" borderId="31" xfId="0" applyBorder="1" applyAlignment="1">
      <alignment horizontal="center"/>
    </xf>
    <xf numFmtId="0" fontId="0" fillId="0" borderId="31" xfId="0" applyBorder="1"/>
    <xf numFmtId="166" fontId="0" fillId="0" borderId="43" xfId="0" applyNumberFormat="1" applyBorder="1"/>
    <xf numFmtId="0" fontId="0" fillId="0" borderId="43" xfId="0" applyBorder="1" applyAlignment="1">
      <alignment horizontal="center"/>
    </xf>
    <xf numFmtId="0" fontId="0" fillId="0" borderId="43" xfId="0" applyBorder="1"/>
    <xf numFmtId="166" fontId="0" fillId="0" borderId="42" xfId="0" applyNumberFormat="1" applyBorder="1"/>
    <xf numFmtId="0" fontId="0" fillId="0" borderId="42" xfId="0" applyBorder="1" applyAlignment="1">
      <alignment horizontal="center"/>
    </xf>
    <xf numFmtId="0" fontId="0" fillId="0" borderId="42" xfId="0" applyBorder="1"/>
    <xf numFmtId="166" fontId="0" fillId="0" borderId="46" xfId="0" applyNumberFormat="1" applyBorder="1"/>
    <xf numFmtId="0" fontId="0" fillId="0" borderId="46" xfId="0" applyBorder="1"/>
    <xf numFmtId="166" fontId="4" fillId="0" borderId="0" xfId="0" applyNumberFormat="1" applyFont="1"/>
    <xf numFmtId="0" fontId="4" fillId="6" borderId="45" xfId="0" applyFont="1" applyFill="1" applyBorder="1" applyAlignment="1">
      <alignment horizontal="center"/>
    </xf>
    <xf numFmtId="166" fontId="0" fillId="0" borderId="47" xfId="0" applyNumberFormat="1" applyBorder="1"/>
    <xf numFmtId="0" fontId="0" fillId="0" borderId="47" xfId="0" applyBorder="1" applyAlignment="1">
      <alignment horizontal="center"/>
    </xf>
    <xf numFmtId="0" fontId="0" fillId="0" borderId="47" xfId="0" applyBorder="1"/>
    <xf numFmtId="166" fontId="0" fillId="0" borderId="48" xfId="0" applyNumberFormat="1" applyBorder="1"/>
    <xf numFmtId="0" fontId="0" fillId="0" borderId="48" xfId="0" applyBorder="1" applyAlignment="1">
      <alignment horizontal="center"/>
    </xf>
    <xf numFmtId="0" fontId="0" fillId="0" borderId="48" xfId="0" applyBorder="1"/>
    <xf numFmtId="0" fontId="4" fillId="0" borderId="31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166" fontId="4" fillId="0" borderId="31" xfId="0" applyNumberFormat="1" applyFont="1" applyBorder="1"/>
    <xf numFmtId="166" fontId="4" fillId="0" borderId="43" xfId="0" applyNumberFormat="1" applyFont="1" applyBorder="1"/>
    <xf numFmtId="166" fontId="4" fillId="0" borderId="47" xfId="0" applyNumberFormat="1" applyFont="1" applyBorder="1"/>
    <xf numFmtId="166" fontId="4" fillId="0" borderId="42" xfId="0" applyNumberFormat="1" applyFont="1" applyBorder="1"/>
    <xf numFmtId="166" fontId="4" fillId="0" borderId="48" xfId="0" applyNumberFormat="1" applyFont="1" applyBorder="1"/>
    <xf numFmtId="1" fontId="20" fillId="16" borderId="43" xfId="0" applyNumberFormat="1" applyFont="1" applyFill="1" applyBorder="1" applyAlignment="1">
      <alignment horizontal="center" vertical="center" wrapText="1"/>
    </xf>
    <xf numFmtId="0" fontId="20" fillId="16" borderId="43" xfId="0" applyFont="1" applyFill="1" applyBorder="1" applyAlignment="1">
      <alignment horizontal="center" vertical="center" wrapText="1"/>
    </xf>
    <xf numFmtId="166" fontId="20" fillId="16" borderId="4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" fontId="0" fillId="0" borderId="43" xfId="0" applyNumberFormat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 wrapText="1"/>
    </xf>
    <xf numFmtId="49" fontId="0" fillId="0" borderId="43" xfId="0" applyNumberFormat="1" applyBorder="1" applyAlignment="1">
      <alignment horizontal="left" vertical="center" wrapText="1"/>
    </xf>
    <xf numFmtId="166" fontId="0" fillId="0" borderId="43" xfId="0" applyNumberFormat="1" applyBorder="1" applyAlignment="1">
      <alignment horizontal="right" vertical="center"/>
    </xf>
    <xf numFmtId="49" fontId="21" fillId="0" borderId="43" xfId="0" applyNumberFormat="1" applyFont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66" fontId="21" fillId="0" borderId="0" xfId="0" applyNumberFormat="1" applyFont="1" applyAlignment="1">
      <alignment horizontal="center" vertical="center" wrapText="1"/>
    </xf>
    <xf numFmtId="0" fontId="20" fillId="16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49" fontId="21" fillId="0" borderId="43" xfId="0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168" fontId="4" fillId="0" borderId="0" xfId="0" applyNumberFormat="1" applyFont="1"/>
    <xf numFmtId="166" fontId="0" fillId="0" borderId="49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166" fontId="0" fillId="0" borderId="51" xfId="0" applyNumberFormat="1" applyBorder="1" applyAlignment="1">
      <alignment horizontal="center"/>
    </xf>
    <xf numFmtId="166" fontId="0" fillId="0" borderId="52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166" fontId="0" fillId="0" borderId="54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168" fontId="4" fillId="0" borderId="23" xfId="0" applyNumberFormat="1" applyFont="1" applyBorder="1"/>
    <xf numFmtId="166" fontId="0" fillId="0" borderId="56" xfId="0" applyNumberFormat="1" applyBorder="1"/>
    <xf numFmtId="0" fontId="4" fillId="0" borderId="56" xfId="0" applyFont="1" applyBorder="1" applyAlignment="1">
      <alignment horizontal="center"/>
    </xf>
    <xf numFmtId="0" fontId="0" fillId="0" borderId="56" xfId="0" applyBorder="1"/>
    <xf numFmtId="166" fontId="0" fillId="0" borderId="57" xfId="0" applyNumberFormat="1" applyBorder="1"/>
    <xf numFmtId="0" fontId="4" fillId="0" borderId="57" xfId="0" applyFont="1" applyBorder="1" applyAlignment="1">
      <alignment horizontal="center"/>
    </xf>
    <xf numFmtId="0" fontId="0" fillId="0" borderId="57" xfId="0" applyBorder="1"/>
    <xf numFmtId="0" fontId="3" fillId="0" borderId="0" xfId="0" applyFont="1"/>
    <xf numFmtId="166" fontId="22" fillId="0" borderId="0" xfId="0" applyNumberFormat="1" applyFont="1"/>
    <xf numFmtId="168" fontId="4" fillId="6" borderId="0" xfId="0" applyNumberFormat="1" applyFont="1" applyFill="1"/>
    <xf numFmtId="168" fontId="0" fillId="0" borderId="43" xfId="0" applyNumberFormat="1" applyBorder="1" applyAlignment="1">
      <alignment horizontal="center" vertical="center" wrapText="1"/>
    </xf>
    <xf numFmtId="0" fontId="0" fillId="0" borderId="48" xfId="0" applyBorder="1" applyAlignment="1">
      <alignment horizontal="left"/>
    </xf>
    <xf numFmtId="166" fontId="13" fillId="0" borderId="43" xfId="1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166" fontId="13" fillId="5" borderId="43" xfId="1" applyNumberFormat="1" applyFont="1" applyFill="1" applyBorder="1" applyAlignment="1">
      <alignment horizontal="center" vertical="center" wrapText="1"/>
    </xf>
    <xf numFmtId="10" fontId="13" fillId="5" borderId="43" xfId="2" applyNumberFormat="1" applyFont="1" applyFill="1" applyBorder="1" applyAlignment="1">
      <alignment horizontal="center" vertical="center" wrapText="1"/>
    </xf>
    <xf numFmtId="166" fontId="13" fillId="7" borderId="43" xfId="1" applyNumberFormat="1" applyFont="1" applyFill="1" applyBorder="1" applyAlignment="1">
      <alignment horizontal="center" vertical="center" wrapText="1"/>
    </xf>
    <xf numFmtId="166" fontId="10" fillId="0" borderId="43" xfId="0" applyNumberFormat="1" applyFont="1" applyBorder="1" applyAlignment="1">
      <alignment vertical="center"/>
    </xf>
    <xf numFmtId="0" fontId="12" fillId="0" borderId="43" xfId="0" applyFont="1" applyBorder="1" applyAlignment="1">
      <alignment horizontal="left"/>
    </xf>
    <xf numFmtId="10" fontId="12" fillId="0" borderId="43" xfId="2" applyNumberFormat="1" applyFont="1" applyBorder="1"/>
    <xf numFmtId="0" fontId="12" fillId="5" borderId="43" xfId="0" applyFont="1" applyFill="1" applyBorder="1"/>
    <xf numFmtId="10" fontId="12" fillId="5" borderId="43" xfId="2" applyNumberFormat="1" applyFont="1" applyFill="1" applyBorder="1"/>
    <xf numFmtId="10" fontId="13" fillId="5" borderId="42" xfId="2" applyNumberFormat="1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left" vertical="center"/>
    </xf>
    <xf numFmtId="167" fontId="10" fillId="0" borderId="42" xfId="0" applyNumberFormat="1" applyFont="1" applyBorder="1" applyAlignment="1">
      <alignment horizontal="center" vertical="center"/>
    </xf>
    <xf numFmtId="165" fontId="10" fillId="5" borderId="42" xfId="1" applyNumberFormat="1" applyFont="1" applyFill="1" applyBorder="1" applyAlignment="1">
      <alignment horizontal="center" vertical="center"/>
    </xf>
    <xf numFmtId="167" fontId="10" fillId="5" borderId="42" xfId="1" applyNumberFormat="1" applyFont="1" applyFill="1" applyBorder="1" applyAlignment="1">
      <alignment horizontal="center" vertical="center"/>
    </xf>
    <xf numFmtId="10" fontId="14" fillId="5" borderId="42" xfId="2" applyNumberFormat="1" applyFont="1" applyFill="1" applyBorder="1" applyAlignment="1">
      <alignment horizontal="center" vertical="center"/>
    </xf>
    <xf numFmtId="165" fontId="10" fillId="7" borderId="42" xfId="1" applyNumberFormat="1" applyFont="1" applyFill="1" applyBorder="1" applyAlignment="1">
      <alignment horizontal="center" vertical="center"/>
    </xf>
    <xf numFmtId="166" fontId="10" fillId="7" borderId="42" xfId="0" applyNumberFormat="1" applyFont="1" applyFill="1" applyBorder="1" applyAlignment="1">
      <alignment horizontal="center" vertical="center"/>
    </xf>
    <xf numFmtId="167" fontId="16" fillId="8" borderId="42" xfId="0" applyNumberFormat="1" applyFont="1" applyFill="1" applyBorder="1" applyAlignment="1">
      <alignment vertical="center"/>
    </xf>
    <xf numFmtId="166" fontId="10" fillId="0" borderId="42" xfId="0" applyNumberFormat="1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166" fontId="13" fillId="0" borderId="30" xfId="1" applyNumberFormat="1" applyFont="1" applyFill="1" applyBorder="1" applyAlignment="1">
      <alignment horizontal="center" vertical="center" wrapText="1"/>
    </xf>
    <xf numFmtId="165" fontId="13" fillId="0" borderId="30" xfId="1" applyNumberFormat="1" applyFont="1" applyFill="1" applyBorder="1" applyAlignment="1">
      <alignment horizontal="left" vertical="center"/>
    </xf>
    <xf numFmtId="166" fontId="13" fillId="5" borderId="30" xfId="1" applyNumberFormat="1" applyFont="1" applyFill="1" applyBorder="1" applyAlignment="1">
      <alignment horizontal="center" vertical="center" wrapText="1"/>
    </xf>
    <xf numFmtId="10" fontId="13" fillId="5" borderId="30" xfId="2" applyNumberFormat="1" applyFont="1" applyFill="1" applyBorder="1" applyAlignment="1">
      <alignment horizontal="center" vertical="center" wrapText="1"/>
    </xf>
    <xf numFmtId="166" fontId="13" fillId="7" borderId="30" xfId="1" applyNumberFormat="1" applyFont="1" applyFill="1" applyBorder="1" applyAlignment="1">
      <alignment horizontal="center" vertical="center" wrapText="1"/>
    </xf>
    <xf numFmtId="0" fontId="14" fillId="0" borderId="30" xfId="0" applyFont="1" applyBorder="1"/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vertical="center"/>
    </xf>
    <xf numFmtId="0" fontId="11" fillId="0" borderId="58" xfId="0" applyFont="1" applyBorder="1" applyAlignment="1">
      <alignment horizontal="left" vertical="center"/>
    </xf>
    <xf numFmtId="167" fontId="12" fillId="0" borderId="59" xfId="0" applyNumberFormat="1" applyFont="1" applyBorder="1" applyAlignment="1">
      <alignment horizontal="center" vertical="center"/>
    </xf>
    <xf numFmtId="165" fontId="12" fillId="12" borderId="59" xfId="1" applyNumberFormat="1" applyFont="1" applyFill="1" applyBorder="1" applyAlignment="1">
      <alignment horizontal="center" vertical="center"/>
    </xf>
    <xf numFmtId="165" fontId="12" fillId="5" borderId="59" xfId="1" applyNumberFormat="1" applyFont="1" applyFill="1" applyBorder="1" applyAlignment="1">
      <alignment horizontal="center" vertical="center"/>
    </xf>
    <xf numFmtId="167" fontId="12" fillId="5" borderId="59" xfId="1" applyNumberFormat="1" applyFont="1" applyFill="1" applyBorder="1" applyAlignment="1">
      <alignment horizontal="center" vertical="center"/>
    </xf>
    <xf numFmtId="10" fontId="14" fillId="5" borderId="59" xfId="2" applyNumberFormat="1" applyFont="1" applyFill="1" applyBorder="1" applyAlignment="1">
      <alignment horizontal="center" vertical="center"/>
    </xf>
    <xf numFmtId="165" fontId="12" fillId="7" borderId="59" xfId="1" applyNumberFormat="1" applyFont="1" applyFill="1" applyBorder="1" applyAlignment="1">
      <alignment horizontal="center" vertical="center"/>
    </xf>
    <xf numFmtId="166" fontId="12" fillId="7" borderId="59" xfId="0" applyNumberFormat="1" applyFont="1" applyFill="1" applyBorder="1" applyAlignment="1">
      <alignment horizontal="center" vertical="center"/>
    </xf>
    <xf numFmtId="167" fontId="16" fillId="8" borderId="59" xfId="0" applyNumberFormat="1" applyFont="1" applyFill="1" applyBorder="1" applyAlignment="1">
      <alignment vertical="center"/>
    </xf>
    <xf numFmtId="166" fontId="10" fillId="0" borderId="59" xfId="0" applyNumberFormat="1" applyFont="1" applyBorder="1" applyAlignment="1">
      <alignment vertical="center"/>
    </xf>
    <xf numFmtId="0" fontId="12" fillId="0" borderId="59" xfId="0" applyFont="1" applyBorder="1" applyAlignment="1">
      <alignment vertical="center"/>
    </xf>
    <xf numFmtId="0" fontId="11" fillId="0" borderId="60" xfId="0" applyFont="1" applyBorder="1" applyAlignment="1">
      <alignment horizontal="left" vertical="center"/>
    </xf>
    <xf numFmtId="167" fontId="12" fillId="0" borderId="61" xfId="0" applyNumberFormat="1" applyFont="1" applyBorder="1" applyAlignment="1">
      <alignment horizontal="center" vertical="center"/>
    </xf>
    <xf numFmtId="165" fontId="12" fillId="5" borderId="61" xfId="1" applyNumberFormat="1" applyFont="1" applyFill="1" applyBorder="1" applyAlignment="1">
      <alignment horizontal="center" vertical="center"/>
    </xf>
    <xf numFmtId="167" fontId="12" fillId="5" borderId="61" xfId="1" applyNumberFormat="1" applyFont="1" applyFill="1" applyBorder="1" applyAlignment="1">
      <alignment horizontal="center" vertical="center"/>
    </xf>
    <xf numFmtId="10" fontId="14" fillId="5" borderId="61" xfId="2" applyNumberFormat="1" applyFont="1" applyFill="1" applyBorder="1" applyAlignment="1">
      <alignment horizontal="center" vertical="center"/>
    </xf>
    <xf numFmtId="165" fontId="12" fillId="7" borderId="61" xfId="1" applyNumberFormat="1" applyFont="1" applyFill="1" applyBorder="1" applyAlignment="1">
      <alignment horizontal="center" vertical="center"/>
    </xf>
    <xf numFmtId="166" fontId="12" fillId="7" borderId="61" xfId="0" applyNumberFormat="1" applyFont="1" applyFill="1" applyBorder="1" applyAlignment="1">
      <alignment horizontal="center" vertical="center"/>
    </xf>
    <xf numFmtId="167" fontId="16" fillId="8" borderId="61" xfId="0" applyNumberFormat="1" applyFont="1" applyFill="1" applyBorder="1" applyAlignment="1">
      <alignment vertical="center"/>
    </xf>
    <xf numFmtId="0" fontId="12" fillId="0" borderId="61" xfId="0" applyFont="1" applyBorder="1" applyAlignment="1">
      <alignment vertical="center"/>
    </xf>
    <xf numFmtId="0" fontId="11" fillId="0" borderId="62" xfId="0" applyFont="1" applyBorder="1" applyAlignment="1">
      <alignment horizontal="left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5" borderId="63" xfId="1" applyNumberFormat="1" applyFont="1" applyFill="1" applyBorder="1" applyAlignment="1">
      <alignment horizontal="center" vertical="center"/>
    </xf>
    <xf numFmtId="10" fontId="14" fillId="5" borderId="63" xfId="2" applyNumberFormat="1" applyFont="1" applyFill="1" applyBorder="1" applyAlignment="1">
      <alignment horizontal="center" vertical="center"/>
    </xf>
    <xf numFmtId="165" fontId="12" fillId="7" borderId="63" xfId="1" applyNumberFormat="1" applyFont="1" applyFill="1" applyBorder="1" applyAlignment="1">
      <alignment horizontal="center" vertical="center"/>
    </xf>
    <xf numFmtId="166" fontId="12" fillId="7" borderId="63" xfId="0" applyNumberFormat="1" applyFont="1" applyFill="1" applyBorder="1" applyAlignment="1">
      <alignment horizontal="center" vertical="center"/>
    </xf>
    <xf numFmtId="0" fontId="12" fillId="0" borderId="63" xfId="0" applyFont="1" applyBorder="1" applyAlignment="1">
      <alignment vertical="center"/>
    </xf>
    <xf numFmtId="167" fontId="12" fillId="12" borderId="59" xfId="1" applyNumberFormat="1" applyFont="1" applyFill="1" applyBorder="1" applyAlignment="1">
      <alignment horizontal="center" vertical="center"/>
    </xf>
    <xf numFmtId="167" fontId="12" fillId="12" borderId="61" xfId="1" applyNumberFormat="1" applyFont="1" applyFill="1" applyBorder="1" applyAlignment="1">
      <alignment horizontal="center" vertical="center"/>
    </xf>
    <xf numFmtId="166" fontId="10" fillId="0" borderId="61" xfId="0" applyNumberFormat="1" applyFont="1" applyBorder="1" applyAlignment="1">
      <alignment vertical="center"/>
    </xf>
    <xf numFmtId="0" fontId="11" fillId="0" borderId="64" xfId="0" applyFont="1" applyBorder="1" applyAlignment="1">
      <alignment horizontal="left" vertical="center"/>
    </xf>
    <xf numFmtId="167" fontId="12" fillId="0" borderId="65" xfId="0" applyNumberFormat="1" applyFont="1" applyBorder="1" applyAlignment="1">
      <alignment horizontal="center" vertical="center"/>
    </xf>
    <xf numFmtId="167" fontId="12" fillId="5" borderId="65" xfId="1" applyNumberFormat="1" applyFont="1" applyFill="1" applyBorder="1" applyAlignment="1">
      <alignment horizontal="center" vertical="center"/>
    </xf>
    <xf numFmtId="10" fontId="14" fillId="5" borderId="65" xfId="2" applyNumberFormat="1" applyFont="1" applyFill="1" applyBorder="1" applyAlignment="1">
      <alignment horizontal="center" vertical="center"/>
    </xf>
    <xf numFmtId="165" fontId="12" fillId="7" borderId="65" xfId="1" applyNumberFormat="1" applyFont="1" applyFill="1" applyBorder="1" applyAlignment="1">
      <alignment horizontal="center" vertical="center"/>
    </xf>
    <xf numFmtId="166" fontId="12" fillId="7" borderId="65" xfId="0" applyNumberFormat="1" applyFont="1" applyFill="1" applyBorder="1" applyAlignment="1">
      <alignment horizontal="center" vertical="center"/>
    </xf>
    <xf numFmtId="166" fontId="10" fillId="0" borderId="65" xfId="0" applyNumberFormat="1" applyFont="1" applyBorder="1" applyAlignment="1">
      <alignment vertical="center"/>
    </xf>
    <xf numFmtId="0" fontId="12" fillId="0" borderId="65" xfId="0" applyFont="1" applyBorder="1" applyAlignment="1">
      <alignment vertical="center"/>
    </xf>
    <xf numFmtId="0" fontId="28" fillId="0" borderId="30" xfId="0" applyFont="1" applyBorder="1" applyAlignment="1">
      <alignment horizontal="center" vertical="center"/>
    </xf>
    <xf numFmtId="166" fontId="29" fillId="5" borderId="30" xfId="1" applyNumberFormat="1" applyFont="1" applyFill="1" applyBorder="1" applyAlignment="1">
      <alignment horizontal="center" vertical="center" wrapText="1"/>
    </xf>
    <xf numFmtId="10" fontId="29" fillId="5" borderId="30" xfId="2" applyNumberFormat="1" applyFont="1" applyFill="1" applyBorder="1" applyAlignment="1">
      <alignment horizontal="center" vertical="center" wrapText="1"/>
    </xf>
    <xf numFmtId="167" fontId="30" fillId="5" borderId="30" xfId="1" applyNumberFormat="1" applyFont="1" applyFill="1" applyBorder="1" applyAlignment="1">
      <alignment horizontal="center" vertical="center" wrapText="1"/>
    </xf>
    <xf numFmtId="167" fontId="29" fillId="5" borderId="30" xfId="1" applyNumberFormat="1" applyFont="1" applyFill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/>
    </xf>
    <xf numFmtId="165" fontId="13" fillId="5" borderId="69" xfId="1" applyNumberFormat="1" applyFont="1" applyFill="1" applyBorder="1" applyAlignment="1">
      <alignment horizontal="center" vertical="center"/>
    </xf>
    <xf numFmtId="10" fontId="14" fillId="5" borderId="69" xfId="2" applyNumberFormat="1" applyFont="1" applyFill="1" applyBorder="1" applyAlignment="1">
      <alignment horizontal="center" vertical="center"/>
    </xf>
    <xf numFmtId="10" fontId="13" fillId="5" borderId="65" xfId="2" applyNumberFormat="1" applyFont="1" applyFill="1" applyBorder="1" applyAlignment="1">
      <alignment horizontal="center" vertical="center"/>
    </xf>
    <xf numFmtId="0" fontId="13" fillId="0" borderId="58" xfId="0" applyFont="1" applyBorder="1" applyAlignment="1">
      <alignment horizontal="left" vertical="center"/>
    </xf>
    <xf numFmtId="167" fontId="13" fillId="0" borderId="59" xfId="0" applyNumberFormat="1" applyFont="1" applyBorder="1" applyAlignment="1">
      <alignment horizontal="center" vertical="center"/>
    </xf>
    <xf numFmtId="165" fontId="13" fillId="5" borderId="59" xfId="1" applyNumberFormat="1" applyFont="1" applyFill="1" applyBorder="1" applyAlignment="1">
      <alignment horizontal="center" vertical="center"/>
    </xf>
    <xf numFmtId="167" fontId="13" fillId="5" borderId="59" xfId="0" applyNumberFormat="1" applyFont="1" applyFill="1" applyBorder="1" applyAlignment="1">
      <alignment horizontal="center" vertical="center"/>
    </xf>
    <xf numFmtId="167" fontId="13" fillId="7" borderId="59" xfId="0" applyNumberFormat="1" applyFont="1" applyFill="1" applyBorder="1" applyAlignment="1">
      <alignment horizontal="center" vertical="center"/>
    </xf>
    <xf numFmtId="166" fontId="10" fillId="0" borderId="59" xfId="0" applyNumberFormat="1" applyFont="1" applyBorder="1" applyAlignment="1">
      <alignment horizontal="center" vertical="center"/>
    </xf>
    <xf numFmtId="0" fontId="12" fillId="7" borderId="59" xfId="0" applyFont="1" applyFill="1" applyBorder="1" applyAlignment="1">
      <alignment horizontal="center" vertical="center"/>
    </xf>
    <xf numFmtId="0" fontId="13" fillId="0" borderId="60" xfId="0" applyFont="1" applyBorder="1" applyAlignment="1">
      <alignment horizontal="left" vertical="center"/>
    </xf>
    <xf numFmtId="167" fontId="13" fillId="0" borderId="61" xfId="0" applyNumberFormat="1" applyFont="1" applyBorder="1" applyAlignment="1">
      <alignment horizontal="center" vertical="center"/>
    </xf>
    <xf numFmtId="0" fontId="16" fillId="8" borderId="61" xfId="0" applyFont="1" applyFill="1" applyBorder="1" applyAlignment="1">
      <alignment vertical="center"/>
    </xf>
    <xf numFmtId="10" fontId="13" fillId="0" borderId="61" xfId="2" applyNumberFormat="1" applyFont="1" applyFill="1" applyBorder="1" applyAlignment="1">
      <alignment horizontal="center" vertical="center"/>
    </xf>
    <xf numFmtId="10" fontId="13" fillId="5" borderId="61" xfId="2" applyNumberFormat="1" applyFont="1" applyFill="1" applyBorder="1" applyAlignment="1">
      <alignment horizontal="center" vertical="center"/>
    </xf>
    <xf numFmtId="166" fontId="12" fillId="5" borderId="61" xfId="0" applyNumberFormat="1" applyFont="1" applyFill="1" applyBorder="1" applyAlignment="1">
      <alignment horizontal="center" vertical="center"/>
    </xf>
    <xf numFmtId="10" fontId="12" fillId="5" borderId="61" xfId="2" applyNumberFormat="1" applyFont="1" applyFill="1" applyBorder="1" applyAlignment="1">
      <alignment horizontal="center" vertical="center"/>
    </xf>
    <xf numFmtId="0" fontId="13" fillId="0" borderId="70" xfId="0" applyFont="1" applyBorder="1" applyAlignment="1">
      <alignment horizontal="left" vertical="center"/>
    </xf>
    <xf numFmtId="167" fontId="13" fillId="0" borderId="71" xfId="0" applyNumberFormat="1" applyFont="1" applyBorder="1" applyAlignment="1">
      <alignment horizontal="center" vertical="center"/>
    </xf>
    <xf numFmtId="165" fontId="13" fillId="5" borderId="71" xfId="1" applyNumberFormat="1" applyFont="1" applyFill="1" applyBorder="1" applyAlignment="1">
      <alignment horizontal="center" vertical="center"/>
    </xf>
    <xf numFmtId="167" fontId="13" fillId="5" borderId="71" xfId="0" applyNumberFormat="1" applyFont="1" applyFill="1" applyBorder="1" applyAlignment="1">
      <alignment horizontal="center" vertical="center"/>
    </xf>
    <xf numFmtId="10" fontId="14" fillId="5" borderId="71" xfId="2" applyNumberFormat="1" applyFont="1" applyFill="1" applyBorder="1" applyAlignment="1">
      <alignment horizontal="center" vertical="center"/>
    </xf>
    <xf numFmtId="167" fontId="13" fillId="7" borderId="71" xfId="0" applyNumberFormat="1" applyFont="1" applyFill="1" applyBorder="1" applyAlignment="1">
      <alignment horizontal="center" vertical="center"/>
    </xf>
    <xf numFmtId="0" fontId="12" fillId="7" borderId="71" xfId="0" applyFont="1" applyFill="1" applyBorder="1" applyAlignment="1">
      <alignment horizontal="center" vertical="center"/>
    </xf>
    <xf numFmtId="10" fontId="13" fillId="5" borderId="73" xfId="2" applyNumberFormat="1" applyFont="1" applyFill="1" applyBorder="1" applyAlignment="1">
      <alignment horizontal="center" vertical="center"/>
    </xf>
    <xf numFmtId="9" fontId="32" fillId="3" borderId="43" xfId="0" applyNumberFormat="1" applyFont="1" applyFill="1" applyBorder="1" applyAlignment="1">
      <alignment horizontal="left"/>
    </xf>
    <xf numFmtId="166" fontId="29" fillId="0" borderId="74" xfId="1" applyNumberFormat="1" applyFont="1" applyFill="1" applyBorder="1" applyAlignment="1">
      <alignment horizontal="center" vertical="center" wrapText="1"/>
    </xf>
    <xf numFmtId="0" fontId="31" fillId="5" borderId="43" xfId="0" applyFont="1" applyFill="1" applyBorder="1"/>
    <xf numFmtId="10" fontId="31" fillId="5" borderId="43" xfId="2" applyNumberFormat="1" applyFont="1" applyFill="1" applyBorder="1"/>
    <xf numFmtId="0" fontId="31" fillId="0" borderId="43" xfId="0" applyFont="1" applyBorder="1"/>
    <xf numFmtId="166" fontId="28" fillId="0" borderId="43" xfId="0" applyNumberFormat="1" applyFont="1" applyBorder="1" applyAlignment="1">
      <alignment vertical="center"/>
    </xf>
    <xf numFmtId="165" fontId="27" fillId="0" borderId="43" xfId="1" applyNumberFormat="1" applyFont="1" applyFill="1" applyBorder="1" applyAlignment="1">
      <alignment horizontal="center" vertical="center"/>
    </xf>
    <xf numFmtId="167" fontId="11" fillId="0" borderId="61" xfId="0" applyNumberFormat="1" applyFont="1" applyBorder="1" applyAlignment="1">
      <alignment horizontal="center" vertical="center"/>
    </xf>
    <xf numFmtId="166" fontId="10" fillId="7" borderId="61" xfId="0" applyNumberFormat="1" applyFont="1" applyFill="1" applyBorder="1" applyAlignment="1">
      <alignment horizontal="center" vertical="center"/>
    </xf>
    <xf numFmtId="167" fontId="12" fillId="12" borderId="61" xfId="0" applyNumberFormat="1" applyFont="1" applyFill="1" applyBorder="1" applyAlignment="1">
      <alignment horizontal="center" vertical="center"/>
    </xf>
    <xf numFmtId="167" fontId="12" fillId="3" borderId="61" xfId="0" applyNumberFormat="1" applyFont="1" applyFill="1" applyBorder="1" applyAlignment="1">
      <alignment horizontal="center" vertical="center"/>
    </xf>
    <xf numFmtId="167" fontId="9" fillId="5" borderId="61" xfId="1" applyNumberFormat="1" applyFont="1" applyFill="1" applyBorder="1" applyAlignment="1">
      <alignment horizontal="center" vertical="center"/>
    </xf>
    <xf numFmtId="167" fontId="16" fillId="5" borderId="61" xfId="0" applyNumberFormat="1" applyFont="1" applyFill="1" applyBorder="1" applyAlignment="1">
      <alignment horizontal="center" vertical="center"/>
    </xf>
    <xf numFmtId="166" fontId="16" fillId="5" borderId="61" xfId="0" applyNumberFormat="1" applyFont="1" applyFill="1" applyBorder="1" applyAlignment="1">
      <alignment horizontal="center" vertical="center"/>
    </xf>
    <xf numFmtId="0" fontId="13" fillId="3" borderId="60" xfId="0" applyFont="1" applyFill="1" applyBorder="1" applyAlignment="1">
      <alignment horizontal="left" vertical="center"/>
    </xf>
    <xf numFmtId="167" fontId="13" fillId="3" borderId="61" xfId="0" applyNumberFormat="1" applyFont="1" applyFill="1" applyBorder="1" applyAlignment="1">
      <alignment horizontal="center" vertical="center"/>
    </xf>
    <xf numFmtId="10" fontId="13" fillId="3" borderId="61" xfId="2" applyNumberFormat="1" applyFont="1" applyFill="1" applyBorder="1" applyAlignment="1">
      <alignment horizontal="center" vertical="center"/>
    </xf>
    <xf numFmtId="167" fontId="9" fillId="3" borderId="61" xfId="1" applyNumberFormat="1" applyFont="1" applyFill="1" applyBorder="1" applyAlignment="1">
      <alignment horizontal="center" vertical="center"/>
    </xf>
    <xf numFmtId="167" fontId="12" fillId="3" borderId="61" xfId="1" applyNumberFormat="1" applyFont="1" applyFill="1" applyBorder="1" applyAlignment="1">
      <alignment horizontal="center" vertical="center"/>
    </xf>
    <xf numFmtId="10" fontId="12" fillId="3" borderId="61" xfId="2" applyNumberFormat="1" applyFont="1" applyFill="1" applyBorder="1" applyAlignment="1">
      <alignment horizontal="center" vertical="center"/>
    </xf>
    <xf numFmtId="167" fontId="16" fillId="3" borderId="61" xfId="0" applyNumberFormat="1" applyFont="1" applyFill="1" applyBorder="1" applyAlignment="1">
      <alignment vertical="center"/>
    </xf>
    <xf numFmtId="166" fontId="10" fillId="3" borderId="61" xfId="0" applyNumberFormat="1" applyFont="1" applyFill="1" applyBorder="1" applyAlignment="1">
      <alignment vertical="center"/>
    </xf>
    <xf numFmtId="0" fontId="12" fillId="3" borderId="61" xfId="0" applyFont="1" applyFill="1" applyBorder="1" applyAlignment="1">
      <alignment vertical="center"/>
    </xf>
    <xf numFmtId="0" fontId="13" fillId="0" borderId="62" xfId="0" applyFont="1" applyBorder="1" applyAlignment="1">
      <alignment horizontal="left" vertical="center"/>
    </xf>
    <xf numFmtId="167" fontId="9" fillId="0" borderId="63" xfId="0" applyNumberFormat="1" applyFont="1" applyBorder="1" applyAlignment="1">
      <alignment horizontal="center" vertical="center"/>
    </xf>
    <xf numFmtId="167" fontId="10" fillId="12" borderId="63" xfId="0" applyNumberFormat="1" applyFont="1" applyFill="1" applyBorder="1" applyAlignment="1">
      <alignment horizontal="center" vertical="center"/>
    </xf>
    <xf numFmtId="167" fontId="13" fillId="3" borderId="63" xfId="0" applyNumberFormat="1" applyFont="1" applyFill="1" applyBorder="1" applyAlignment="1">
      <alignment horizontal="center" vertical="center"/>
    </xf>
    <xf numFmtId="10" fontId="13" fillId="3" borderId="63" xfId="2" applyNumberFormat="1" applyFont="1" applyFill="1" applyBorder="1" applyAlignment="1">
      <alignment horizontal="center" vertical="center"/>
    </xf>
    <xf numFmtId="167" fontId="12" fillId="3" borderId="63" xfId="1" applyNumberFormat="1" applyFont="1" applyFill="1" applyBorder="1" applyAlignment="1">
      <alignment horizontal="center" vertical="center"/>
    </xf>
    <xf numFmtId="10" fontId="10" fillId="3" borderId="63" xfId="2" applyNumberFormat="1" applyFont="1" applyFill="1" applyBorder="1" applyAlignment="1">
      <alignment horizontal="center" vertical="center"/>
    </xf>
    <xf numFmtId="167" fontId="10" fillId="3" borderId="63" xfId="0" applyNumberFormat="1" applyFont="1" applyFill="1" applyBorder="1" applyAlignment="1">
      <alignment horizontal="center" vertical="center"/>
    </xf>
    <xf numFmtId="167" fontId="16" fillId="3" borderId="63" xfId="0" applyNumberFormat="1" applyFont="1" applyFill="1" applyBorder="1" applyAlignment="1">
      <alignment vertical="center"/>
    </xf>
    <xf numFmtId="166" fontId="10" fillId="3" borderId="63" xfId="0" applyNumberFormat="1" applyFont="1" applyFill="1" applyBorder="1" applyAlignment="1">
      <alignment vertical="center"/>
    </xf>
    <xf numFmtId="0" fontId="10" fillId="3" borderId="63" xfId="0" applyFont="1" applyFill="1" applyBorder="1" applyAlignment="1">
      <alignment vertical="center"/>
    </xf>
    <xf numFmtId="10" fontId="12" fillId="5" borderId="59" xfId="2" applyNumberFormat="1" applyFont="1" applyFill="1" applyBorder="1" applyAlignment="1">
      <alignment horizontal="center" vertical="center"/>
    </xf>
    <xf numFmtId="10" fontId="19" fillId="5" borderId="59" xfId="2" applyNumberFormat="1" applyFont="1" applyFill="1" applyBorder="1" applyAlignment="1">
      <alignment horizontal="center" vertical="center"/>
    </xf>
    <xf numFmtId="166" fontId="12" fillId="5" borderId="59" xfId="0" applyNumberFormat="1" applyFont="1" applyFill="1" applyBorder="1" applyAlignment="1">
      <alignment horizontal="center" vertical="center"/>
    </xf>
    <xf numFmtId="10" fontId="13" fillId="5" borderId="59" xfId="2" applyNumberFormat="1" applyFont="1" applyFill="1" applyBorder="1" applyAlignment="1">
      <alignment horizontal="center" vertical="center"/>
    </xf>
    <xf numFmtId="166" fontId="16" fillId="5" borderId="59" xfId="0" applyNumberFormat="1" applyFont="1" applyFill="1" applyBorder="1" applyAlignment="1">
      <alignment horizontal="center" vertical="center"/>
    </xf>
    <xf numFmtId="10" fontId="14" fillId="0" borderId="77" xfId="2" applyNumberFormat="1" applyFont="1" applyBorder="1" applyAlignment="1">
      <alignment horizontal="center" vertical="center"/>
    </xf>
    <xf numFmtId="10" fontId="13" fillId="0" borderId="77" xfId="2" applyNumberFormat="1" applyFont="1" applyFill="1" applyBorder="1" applyAlignment="1">
      <alignment horizontal="center" vertical="center" wrapText="1"/>
    </xf>
    <xf numFmtId="10" fontId="14" fillId="0" borderId="78" xfId="2" applyNumberFormat="1" applyFont="1" applyBorder="1" applyAlignment="1">
      <alignment horizontal="center" vertical="center"/>
    </xf>
    <xf numFmtId="10" fontId="14" fillId="0" borderId="79" xfId="2" applyNumberFormat="1" applyFont="1" applyBorder="1" applyAlignment="1">
      <alignment horizontal="center" vertical="center"/>
    </xf>
    <xf numFmtId="10" fontId="14" fillId="0" borderId="80" xfId="2" applyNumberFormat="1" applyFont="1" applyBorder="1" applyAlignment="1">
      <alignment horizontal="center" vertical="center"/>
    </xf>
    <xf numFmtId="10" fontId="12" fillId="0" borderId="78" xfId="2" applyNumberFormat="1" applyFont="1" applyBorder="1" applyAlignment="1">
      <alignment horizontal="center" vertical="center"/>
    </xf>
    <xf numFmtId="10" fontId="12" fillId="0" borderId="79" xfId="2" applyNumberFormat="1" applyFont="1" applyBorder="1" applyAlignment="1">
      <alignment horizontal="center" vertical="center"/>
    </xf>
    <xf numFmtId="10" fontId="12" fillId="0" borderId="81" xfId="2" applyNumberFormat="1" applyFont="1" applyBorder="1" applyAlignment="1">
      <alignment horizontal="center" vertical="center"/>
    </xf>
    <xf numFmtId="10" fontId="13" fillId="0" borderId="78" xfId="2" applyNumberFormat="1" applyFont="1" applyBorder="1" applyAlignment="1">
      <alignment horizontal="center" vertical="center"/>
    </xf>
    <xf numFmtId="10" fontId="13" fillId="0" borderId="83" xfId="2" applyNumberFormat="1" applyFont="1" applyBorder="1" applyAlignment="1">
      <alignment horizontal="center" vertical="center"/>
    </xf>
    <xf numFmtId="10" fontId="13" fillId="0" borderId="74" xfId="2" applyNumberFormat="1" applyFont="1" applyFill="1" applyBorder="1" applyAlignment="1">
      <alignment horizontal="center" vertical="center" wrapText="1"/>
    </xf>
    <xf numFmtId="10" fontId="13" fillId="0" borderId="79" xfId="2" applyNumberFormat="1" applyFont="1" applyBorder="1" applyAlignment="1">
      <alignment horizontal="center" vertical="center"/>
    </xf>
    <xf numFmtId="10" fontId="13" fillId="3" borderId="79" xfId="2" applyNumberFormat="1" applyFont="1" applyFill="1" applyBorder="1" applyAlignment="1">
      <alignment horizontal="center" vertical="center"/>
    </xf>
    <xf numFmtId="10" fontId="13" fillId="3" borderId="80" xfId="2" applyNumberFormat="1" applyFont="1" applyFill="1" applyBorder="1" applyAlignment="1">
      <alignment horizontal="center" vertical="center"/>
    </xf>
    <xf numFmtId="166" fontId="13" fillId="5" borderId="76" xfId="1" applyNumberFormat="1" applyFont="1" applyFill="1" applyBorder="1" applyAlignment="1">
      <alignment horizontal="center" vertical="center" wrapText="1"/>
    </xf>
    <xf numFmtId="166" fontId="29" fillId="5" borderId="67" xfId="1" applyNumberFormat="1" applyFont="1" applyFill="1" applyBorder="1" applyAlignment="1">
      <alignment horizontal="center" vertical="center" wrapText="1"/>
    </xf>
    <xf numFmtId="166" fontId="13" fillId="5" borderId="67" xfId="1" applyNumberFormat="1" applyFont="1" applyFill="1" applyBorder="1" applyAlignment="1">
      <alignment horizontal="center" vertical="center" wrapText="1"/>
    </xf>
    <xf numFmtId="165" fontId="10" fillId="5" borderId="85" xfId="1" applyNumberFormat="1" applyFont="1" applyFill="1" applyBorder="1" applyAlignment="1">
      <alignment horizontal="center" vertical="center"/>
    </xf>
    <xf numFmtId="10" fontId="13" fillId="5" borderId="85" xfId="2" applyNumberFormat="1" applyFont="1" applyFill="1" applyBorder="1" applyAlignment="1">
      <alignment horizontal="center" vertical="center" wrapText="1"/>
    </xf>
    <xf numFmtId="165" fontId="12" fillId="12" borderId="86" xfId="1" applyNumberFormat="1" applyFont="1" applyFill="1" applyBorder="1" applyAlignment="1">
      <alignment horizontal="center" vertical="center"/>
    </xf>
    <xf numFmtId="165" fontId="12" fillId="12" borderId="87" xfId="1" applyNumberFormat="1" applyFont="1" applyFill="1" applyBorder="1" applyAlignment="1">
      <alignment horizontal="center" vertical="center"/>
    </xf>
    <xf numFmtId="165" fontId="12" fillId="12" borderId="88" xfId="1" applyNumberFormat="1" applyFont="1" applyFill="1" applyBorder="1" applyAlignment="1">
      <alignment horizontal="center" vertical="center"/>
    </xf>
    <xf numFmtId="165" fontId="13" fillId="5" borderId="89" xfId="1" applyNumberFormat="1" applyFont="1" applyFill="1" applyBorder="1" applyAlignment="1">
      <alignment horizontal="center" vertical="center"/>
    </xf>
    <xf numFmtId="165" fontId="13" fillId="5" borderId="86" xfId="1" applyNumberFormat="1" applyFont="1" applyFill="1" applyBorder="1" applyAlignment="1">
      <alignment horizontal="center" vertical="center"/>
    </xf>
    <xf numFmtId="165" fontId="13" fillId="5" borderId="90" xfId="1" applyNumberFormat="1" applyFont="1" applyFill="1" applyBorder="1" applyAlignment="1">
      <alignment horizontal="center" vertical="center"/>
    </xf>
    <xf numFmtId="10" fontId="13" fillId="5" borderId="91" xfId="2" applyNumberFormat="1" applyFont="1" applyFill="1" applyBorder="1" applyAlignment="1">
      <alignment horizontal="center" vertical="center"/>
    </xf>
    <xf numFmtId="0" fontId="31" fillId="5" borderId="76" xfId="0" applyFont="1" applyFill="1" applyBorder="1"/>
    <xf numFmtId="167" fontId="12" fillId="12" borderId="87" xfId="1" applyNumberFormat="1" applyFont="1" applyFill="1" applyBorder="1" applyAlignment="1">
      <alignment horizontal="center" vertical="center"/>
    </xf>
    <xf numFmtId="167" fontId="11" fillId="12" borderId="87" xfId="0" applyNumberFormat="1" applyFont="1" applyFill="1" applyBorder="1" applyAlignment="1">
      <alignment horizontal="center" vertical="center"/>
    </xf>
    <xf numFmtId="167" fontId="9" fillId="5" borderId="87" xfId="1" applyNumberFormat="1" applyFont="1" applyFill="1" applyBorder="1" applyAlignment="1">
      <alignment horizontal="center" vertical="center"/>
    </xf>
    <xf numFmtId="10" fontId="12" fillId="5" borderId="87" xfId="2" applyNumberFormat="1" applyFont="1" applyFill="1" applyBorder="1" applyAlignment="1">
      <alignment horizontal="center" vertical="center"/>
    </xf>
    <xf numFmtId="167" fontId="9" fillId="3" borderId="87" xfId="1" applyNumberFormat="1" applyFont="1" applyFill="1" applyBorder="1" applyAlignment="1">
      <alignment horizontal="center" vertical="center"/>
    </xf>
    <xf numFmtId="167" fontId="9" fillId="3" borderId="88" xfId="1" applyNumberFormat="1" applyFont="1" applyFill="1" applyBorder="1" applyAlignment="1">
      <alignment horizontal="center" vertical="center"/>
    </xf>
    <xf numFmtId="10" fontId="12" fillId="5" borderId="86" xfId="2" applyNumberFormat="1" applyFont="1" applyFill="1" applyBorder="1" applyAlignment="1">
      <alignment horizontal="center" vertical="center"/>
    </xf>
    <xf numFmtId="0" fontId="12" fillId="5" borderId="76" xfId="0" applyFont="1" applyFill="1" applyBorder="1"/>
    <xf numFmtId="0" fontId="33" fillId="0" borderId="43" xfId="0" applyFont="1" applyBorder="1" applyAlignment="1">
      <alignment horizontal="left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 wrapText="1"/>
    </xf>
    <xf numFmtId="10" fontId="24" fillId="0" borderId="74" xfId="2" applyNumberFormat="1" applyFont="1" applyFill="1" applyBorder="1" applyAlignment="1">
      <alignment horizontal="center" vertical="center" wrapText="1"/>
    </xf>
    <xf numFmtId="10" fontId="24" fillId="5" borderId="76" xfId="2" applyNumberFormat="1" applyFont="1" applyFill="1" applyBorder="1" applyAlignment="1">
      <alignment horizontal="center" vertical="center" wrapText="1"/>
    </xf>
    <xf numFmtId="10" fontId="24" fillId="5" borderId="43" xfId="2" applyNumberFormat="1" applyFont="1" applyFill="1" applyBorder="1" applyAlignment="1">
      <alignment horizontal="center" vertical="center" wrapText="1"/>
    </xf>
    <xf numFmtId="0" fontId="33" fillId="7" borderId="43" xfId="0" applyFont="1" applyFill="1" applyBorder="1" applyAlignment="1">
      <alignment horizontal="center" vertical="center" wrapText="1"/>
    </xf>
    <xf numFmtId="167" fontId="25" fillId="8" borderId="43" xfId="0" applyNumberFormat="1" applyFont="1" applyFill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4" fillId="3" borderId="43" xfId="0" applyFont="1" applyFill="1" applyBorder="1"/>
    <xf numFmtId="0" fontId="0" fillId="3" borderId="57" xfId="0" applyFill="1" applyBorder="1"/>
    <xf numFmtId="164" fontId="0" fillId="0" borderId="43" xfId="0" applyNumberFormat="1" applyBorder="1"/>
    <xf numFmtId="164" fontId="0" fillId="3" borderId="42" xfId="0" applyNumberFormat="1" applyFill="1" applyBorder="1"/>
    <xf numFmtId="0" fontId="0" fillId="3" borderId="0" xfId="0" applyFill="1"/>
    <xf numFmtId="0" fontId="34" fillId="17" borderId="43" xfId="0" applyFont="1" applyFill="1" applyBorder="1"/>
    <xf numFmtId="0" fontId="35" fillId="0" borderId="43" xfId="0" applyFont="1" applyBorder="1"/>
    <xf numFmtId="0" fontId="35" fillId="18" borderId="57" xfId="0" applyFont="1" applyFill="1" applyBorder="1"/>
    <xf numFmtId="4" fontId="35" fillId="17" borderId="42" xfId="0" applyNumberFormat="1" applyFont="1" applyFill="1" applyBorder="1"/>
    <xf numFmtId="168" fontId="0" fillId="0" borderId="43" xfId="0" applyNumberFormat="1" applyBorder="1"/>
    <xf numFmtId="0" fontId="33" fillId="5" borderId="43" xfId="0" applyFont="1" applyFill="1" applyBorder="1" applyAlignment="1">
      <alignment horizontal="left" vertical="center"/>
    </xf>
    <xf numFmtId="167" fontId="23" fillId="5" borderId="43" xfId="0" applyNumberFormat="1" applyFont="1" applyFill="1" applyBorder="1" applyAlignment="1">
      <alignment horizontal="center" vertical="center"/>
    </xf>
    <xf numFmtId="10" fontId="23" fillId="5" borderId="74" xfId="2" applyNumberFormat="1" applyFont="1" applyFill="1" applyBorder="1" applyAlignment="1">
      <alignment horizontal="center" vertical="center"/>
    </xf>
    <xf numFmtId="166" fontId="23" fillId="5" borderId="43" xfId="0" applyNumberFormat="1" applyFont="1" applyFill="1" applyBorder="1" applyAlignment="1">
      <alignment horizontal="center" vertical="center"/>
    </xf>
    <xf numFmtId="165" fontId="23" fillId="5" borderId="76" xfId="1" applyNumberFormat="1" applyFont="1" applyFill="1" applyBorder="1" applyAlignment="1">
      <alignment horizontal="center" vertical="center"/>
    </xf>
    <xf numFmtId="165" fontId="23" fillId="5" borderId="43" xfId="1" applyNumberFormat="1" applyFont="1" applyFill="1" applyBorder="1" applyAlignment="1">
      <alignment horizontal="center" vertical="center"/>
    </xf>
    <xf numFmtId="167" fontId="23" fillId="5" borderId="43" xfId="1" applyNumberFormat="1" applyFont="1" applyFill="1" applyBorder="1" applyAlignment="1">
      <alignment horizontal="center" vertical="center"/>
    </xf>
    <xf numFmtId="10" fontId="23" fillId="5" borderId="43" xfId="2" applyNumberFormat="1" applyFont="1" applyFill="1" applyBorder="1" applyAlignment="1">
      <alignment horizontal="center" vertical="center"/>
    </xf>
    <xf numFmtId="167" fontId="23" fillId="5" borderId="43" xfId="0" applyNumberFormat="1" applyFont="1" applyFill="1" applyBorder="1" applyAlignment="1">
      <alignment vertical="center"/>
    </xf>
    <xf numFmtId="166" fontId="23" fillId="5" borderId="43" xfId="0" applyNumberFormat="1" applyFont="1" applyFill="1" applyBorder="1" applyAlignment="1">
      <alignment vertical="center"/>
    </xf>
    <xf numFmtId="0" fontId="23" fillId="5" borderId="43" xfId="0" applyFont="1" applyFill="1" applyBorder="1" applyAlignment="1">
      <alignment vertical="center"/>
    </xf>
    <xf numFmtId="0" fontId="13" fillId="5" borderId="68" xfId="0" applyFont="1" applyFill="1" applyBorder="1" applyAlignment="1">
      <alignment horizontal="left" vertical="center"/>
    </xf>
    <xf numFmtId="167" fontId="13" fillId="5" borderId="69" xfId="0" applyNumberFormat="1" applyFont="1" applyFill="1" applyBorder="1" applyAlignment="1">
      <alignment horizontal="center" vertical="center"/>
    </xf>
    <xf numFmtId="10" fontId="13" fillId="5" borderId="82" xfId="2" applyNumberFormat="1" applyFont="1" applyFill="1" applyBorder="1" applyAlignment="1">
      <alignment horizontal="center" vertical="center"/>
    </xf>
    <xf numFmtId="166" fontId="10" fillId="5" borderId="69" xfId="0" applyNumberFormat="1" applyFont="1" applyFill="1" applyBorder="1" applyAlignment="1">
      <alignment vertical="center"/>
    </xf>
    <xf numFmtId="0" fontId="16" fillId="5" borderId="69" xfId="0" applyFont="1" applyFill="1" applyBorder="1" applyAlignment="1">
      <alignment vertical="center"/>
    </xf>
    <xf numFmtId="0" fontId="13" fillId="5" borderId="64" xfId="0" applyFont="1" applyFill="1" applyBorder="1" applyAlignment="1">
      <alignment horizontal="left" vertical="center"/>
    </xf>
    <xf numFmtId="167" fontId="13" fillId="5" borderId="65" xfId="0" applyNumberFormat="1" applyFont="1" applyFill="1" applyBorder="1" applyAlignment="1">
      <alignment horizontal="center" vertical="center"/>
    </xf>
    <xf numFmtId="10" fontId="13" fillId="5" borderId="81" xfId="2" applyNumberFormat="1" applyFont="1" applyFill="1" applyBorder="1" applyAlignment="1">
      <alignment horizontal="center" vertical="center"/>
    </xf>
    <xf numFmtId="166" fontId="10" fillId="5" borderId="65" xfId="0" applyNumberFormat="1" applyFont="1" applyFill="1" applyBorder="1" applyAlignment="1">
      <alignment vertical="center"/>
    </xf>
    <xf numFmtId="0" fontId="16" fillId="5" borderId="65" xfId="0" applyFont="1" applyFill="1" applyBorder="1" applyAlignment="1">
      <alignment vertical="center"/>
    </xf>
    <xf numFmtId="0" fontId="9" fillId="5" borderId="43" xfId="0" applyFont="1" applyFill="1" applyBorder="1" applyAlignment="1">
      <alignment horizontal="left" vertical="center"/>
    </xf>
    <xf numFmtId="0" fontId="13" fillId="5" borderId="72" xfId="0" applyFont="1" applyFill="1" applyBorder="1" applyAlignment="1">
      <alignment horizontal="left" vertical="center"/>
    </xf>
    <xf numFmtId="167" fontId="13" fillId="5" borderId="73" xfId="0" applyNumberFormat="1" applyFont="1" applyFill="1" applyBorder="1" applyAlignment="1">
      <alignment horizontal="center" vertical="center"/>
    </xf>
    <xf numFmtId="10" fontId="13" fillId="5" borderId="84" xfId="2" applyNumberFormat="1" applyFont="1" applyFill="1" applyBorder="1" applyAlignment="1">
      <alignment horizontal="center" vertical="center"/>
    </xf>
    <xf numFmtId="166" fontId="10" fillId="5" borderId="73" xfId="0" applyNumberFormat="1" applyFont="1" applyFill="1" applyBorder="1" applyAlignment="1">
      <alignment vertical="center"/>
    </xf>
    <xf numFmtId="0" fontId="16" fillId="5" borderId="73" xfId="0" applyFont="1" applyFill="1" applyBorder="1" applyAlignment="1">
      <alignment vertical="center"/>
    </xf>
    <xf numFmtId="0" fontId="13" fillId="5" borderId="60" xfId="0" applyFont="1" applyFill="1" applyBorder="1" applyAlignment="1">
      <alignment horizontal="left" vertical="center"/>
    </xf>
    <xf numFmtId="167" fontId="13" fillId="5" borderId="61" xfId="0" applyNumberFormat="1" applyFont="1" applyFill="1" applyBorder="1" applyAlignment="1">
      <alignment horizontal="center" vertical="center"/>
    </xf>
    <xf numFmtId="10" fontId="13" fillId="5" borderId="79" xfId="2" applyNumberFormat="1" applyFont="1" applyFill="1" applyBorder="1" applyAlignment="1">
      <alignment horizontal="center" vertical="center"/>
    </xf>
    <xf numFmtId="167" fontId="13" fillId="5" borderId="87" xfId="0" applyNumberFormat="1" applyFont="1" applyFill="1" applyBorder="1" applyAlignment="1">
      <alignment horizontal="center" vertical="center"/>
    </xf>
    <xf numFmtId="166" fontId="10" fillId="5" borderId="61" xfId="0" applyNumberFormat="1" applyFont="1" applyFill="1" applyBorder="1" applyAlignment="1">
      <alignment vertical="center"/>
    </xf>
    <xf numFmtId="0" fontId="16" fillId="5" borderId="61" xfId="0" applyFont="1" applyFill="1" applyBorder="1" applyAlignment="1">
      <alignment vertical="center"/>
    </xf>
    <xf numFmtId="167" fontId="13" fillId="3" borderId="87" xfId="0" applyNumberFormat="1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vertical="center"/>
    </xf>
    <xf numFmtId="0" fontId="13" fillId="5" borderId="58" xfId="0" applyFont="1" applyFill="1" applyBorder="1" applyAlignment="1">
      <alignment horizontal="left" vertical="center"/>
    </xf>
    <xf numFmtId="10" fontId="13" fillId="5" borderId="78" xfId="2" applyNumberFormat="1" applyFont="1" applyFill="1" applyBorder="1" applyAlignment="1">
      <alignment horizontal="center" vertical="center"/>
    </xf>
    <xf numFmtId="166" fontId="10" fillId="5" borderId="59" xfId="0" applyNumberFormat="1" applyFont="1" applyFill="1" applyBorder="1" applyAlignment="1">
      <alignment vertical="center"/>
    </xf>
    <xf numFmtId="0" fontId="16" fillId="5" borderId="59" xfId="0" applyFont="1" applyFill="1" applyBorder="1" applyAlignment="1">
      <alignment vertical="center"/>
    </xf>
    <xf numFmtId="167" fontId="10" fillId="5" borderId="59" xfId="0" applyNumberFormat="1" applyFont="1" applyFill="1" applyBorder="1" applyAlignment="1">
      <alignment vertical="center"/>
    </xf>
    <xf numFmtId="167" fontId="13" fillId="3" borderId="61" xfId="1" applyNumberFormat="1" applyFont="1" applyFill="1" applyBorder="1" applyAlignment="1">
      <alignment horizontal="center" vertical="center"/>
    </xf>
    <xf numFmtId="9" fontId="0" fillId="0" borderId="0" xfId="2" applyFont="1"/>
    <xf numFmtId="165" fontId="0" fillId="0" borderId="0" xfId="1" applyNumberFormat="1" applyFont="1"/>
    <xf numFmtId="165" fontId="4" fillId="0" borderId="92" xfId="1" applyNumberFormat="1" applyFont="1" applyBorder="1" applyAlignment="1">
      <alignment horizontal="center" vertical="center"/>
    </xf>
    <xf numFmtId="165" fontId="4" fillId="0" borderId="57" xfId="1" applyNumberFormat="1" applyFont="1" applyBorder="1" applyAlignment="1">
      <alignment horizontal="center" vertical="center"/>
    </xf>
    <xf numFmtId="165" fontId="4" fillId="0" borderId="92" xfId="1" applyNumberFormat="1" applyFont="1" applyBorder="1" applyAlignment="1">
      <alignment horizontal="left" vertical="center"/>
    </xf>
    <xf numFmtId="165" fontId="4" fillId="0" borderId="93" xfId="1" applyNumberFormat="1" applyFont="1" applyBorder="1" applyAlignment="1">
      <alignment horizontal="left" vertical="center"/>
    </xf>
    <xf numFmtId="165" fontId="4" fillId="0" borderId="56" xfId="1" applyNumberFormat="1" applyFont="1" applyBorder="1" applyAlignment="1">
      <alignment horizontal="center" vertical="center" wrapText="1"/>
    </xf>
    <xf numFmtId="165" fontId="0" fillId="0" borderId="77" xfId="1" applyNumberFormat="1" applyFont="1" applyBorder="1"/>
    <xf numFmtId="165" fontId="0" fillId="0" borderId="42" xfId="1" applyNumberFormat="1" applyFont="1" applyBorder="1"/>
    <xf numFmtId="165" fontId="0" fillId="0" borderId="85" xfId="1" applyNumberFormat="1" applyFont="1" applyBorder="1"/>
    <xf numFmtId="165" fontId="4" fillId="0" borderId="74" xfId="1" applyNumberFormat="1" applyFont="1" applyBorder="1" applyAlignment="1"/>
    <xf numFmtId="165" fontId="4" fillId="0" borderId="75" xfId="1" applyNumberFormat="1" applyFont="1" applyBorder="1" applyAlignment="1"/>
    <xf numFmtId="165" fontId="4" fillId="0" borderId="76" xfId="1" applyNumberFormat="1" applyFont="1" applyBorder="1" applyAlignment="1"/>
    <xf numFmtId="165" fontId="0" fillId="0" borderId="0" xfId="1" applyNumberFormat="1" applyFont="1" applyAlignment="1">
      <alignment horizontal="center"/>
    </xf>
    <xf numFmtId="165" fontId="0" fillId="0" borderId="0" xfId="2" applyNumberFormat="1" applyFont="1"/>
    <xf numFmtId="165" fontId="2" fillId="2" borderId="0" xfId="1" applyNumberFormat="1" applyFont="1" applyFill="1"/>
    <xf numFmtId="165" fontId="0" fillId="5" borderId="0" xfId="1" applyNumberFormat="1" applyFont="1" applyFill="1"/>
    <xf numFmtId="165" fontId="0" fillId="19" borderId="0" xfId="1" applyNumberFormat="1" applyFont="1" applyFill="1"/>
    <xf numFmtId="0" fontId="0" fillId="9" borderId="0" xfId="0" applyFill="1"/>
    <xf numFmtId="165" fontId="0" fillId="9" borderId="0" xfId="1" applyNumberFormat="1" applyFont="1" applyFill="1"/>
    <xf numFmtId="165" fontId="4" fillId="3" borderId="0" xfId="1" applyNumberFormat="1" applyFont="1" applyFill="1"/>
    <xf numFmtId="9" fontId="0" fillId="3" borderId="0" xfId="2" applyFont="1" applyFill="1"/>
    <xf numFmtId="10" fontId="0" fillId="3" borderId="0" xfId="0" applyNumberFormat="1" applyFill="1"/>
    <xf numFmtId="9" fontId="0" fillId="3" borderId="0" xfId="0" applyNumberFormat="1" applyFill="1"/>
    <xf numFmtId="9" fontId="0" fillId="0" borderId="0" xfId="0" applyNumberFormat="1"/>
    <xf numFmtId="10" fontId="36" fillId="5" borderId="59" xfId="2" applyNumberFormat="1" applyFont="1" applyFill="1" applyBorder="1" applyAlignment="1">
      <alignment horizontal="center" vertical="center"/>
    </xf>
    <xf numFmtId="165" fontId="0" fillId="3" borderId="35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3" borderId="35" xfId="0" applyNumberFormat="1" applyFill="1" applyBorder="1"/>
    <xf numFmtId="10" fontId="0" fillId="3" borderId="3" xfId="2" applyNumberFormat="1" applyFont="1" applyFill="1" applyBorder="1"/>
    <xf numFmtId="10" fontId="0" fillId="3" borderId="6" xfId="2" applyNumberFormat="1" applyFont="1" applyFill="1" applyBorder="1"/>
    <xf numFmtId="10" fontId="0" fillId="3" borderId="9" xfId="2" applyNumberFormat="1" applyFont="1" applyFill="1" applyBorder="1"/>
    <xf numFmtId="10" fontId="0" fillId="3" borderId="12" xfId="0" applyNumberFormat="1" applyFill="1" applyBorder="1"/>
    <xf numFmtId="0" fontId="0" fillId="0" borderId="92" xfId="0" applyBorder="1"/>
    <xf numFmtId="164" fontId="0" fillId="0" borderId="0" xfId="1" applyFont="1" applyBorder="1"/>
    <xf numFmtId="0" fontId="3" fillId="0" borderId="23" xfId="0" applyFont="1" applyBorder="1"/>
    <xf numFmtId="166" fontId="22" fillId="0" borderId="23" xfId="0" applyNumberFormat="1" applyFont="1" applyBorder="1"/>
    <xf numFmtId="0" fontId="11" fillId="0" borderId="72" xfId="0" applyFont="1" applyBorder="1" applyAlignment="1">
      <alignment horizontal="left" vertical="center"/>
    </xf>
    <xf numFmtId="167" fontId="12" fillId="0" borderId="73" xfId="0" applyNumberFormat="1" applyFont="1" applyBorder="1" applyAlignment="1">
      <alignment horizontal="center" vertical="center"/>
    </xf>
    <xf numFmtId="10" fontId="14" fillId="0" borderId="84" xfId="2" applyNumberFormat="1" applyFont="1" applyBorder="1" applyAlignment="1">
      <alignment horizontal="center" vertical="center"/>
    </xf>
    <xf numFmtId="165" fontId="12" fillId="12" borderId="91" xfId="1" applyNumberFormat="1" applyFont="1" applyFill="1" applyBorder="1" applyAlignment="1">
      <alignment horizontal="center" vertical="center"/>
    </xf>
    <xf numFmtId="167" fontId="12" fillId="5" borderId="73" xfId="1" applyNumberFormat="1" applyFont="1" applyFill="1" applyBorder="1" applyAlignment="1">
      <alignment horizontal="center" vertical="center"/>
    </xf>
    <xf numFmtId="10" fontId="14" fillId="5" borderId="73" xfId="2" applyNumberFormat="1" applyFont="1" applyFill="1" applyBorder="1" applyAlignment="1">
      <alignment horizontal="center" vertical="center"/>
    </xf>
    <xf numFmtId="165" fontId="12" fillId="7" borderId="73" xfId="1" applyNumberFormat="1" applyFont="1" applyFill="1" applyBorder="1" applyAlignment="1">
      <alignment horizontal="center" vertical="center"/>
    </xf>
    <xf numFmtId="166" fontId="12" fillId="7" borderId="73" xfId="0" applyNumberFormat="1" applyFont="1" applyFill="1" applyBorder="1" applyAlignment="1">
      <alignment horizontal="center" vertical="center"/>
    </xf>
    <xf numFmtId="0" fontId="12" fillId="0" borderId="73" xfId="0" applyFont="1" applyBorder="1" applyAlignment="1">
      <alignment vertical="center"/>
    </xf>
    <xf numFmtId="0" fontId="11" fillId="0" borderId="70" xfId="0" applyFont="1" applyBorder="1" applyAlignment="1">
      <alignment horizontal="left" vertical="center"/>
    </xf>
    <xf numFmtId="167" fontId="12" fillId="0" borderId="71" xfId="0" applyNumberFormat="1" applyFont="1" applyBorder="1" applyAlignment="1">
      <alignment horizontal="center" vertical="center"/>
    </xf>
    <xf numFmtId="10" fontId="14" fillId="0" borderId="83" xfId="2" applyNumberFormat="1" applyFont="1" applyBorder="1" applyAlignment="1">
      <alignment horizontal="center" vertical="center"/>
    </xf>
    <xf numFmtId="165" fontId="12" fillId="12" borderId="90" xfId="1" applyNumberFormat="1" applyFont="1" applyFill="1" applyBorder="1" applyAlignment="1">
      <alignment horizontal="center" vertical="center"/>
    </xf>
    <xf numFmtId="167" fontId="12" fillId="5" borderId="71" xfId="1" applyNumberFormat="1" applyFont="1" applyFill="1" applyBorder="1" applyAlignment="1">
      <alignment horizontal="center" vertical="center"/>
    </xf>
    <xf numFmtId="165" fontId="12" fillId="7" borderId="71" xfId="1" applyNumberFormat="1" applyFont="1" applyFill="1" applyBorder="1" applyAlignment="1">
      <alignment horizontal="center" vertical="center"/>
    </xf>
    <xf numFmtId="166" fontId="12" fillId="7" borderId="71" xfId="0" applyNumberFormat="1" applyFont="1" applyFill="1" applyBorder="1" applyAlignment="1">
      <alignment horizontal="center" vertical="center"/>
    </xf>
    <xf numFmtId="0" fontId="12" fillId="0" borderId="71" xfId="0" applyFont="1" applyBorder="1" applyAlignment="1">
      <alignment vertical="center"/>
    </xf>
    <xf numFmtId="0" fontId="11" fillId="0" borderId="77" xfId="0" applyFont="1" applyBorder="1" applyAlignment="1">
      <alignment horizontal="left" vertical="center"/>
    </xf>
    <xf numFmtId="165" fontId="12" fillId="12" borderId="23" xfId="1" applyNumberFormat="1" applyFont="1" applyFill="1" applyBorder="1" applyAlignment="1">
      <alignment horizontal="center" vertical="center"/>
    </xf>
    <xf numFmtId="165" fontId="12" fillId="12" borderId="95" xfId="1" applyNumberFormat="1" applyFont="1" applyFill="1" applyBorder="1" applyAlignment="1">
      <alignment horizontal="center" vertical="center"/>
    </xf>
    <xf numFmtId="167" fontId="12" fillId="5" borderId="23" xfId="1" applyNumberFormat="1" applyFont="1" applyFill="1" applyBorder="1" applyAlignment="1">
      <alignment horizontal="center" vertical="center"/>
    </xf>
    <xf numFmtId="10" fontId="14" fillId="5" borderId="23" xfId="2" applyNumberFormat="1" applyFont="1" applyFill="1" applyBorder="1" applyAlignment="1">
      <alignment horizontal="center" vertical="center"/>
    </xf>
    <xf numFmtId="165" fontId="12" fillId="7" borderId="23" xfId="1" applyNumberFormat="1" applyFont="1" applyFill="1" applyBorder="1" applyAlignment="1">
      <alignment horizontal="center" vertical="center"/>
    </xf>
    <xf numFmtId="166" fontId="12" fillId="7" borderId="23" xfId="0" applyNumberFormat="1" applyFont="1" applyFill="1" applyBorder="1" applyAlignment="1">
      <alignment horizontal="center" vertical="center"/>
    </xf>
    <xf numFmtId="0" fontId="12" fillId="0" borderId="23" xfId="0" applyFont="1" applyBorder="1" applyAlignment="1">
      <alignment vertical="center"/>
    </xf>
    <xf numFmtId="0" fontId="33" fillId="5" borderId="92" xfId="0" applyFont="1" applyFill="1" applyBorder="1" applyAlignment="1">
      <alignment horizontal="left" vertical="center"/>
    </xf>
    <xf numFmtId="167" fontId="23" fillId="5" borderId="0" xfId="0" applyNumberFormat="1" applyFont="1" applyFill="1" applyAlignment="1">
      <alignment horizontal="center" vertical="center"/>
    </xf>
    <xf numFmtId="10" fontId="23" fillId="5" borderId="0" xfId="2" applyNumberFormat="1" applyFont="1" applyFill="1" applyBorder="1" applyAlignment="1">
      <alignment horizontal="center" vertical="center"/>
    </xf>
    <xf numFmtId="166" fontId="23" fillId="5" borderId="0" xfId="0" applyNumberFormat="1" applyFont="1" applyFill="1" applyAlignment="1">
      <alignment horizontal="center" vertical="center"/>
    </xf>
    <xf numFmtId="165" fontId="23" fillId="5" borderId="0" xfId="1" applyNumberFormat="1" applyFont="1" applyFill="1" applyBorder="1" applyAlignment="1">
      <alignment horizontal="center" vertical="center"/>
    </xf>
    <xf numFmtId="167" fontId="23" fillId="5" borderId="0" xfId="1" applyNumberFormat="1" applyFont="1" applyFill="1" applyBorder="1" applyAlignment="1">
      <alignment horizontal="center" vertical="center"/>
    </xf>
    <xf numFmtId="167" fontId="23" fillId="5" borderId="95" xfId="0" applyNumberFormat="1" applyFont="1" applyFill="1" applyBorder="1" applyAlignment="1">
      <alignment vertical="center"/>
    </xf>
    <xf numFmtId="166" fontId="23" fillId="5" borderId="0" xfId="0" applyNumberFormat="1" applyFont="1" applyFill="1" applyAlignment="1">
      <alignment vertical="center"/>
    </xf>
    <xf numFmtId="0" fontId="23" fillId="5" borderId="0" xfId="0" applyFont="1" applyFill="1" applyAlignment="1">
      <alignment vertical="center"/>
    </xf>
    <xf numFmtId="167" fontId="23" fillId="5" borderId="0" xfId="0" applyNumberFormat="1" applyFont="1" applyFill="1" applyAlignment="1">
      <alignment vertical="center"/>
    </xf>
    <xf numFmtId="1" fontId="0" fillId="3" borderId="43" xfId="0" applyNumberFormat="1" applyFill="1" applyBorder="1" applyAlignment="1">
      <alignment horizontal="center" vertical="center"/>
    </xf>
    <xf numFmtId="49" fontId="0" fillId="3" borderId="43" xfId="0" applyNumberFormat="1" applyFill="1" applyBorder="1" applyAlignment="1">
      <alignment horizontal="center" vertical="center" wrapText="1"/>
    </xf>
    <xf numFmtId="49" fontId="21" fillId="3" borderId="43" xfId="0" applyNumberFormat="1" applyFont="1" applyFill="1" applyBorder="1" applyAlignment="1">
      <alignment horizontal="center" vertical="center" wrapText="1"/>
    </xf>
    <xf numFmtId="0" fontId="0" fillId="3" borderId="43" xfId="0" applyFill="1" applyBorder="1" applyAlignment="1">
      <alignment horizontal="left"/>
    </xf>
    <xf numFmtId="168" fontId="0" fillId="3" borderId="43" xfId="0" applyNumberFormat="1" applyFill="1" applyBorder="1" applyAlignment="1">
      <alignment horizontal="center" vertical="center" wrapText="1"/>
    </xf>
    <xf numFmtId="166" fontId="0" fillId="3" borderId="43" xfId="0" applyNumberFormat="1" applyFill="1" applyBorder="1" applyAlignment="1">
      <alignment horizontal="right" vertical="center"/>
    </xf>
    <xf numFmtId="166" fontId="22" fillId="6" borderId="0" xfId="0" applyNumberFormat="1" applyFont="1" applyFill="1"/>
    <xf numFmtId="0" fontId="0" fillId="6" borderId="23" xfId="0" applyFill="1" applyBorder="1"/>
    <xf numFmtId="164" fontId="4" fillId="4" borderId="43" xfId="1" applyFont="1" applyFill="1" applyBorder="1" applyAlignment="1">
      <alignment horizontal="center" wrapText="1"/>
    </xf>
    <xf numFmtId="164" fontId="4" fillId="4" borderId="43" xfId="1" applyFont="1" applyFill="1" applyBorder="1" applyAlignment="1">
      <alignment vertical="center"/>
    </xf>
    <xf numFmtId="164" fontId="4" fillId="4" borderId="43" xfId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" fontId="0" fillId="0" borderId="43" xfId="0" applyNumberFormat="1" applyBorder="1" applyAlignment="1">
      <alignment horizontal="right" vertical="center"/>
    </xf>
    <xf numFmtId="167" fontId="0" fillId="0" borderId="0" xfId="0" applyNumberFormat="1"/>
    <xf numFmtId="164" fontId="37" fillId="0" borderId="0" xfId="1" applyFont="1"/>
    <xf numFmtId="165" fontId="4" fillId="6" borderId="0" xfId="1" applyNumberFormat="1" applyFont="1" applyFill="1"/>
    <xf numFmtId="0" fontId="10" fillId="0" borderId="24" xfId="4" applyFont="1" applyBorder="1" applyAlignment="1">
      <alignment horizontal="left"/>
    </xf>
    <xf numFmtId="0" fontId="10" fillId="0" borderId="24" xfId="4" applyFont="1" applyBorder="1" applyAlignment="1">
      <alignment horizontal="center"/>
    </xf>
    <xf numFmtId="166" fontId="13" fillId="0" borderId="26" xfId="5" applyNumberFormat="1" applyFont="1" applyFill="1" applyBorder="1" applyAlignment="1">
      <alignment horizontal="center" vertical="center" wrapText="1"/>
    </xf>
    <xf numFmtId="0" fontId="12" fillId="0" borderId="0" xfId="4" applyFont="1"/>
    <xf numFmtId="165" fontId="13" fillId="0" borderId="27" xfId="5" applyNumberFormat="1" applyFont="1" applyFill="1" applyBorder="1" applyAlignment="1">
      <alignment horizontal="left" vertical="center"/>
    </xf>
    <xf numFmtId="165" fontId="13" fillId="0" borderId="27" xfId="5" applyNumberFormat="1" applyFont="1" applyFill="1" applyBorder="1" applyAlignment="1">
      <alignment horizontal="center" vertical="center"/>
    </xf>
    <xf numFmtId="166" fontId="13" fillId="0" borderId="25" xfId="5" applyNumberFormat="1" applyFont="1" applyFill="1" applyBorder="1" applyAlignment="1">
      <alignment horizontal="center" vertical="center" wrapText="1"/>
    </xf>
    <xf numFmtId="0" fontId="14" fillId="0" borderId="0" xfId="4" applyFont="1"/>
    <xf numFmtId="0" fontId="9" fillId="3" borderId="32" xfId="4" applyFont="1" applyFill="1" applyBorder="1" applyAlignment="1">
      <alignment horizontal="left" vertical="center"/>
    </xf>
    <xf numFmtId="167" fontId="9" fillId="3" borderId="32" xfId="4" applyNumberFormat="1" applyFont="1" applyFill="1" applyBorder="1" applyAlignment="1">
      <alignment horizontal="center" vertical="center"/>
    </xf>
    <xf numFmtId="167" fontId="10" fillId="0" borderId="31" xfId="4" applyNumberFormat="1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9" fillId="0" borderId="29" xfId="4" applyFont="1" applyBorder="1" applyAlignment="1">
      <alignment horizontal="left" vertical="center"/>
    </xf>
    <xf numFmtId="0" fontId="9" fillId="0" borderId="29" xfId="4" applyFont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9" fillId="5" borderId="38" xfId="4" applyFont="1" applyFill="1" applyBorder="1" applyAlignment="1">
      <alignment horizontal="left" vertical="center"/>
    </xf>
    <xf numFmtId="167" fontId="10" fillId="5" borderId="39" xfId="4" applyNumberFormat="1" applyFont="1" applyFill="1" applyBorder="1" applyAlignment="1">
      <alignment horizontal="center" vertical="center"/>
    </xf>
    <xf numFmtId="167" fontId="10" fillId="5" borderId="40" xfId="4" applyNumberFormat="1" applyFont="1" applyFill="1" applyBorder="1" applyAlignment="1">
      <alignment horizontal="center" vertical="center"/>
    </xf>
    <xf numFmtId="0" fontId="11" fillId="0" borderId="18" xfId="4" applyFont="1" applyBorder="1" applyAlignment="1">
      <alignment horizontal="left" vertical="center"/>
    </xf>
    <xf numFmtId="167" fontId="12" fillId="0" borderId="17" xfId="4" applyNumberFormat="1" applyFont="1" applyBorder="1" applyAlignment="1">
      <alignment horizontal="center" vertical="center"/>
    </xf>
    <xf numFmtId="0" fontId="12" fillId="0" borderId="17" xfId="4" applyFont="1" applyBorder="1" applyAlignment="1">
      <alignment vertical="center"/>
    </xf>
    <xf numFmtId="0" fontId="11" fillId="0" borderId="19" xfId="4" applyFont="1" applyBorder="1" applyAlignment="1">
      <alignment horizontal="left" vertical="center"/>
    </xf>
    <xf numFmtId="167" fontId="12" fillId="0" borderId="5" xfId="4" applyNumberFormat="1" applyFont="1" applyBorder="1" applyAlignment="1">
      <alignment horizontal="center" vertical="center"/>
    </xf>
    <xf numFmtId="0" fontId="12" fillId="0" borderId="5" xfId="4" applyFont="1" applyBorder="1" applyAlignment="1">
      <alignment vertical="center"/>
    </xf>
    <xf numFmtId="0" fontId="9" fillId="5" borderId="22" xfId="4" applyFont="1" applyFill="1" applyBorder="1" applyAlignment="1">
      <alignment horizontal="left" vertical="center"/>
    </xf>
    <xf numFmtId="167" fontId="10" fillId="5" borderId="30" xfId="4" applyNumberFormat="1" applyFont="1" applyFill="1" applyBorder="1" applyAlignment="1">
      <alignment horizontal="center" vertical="center"/>
    </xf>
    <xf numFmtId="0" fontId="11" fillId="0" borderId="20" xfId="4" applyFont="1" applyBorder="1" applyAlignment="1">
      <alignment horizontal="left" vertical="center"/>
    </xf>
    <xf numFmtId="167" fontId="12" fillId="0" borderId="16" xfId="4" applyNumberFormat="1" applyFont="1" applyBorder="1" applyAlignment="1">
      <alignment horizontal="center" vertical="center"/>
    </xf>
    <xf numFmtId="0" fontId="11" fillId="0" borderId="21" xfId="4" applyFont="1" applyBorder="1" applyAlignment="1">
      <alignment horizontal="left" vertical="center"/>
    </xf>
    <xf numFmtId="0" fontId="13" fillId="0" borderId="33" xfId="4" applyFont="1" applyBorder="1" applyAlignment="1">
      <alignment horizontal="left" vertical="center"/>
    </xf>
    <xf numFmtId="167" fontId="13" fillId="0" borderId="34" xfId="4" applyNumberFormat="1" applyFont="1" applyBorder="1" applyAlignment="1">
      <alignment horizontal="center" vertical="center"/>
    </xf>
    <xf numFmtId="0" fontId="16" fillId="8" borderId="0" xfId="4" applyFont="1" applyFill="1" applyAlignment="1">
      <alignment vertical="center"/>
    </xf>
    <xf numFmtId="0" fontId="13" fillId="0" borderId="37" xfId="4" applyFont="1" applyBorder="1" applyAlignment="1">
      <alignment horizontal="left" vertical="center"/>
    </xf>
    <xf numFmtId="10" fontId="13" fillId="0" borderId="37" xfId="6" applyNumberFormat="1" applyFont="1" applyFill="1" applyBorder="1" applyAlignment="1">
      <alignment horizontal="center" vertical="center"/>
    </xf>
    <xf numFmtId="167" fontId="12" fillId="0" borderId="37" xfId="4" applyNumberFormat="1" applyFont="1" applyBorder="1" applyAlignment="1">
      <alignment horizontal="center" vertical="center"/>
    </xf>
    <xf numFmtId="167" fontId="13" fillId="0" borderId="34" xfId="4" applyNumberFormat="1" applyFont="1" applyBorder="1" applyAlignment="1">
      <alignment vertical="center"/>
    </xf>
    <xf numFmtId="0" fontId="12" fillId="7" borderId="0" xfId="4" applyFont="1" applyFill="1" applyAlignment="1">
      <alignment vertical="center"/>
    </xf>
    <xf numFmtId="0" fontId="12" fillId="0" borderId="0" xfId="4" applyFont="1" applyAlignment="1">
      <alignment horizontal="left"/>
    </xf>
    <xf numFmtId="0" fontId="12" fillId="0" borderId="0" xfId="4" applyFont="1" applyAlignment="1">
      <alignment horizontal="center"/>
    </xf>
    <xf numFmtId="10" fontId="6" fillId="3" borderId="0" xfId="9" applyNumberFormat="1" applyFont="1" applyFill="1" applyAlignment="1">
      <alignment vertical="center"/>
    </xf>
    <xf numFmtId="9" fontId="12" fillId="0" borderId="0" xfId="4" applyNumberFormat="1" applyFont="1" applyAlignment="1">
      <alignment horizontal="center"/>
    </xf>
    <xf numFmtId="10" fontId="12" fillId="0" borderId="0" xfId="4" applyNumberFormat="1" applyFont="1"/>
    <xf numFmtId="167" fontId="10" fillId="0" borderId="97" xfId="4" applyNumberFormat="1" applyFont="1" applyBorder="1" applyAlignment="1">
      <alignment horizontal="center" vertical="center"/>
    </xf>
    <xf numFmtId="167" fontId="9" fillId="3" borderId="28" xfId="4" applyNumberFormat="1" applyFont="1" applyFill="1" applyBorder="1" applyAlignment="1">
      <alignment horizontal="center" vertical="center"/>
    </xf>
    <xf numFmtId="167" fontId="10" fillId="5" borderId="17" xfId="4" applyNumberFormat="1" applyFont="1" applyFill="1" applyBorder="1" applyAlignment="1">
      <alignment horizontal="center" vertical="center"/>
    </xf>
    <xf numFmtId="167" fontId="10" fillId="5" borderId="98" xfId="4" applyNumberFormat="1" applyFont="1" applyFill="1" applyBorder="1" applyAlignment="1">
      <alignment horizontal="center" vertical="center"/>
    </xf>
    <xf numFmtId="167" fontId="12" fillId="0" borderId="99" xfId="4" applyNumberFormat="1" applyFont="1" applyBorder="1" applyAlignment="1">
      <alignment horizontal="center" vertical="center"/>
    </xf>
    <xf numFmtId="167" fontId="12" fillId="0" borderId="100" xfId="4" applyNumberFormat="1" applyFont="1" applyBorder="1" applyAlignment="1">
      <alignment horizontal="center" vertical="center"/>
    </xf>
    <xf numFmtId="167" fontId="10" fillId="5" borderId="66" xfId="4" applyNumberFormat="1" applyFont="1" applyFill="1" applyBorder="1" applyAlignment="1">
      <alignment horizontal="center" vertical="center"/>
    </xf>
    <xf numFmtId="167" fontId="12" fillId="0" borderId="101" xfId="4" applyNumberFormat="1" applyFont="1" applyBorder="1" applyAlignment="1">
      <alignment horizontal="center" vertical="center"/>
    </xf>
    <xf numFmtId="167" fontId="13" fillId="0" borderId="102" xfId="4" applyNumberFormat="1" applyFont="1" applyBorder="1" applyAlignment="1">
      <alignment horizontal="center" vertical="center"/>
    </xf>
    <xf numFmtId="9" fontId="10" fillId="0" borderId="17" xfId="9" applyFont="1" applyBorder="1" applyAlignment="1">
      <alignment horizontal="center" vertical="center"/>
    </xf>
    <xf numFmtId="167" fontId="13" fillId="0" borderId="102" xfId="4" applyNumberFormat="1" applyFont="1" applyBorder="1" applyAlignment="1">
      <alignment vertical="center"/>
    </xf>
    <xf numFmtId="167" fontId="10" fillId="0" borderId="17" xfId="4" applyNumberFormat="1" applyFont="1" applyBorder="1" applyAlignment="1">
      <alignment horizontal="center" vertical="center"/>
    </xf>
    <xf numFmtId="10" fontId="13" fillId="0" borderId="37" xfId="6" applyNumberFormat="1" applyFont="1" applyBorder="1" applyAlignment="1">
      <alignment horizontal="center" vertical="center"/>
    </xf>
    <xf numFmtId="0" fontId="12" fillId="3" borderId="0" xfId="4" applyFont="1" applyFill="1"/>
    <xf numFmtId="165" fontId="6" fillId="3" borderId="0" xfId="11" applyNumberFormat="1" applyFont="1" applyFill="1" applyAlignment="1">
      <alignment vertical="center"/>
    </xf>
    <xf numFmtId="165" fontId="6" fillId="3" borderId="0" xfId="11" applyNumberFormat="1" applyFont="1" applyFill="1" applyBorder="1" applyAlignment="1">
      <alignment vertical="center"/>
    </xf>
    <xf numFmtId="165" fontId="1" fillId="3" borderId="0" xfId="11" applyNumberFormat="1" applyFont="1" applyFill="1" applyAlignment="1">
      <alignment vertical="center"/>
    </xf>
    <xf numFmtId="165" fontId="7" fillId="0" borderId="27" xfId="11" applyNumberFormat="1" applyFont="1" applyFill="1" applyBorder="1" applyAlignment="1">
      <alignment horizontal="left" vertical="center"/>
    </xf>
    <xf numFmtId="165" fontId="7" fillId="0" borderId="25" xfId="11" applyNumberFormat="1" applyFont="1" applyFill="1" applyBorder="1" applyAlignment="1">
      <alignment horizontal="center" vertical="center" wrapText="1"/>
    </xf>
    <xf numFmtId="165" fontId="8" fillId="0" borderId="0" xfId="11" applyNumberFormat="1" applyFont="1" applyAlignment="1">
      <alignment vertical="center"/>
    </xf>
    <xf numFmtId="165" fontId="5" fillId="4" borderId="0" xfId="11" applyNumberFormat="1" applyFont="1" applyFill="1" applyAlignment="1">
      <alignment horizontal="left" vertical="center"/>
    </xf>
    <xf numFmtId="165" fontId="5" fillId="4" borderId="0" xfId="11" applyNumberFormat="1" applyFont="1" applyFill="1" applyAlignment="1">
      <alignment horizontal="center" vertical="center"/>
    </xf>
    <xf numFmtId="165" fontId="6" fillId="3" borderId="0" xfId="11" applyNumberFormat="1" applyFont="1" applyFill="1" applyAlignment="1">
      <alignment horizontal="right" vertical="center"/>
    </xf>
    <xf numFmtId="165" fontId="6" fillId="0" borderId="0" xfId="11" applyNumberFormat="1" applyFont="1" applyAlignment="1">
      <alignment vertical="center"/>
    </xf>
    <xf numFmtId="165" fontId="6" fillId="0" borderId="35" xfId="11" applyNumberFormat="1" applyFont="1" applyBorder="1" applyAlignment="1">
      <alignment vertical="center"/>
    </xf>
    <xf numFmtId="165" fontId="0" fillId="3" borderId="0" xfId="11" applyNumberFormat="1" applyFont="1" applyFill="1" applyAlignment="1">
      <alignment vertical="center"/>
    </xf>
    <xf numFmtId="165" fontId="4" fillId="7" borderId="35" xfId="11" applyNumberFormat="1" applyFont="1" applyFill="1" applyBorder="1" applyAlignment="1">
      <alignment horizontal="center"/>
    </xf>
    <xf numFmtId="165" fontId="5" fillId="4" borderId="35" xfId="11" applyNumberFormat="1" applyFont="1" applyFill="1" applyBorder="1" applyAlignment="1">
      <alignment horizontal="center" vertical="center"/>
    </xf>
    <xf numFmtId="165" fontId="5" fillId="3" borderId="0" xfId="11" applyNumberFormat="1" applyFont="1" applyFill="1" applyAlignment="1">
      <alignment horizontal="right" vertical="center"/>
    </xf>
    <xf numFmtId="165" fontId="6" fillId="9" borderId="0" xfId="11" applyNumberFormat="1" applyFont="1" applyFill="1" applyAlignment="1">
      <alignment vertical="center"/>
    </xf>
    <xf numFmtId="165" fontId="1" fillId="0" borderId="35" xfId="11" applyNumberFormat="1" applyFont="1" applyBorder="1" applyAlignment="1">
      <alignment horizontal="center"/>
    </xf>
    <xf numFmtId="165" fontId="1" fillId="6" borderId="35" xfId="11" applyNumberFormat="1" applyFont="1" applyFill="1" applyBorder="1" applyAlignment="1">
      <alignment horizontal="center"/>
    </xf>
    <xf numFmtId="165" fontId="1" fillId="0" borderId="36" xfId="11" applyNumberFormat="1" applyFont="1" applyBorder="1" applyAlignment="1">
      <alignment horizontal="center"/>
    </xf>
    <xf numFmtId="165" fontId="1" fillId="0" borderId="36" xfId="11" applyNumberFormat="1" applyFont="1" applyBorder="1"/>
    <xf numFmtId="165" fontId="5" fillId="4" borderId="36" xfId="11" applyNumberFormat="1" applyFont="1" applyFill="1" applyBorder="1" applyAlignment="1">
      <alignment horizontal="center" vertical="center"/>
    </xf>
    <xf numFmtId="165" fontId="3" fillId="3" borderId="0" xfId="11" applyNumberFormat="1" applyFont="1" applyFill="1" applyAlignment="1">
      <alignment vertical="center"/>
    </xf>
    <xf numFmtId="165" fontId="1" fillId="3" borderId="35" xfId="11" applyNumberFormat="1" applyFont="1" applyFill="1" applyBorder="1" applyAlignment="1">
      <alignment horizontal="center"/>
    </xf>
    <xf numFmtId="165" fontId="6" fillId="6" borderId="0" xfId="11" applyNumberFormat="1" applyFont="1" applyFill="1" applyAlignment="1">
      <alignment vertical="center"/>
    </xf>
    <xf numFmtId="165" fontId="1" fillId="0" borderId="0" xfId="11" applyNumberFormat="1" applyFont="1" applyAlignment="1">
      <alignment vertical="center"/>
    </xf>
    <xf numFmtId="165" fontId="5" fillId="6" borderId="0" xfId="11" applyNumberFormat="1" applyFont="1" applyFill="1" applyAlignment="1">
      <alignment horizontal="left" vertical="center"/>
    </xf>
    <xf numFmtId="165" fontId="5" fillId="7" borderId="0" xfId="11" applyNumberFormat="1" applyFont="1" applyFill="1" applyAlignment="1">
      <alignment horizontal="left" vertical="center"/>
    </xf>
    <xf numFmtId="165" fontId="6" fillId="0" borderId="0" xfId="11" applyNumberFormat="1" applyFont="1" applyAlignment="1">
      <alignment horizontal="right" vertical="center"/>
    </xf>
    <xf numFmtId="165" fontId="6" fillId="10" borderId="0" xfId="11" applyNumberFormat="1" applyFont="1" applyFill="1" applyAlignment="1">
      <alignment vertical="center"/>
    </xf>
    <xf numFmtId="165" fontId="6" fillId="11" borderId="0" xfId="11" applyNumberFormat="1" applyFont="1" applyFill="1" applyAlignment="1">
      <alignment vertical="center"/>
    </xf>
    <xf numFmtId="165" fontId="2" fillId="20" borderId="0" xfId="0" applyNumberFormat="1" applyFont="1" applyFill="1" applyAlignment="1">
      <alignment horizontal="left" vertical="center"/>
    </xf>
    <xf numFmtId="165" fontId="2" fillId="20" borderId="0" xfId="0" applyNumberFormat="1" applyFont="1" applyFill="1" applyAlignment="1">
      <alignment horizontal="center" vertical="center"/>
    </xf>
    <xf numFmtId="165" fontId="37" fillId="20" borderId="0" xfId="0" applyNumberFormat="1" applyFont="1" applyFill="1" applyAlignment="1">
      <alignment horizontal="right" vertical="center"/>
    </xf>
    <xf numFmtId="165" fontId="2" fillId="20" borderId="35" xfId="0" applyNumberFormat="1" applyFont="1" applyFill="1" applyBorder="1" applyAlignment="1">
      <alignment horizontal="center" vertical="center"/>
    </xf>
    <xf numFmtId="165" fontId="2" fillId="20" borderId="36" xfId="0" applyNumberFormat="1" applyFont="1" applyFill="1" applyBorder="1" applyAlignment="1">
      <alignment horizontal="center" vertical="center"/>
    </xf>
    <xf numFmtId="165" fontId="2" fillId="20" borderId="0" xfId="11" applyNumberFormat="1" applyFont="1" applyFill="1" applyAlignment="1">
      <alignment horizontal="left" vertical="center"/>
    </xf>
    <xf numFmtId="165" fontId="37" fillId="20" borderId="35" xfId="11" applyNumberFormat="1" applyFont="1" applyFill="1" applyBorder="1" applyAlignment="1">
      <alignment horizontal="center"/>
    </xf>
    <xf numFmtId="165" fontId="2" fillId="20" borderId="35" xfId="11" applyNumberFormat="1" applyFont="1" applyFill="1" applyBorder="1" applyAlignment="1">
      <alignment horizontal="center" vertical="center"/>
    </xf>
    <xf numFmtId="165" fontId="2" fillId="20" borderId="36" xfId="11" applyNumberFormat="1" applyFont="1" applyFill="1" applyBorder="1" applyAlignment="1">
      <alignment horizontal="center" vertical="center"/>
    </xf>
    <xf numFmtId="165" fontId="37" fillId="20" borderId="0" xfId="11" applyNumberFormat="1" applyFont="1" applyFill="1" applyAlignment="1">
      <alignment horizontal="right" vertical="center"/>
    </xf>
    <xf numFmtId="165" fontId="37" fillId="20" borderId="35" xfId="0" applyNumberFormat="1" applyFont="1" applyFill="1" applyBorder="1" applyAlignment="1">
      <alignment horizontal="center"/>
    </xf>
    <xf numFmtId="167" fontId="33" fillId="5" borderId="43" xfId="0" applyNumberFormat="1" applyFont="1" applyFill="1" applyBorder="1" applyAlignment="1">
      <alignment horizontal="center" vertical="center"/>
    </xf>
    <xf numFmtId="167" fontId="33" fillId="5" borderId="0" xfId="0" applyNumberFormat="1" applyFont="1" applyFill="1" applyAlignment="1">
      <alignment horizontal="center" vertical="center"/>
    </xf>
    <xf numFmtId="0" fontId="12" fillId="0" borderId="43" xfId="0" applyFont="1" applyBorder="1" applyAlignment="1">
      <alignment horizontal="center"/>
    </xf>
    <xf numFmtId="168" fontId="4" fillId="0" borderId="31" xfId="0" applyNumberFormat="1" applyFont="1" applyBorder="1"/>
    <xf numFmtId="0" fontId="0" fillId="6" borderId="23" xfId="0" applyFill="1" applyBorder="1" applyAlignment="1">
      <alignment wrapText="1"/>
    </xf>
    <xf numFmtId="168" fontId="4" fillId="0" borderId="103" xfId="0" applyNumberFormat="1" applyFont="1" applyBorder="1"/>
    <xf numFmtId="168" fontId="4" fillId="0" borderId="48" xfId="0" applyNumberFormat="1" applyFont="1" applyBorder="1"/>
    <xf numFmtId="0" fontId="4" fillId="0" borderId="48" xfId="0" applyFont="1" applyBorder="1" applyAlignment="1">
      <alignment horizontal="center"/>
    </xf>
    <xf numFmtId="167" fontId="23" fillId="6" borderId="43" xfId="0" applyNumberFormat="1" applyFont="1" applyFill="1" applyBorder="1" applyAlignment="1">
      <alignment horizontal="center" vertical="center"/>
    </xf>
    <xf numFmtId="1" fontId="0" fillId="6" borderId="43" xfId="0" applyNumberFormat="1" applyFill="1" applyBorder="1" applyAlignment="1">
      <alignment horizontal="center" vertical="center"/>
    </xf>
    <xf numFmtId="49" fontId="0" fillId="6" borderId="43" xfId="0" applyNumberFormat="1" applyFill="1" applyBorder="1" applyAlignment="1">
      <alignment horizontal="center" vertical="center" wrapText="1"/>
    </xf>
    <xf numFmtId="49" fontId="21" fillId="6" borderId="43" xfId="0" applyNumberFormat="1" applyFont="1" applyFill="1" applyBorder="1" applyAlignment="1">
      <alignment horizontal="center" vertical="center" wrapText="1"/>
    </xf>
    <xf numFmtId="49" fontId="0" fillId="6" borderId="43" xfId="0" applyNumberFormat="1" applyFill="1" applyBorder="1" applyAlignment="1">
      <alignment horizontal="left" vertical="center" wrapText="1"/>
    </xf>
    <xf numFmtId="168" fontId="0" fillId="6" borderId="43" xfId="0" applyNumberFormat="1" applyFill="1" applyBorder="1" applyAlignment="1">
      <alignment horizontal="center" vertical="center" wrapText="1"/>
    </xf>
    <xf numFmtId="166" fontId="0" fillId="6" borderId="43" xfId="0" applyNumberFormat="1" applyFill="1" applyBorder="1" applyAlignment="1">
      <alignment horizontal="right" vertical="center"/>
    </xf>
    <xf numFmtId="165" fontId="6" fillId="3" borderId="0" xfId="13" applyNumberFormat="1" applyFont="1" applyFill="1" applyAlignment="1">
      <alignment vertical="center"/>
    </xf>
    <xf numFmtId="165" fontId="39" fillId="3" borderId="35" xfId="13" applyNumberFormat="1" applyFill="1" applyBorder="1" applyAlignment="1">
      <alignment horizontal="center"/>
    </xf>
    <xf numFmtId="165" fontId="39" fillId="3" borderId="35" xfId="13" applyNumberFormat="1" applyFill="1" applyBorder="1" applyAlignment="1"/>
    <xf numFmtId="165" fontId="6" fillId="3" borderId="0" xfId="13" applyNumberFormat="1" applyFont="1" applyFill="1" applyAlignment="1">
      <alignment horizontal="right" vertical="center"/>
    </xf>
    <xf numFmtId="165" fontId="39" fillId="3" borderId="0" xfId="13" applyNumberFormat="1" applyFill="1" applyAlignment="1">
      <alignment vertical="center"/>
    </xf>
    <xf numFmtId="165" fontId="3" fillId="0" borderId="0" xfId="13" applyNumberFormat="1" applyFont="1" applyAlignment="1">
      <alignment vertical="center"/>
    </xf>
    <xf numFmtId="165" fontId="39" fillId="0" borderId="35" xfId="13" applyNumberFormat="1" applyBorder="1" applyAlignment="1">
      <alignment horizontal="center"/>
    </xf>
    <xf numFmtId="165" fontId="39" fillId="0" borderId="36" xfId="13" applyNumberFormat="1" applyBorder="1" applyAlignment="1">
      <alignment horizontal="center"/>
    </xf>
    <xf numFmtId="165" fontId="39" fillId="0" borderId="36" xfId="13" applyNumberFormat="1" applyBorder="1" applyAlignment="1"/>
    <xf numFmtId="165" fontId="3" fillId="0" borderId="0" xfId="11" applyNumberFormat="1" applyFont="1" applyAlignment="1">
      <alignment vertical="center"/>
    </xf>
    <xf numFmtId="165" fontId="10" fillId="0" borderId="104" xfId="11" applyNumberFormat="1" applyFont="1" applyBorder="1" applyAlignment="1">
      <alignment horizontal="center"/>
    </xf>
    <xf numFmtId="0" fontId="13" fillId="3" borderId="60" xfId="13" applyFont="1" applyFill="1" applyBorder="1" applyAlignment="1">
      <alignment horizontal="left" vertical="center"/>
    </xf>
    <xf numFmtId="167" fontId="13" fillId="3" borderId="61" xfId="13" applyNumberFormat="1" applyFont="1" applyFill="1" applyBorder="1" applyAlignment="1">
      <alignment horizontal="center" vertical="center"/>
    </xf>
    <xf numFmtId="167" fontId="13" fillId="3" borderId="79" xfId="13" applyNumberFormat="1" applyFont="1" applyFill="1" applyBorder="1" applyAlignment="1">
      <alignment horizontal="center" vertical="center"/>
    </xf>
    <xf numFmtId="0" fontId="16" fillId="3" borderId="0" xfId="13" applyFont="1" applyFill="1" applyAlignment="1">
      <alignment vertical="center"/>
    </xf>
    <xf numFmtId="0" fontId="16" fillId="3" borderId="61" xfId="13" applyFont="1" applyFill="1" applyBorder="1" applyAlignment="1">
      <alignment vertical="center"/>
    </xf>
    <xf numFmtId="167" fontId="12" fillId="0" borderId="0" xfId="4" applyNumberFormat="1" applyFont="1" applyAlignment="1">
      <alignment horizontal="center"/>
    </xf>
    <xf numFmtId="9" fontId="12" fillId="0" borderId="0" xfId="2" applyFont="1" applyAlignment="1">
      <alignment horizontal="center"/>
    </xf>
    <xf numFmtId="164" fontId="0" fillId="3" borderId="2" xfId="1" applyFont="1" applyFill="1" applyBorder="1"/>
    <xf numFmtId="10" fontId="0" fillId="0" borderId="93" xfId="2" applyNumberFormat="1" applyFont="1" applyBorder="1"/>
    <xf numFmtId="0" fontId="0" fillId="0" borderId="74" xfId="0" applyBorder="1"/>
    <xf numFmtId="164" fontId="0" fillId="0" borderId="75" xfId="1" applyFont="1" applyBorder="1"/>
    <xf numFmtId="10" fontId="0" fillId="0" borderId="76" xfId="0" applyNumberFormat="1" applyBorder="1"/>
    <xf numFmtId="10" fontId="36" fillId="5" borderId="61" xfId="2" applyNumberFormat="1" applyFont="1" applyFill="1" applyBorder="1" applyAlignment="1">
      <alignment horizontal="center" vertical="center"/>
    </xf>
    <xf numFmtId="10" fontId="19" fillId="5" borderId="61" xfId="2" applyNumberFormat="1" applyFont="1" applyFill="1" applyBorder="1" applyAlignment="1">
      <alignment horizontal="center" vertical="center"/>
    </xf>
    <xf numFmtId="10" fontId="36" fillId="5" borderId="73" xfId="2" applyNumberFormat="1" applyFont="1" applyFill="1" applyBorder="1" applyAlignment="1">
      <alignment horizontal="center" vertical="center"/>
    </xf>
    <xf numFmtId="165" fontId="36" fillId="5" borderId="61" xfId="1" applyNumberFormat="1" applyFont="1" applyFill="1" applyBorder="1" applyAlignment="1">
      <alignment horizontal="center" vertical="center"/>
    </xf>
    <xf numFmtId="10" fontId="36" fillId="5" borderId="65" xfId="2" applyNumberFormat="1" applyFont="1" applyFill="1" applyBorder="1" applyAlignment="1">
      <alignment horizontal="center" vertical="center"/>
    </xf>
    <xf numFmtId="165" fontId="36" fillId="5" borderId="69" xfId="1" applyNumberFormat="1" applyFont="1" applyFill="1" applyBorder="1" applyAlignment="1">
      <alignment horizontal="center" vertical="center"/>
    </xf>
    <xf numFmtId="165" fontId="40" fillId="5" borderId="43" xfId="1" applyNumberFormat="1" applyFont="1" applyFill="1" applyBorder="1" applyAlignment="1">
      <alignment horizontal="center" vertical="center"/>
    </xf>
    <xf numFmtId="167" fontId="40" fillId="5" borderId="43" xfId="0" applyNumberFormat="1" applyFont="1" applyFill="1" applyBorder="1" applyAlignment="1">
      <alignment horizontal="center" vertical="center"/>
    </xf>
    <xf numFmtId="167" fontId="36" fillId="3" borderId="61" xfId="0" applyNumberFormat="1" applyFont="1" applyFill="1" applyBorder="1" applyAlignment="1">
      <alignment horizontal="center" vertical="center"/>
    </xf>
    <xf numFmtId="10" fontId="3" fillId="0" borderId="0" xfId="2" applyNumberFormat="1" applyFont="1"/>
    <xf numFmtId="165" fontId="1" fillId="9" borderId="35" xfId="11" applyNumberFormat="1" applyFont="1" applyFill="1" applyBorder="1" applyAlignment="1">
      <alignment horizontal="center"/>
    </xf>
    <xf numFmtId="165" fontId="1" fillId="9" borderId="0" xfId="11" applyNumberFormat="1" applyFont="1" applyFill="1" applyAlignment="1">
      <alignment vertical="center"/>
    </xf>
    <xf numFmtId="165" fontId="1" fillId="9" borderId="36" xfId="11" applyNumberFormat="1" applyFont="1" applyFill="1" applyBorder="1" applyAlignment="1">
      <alignment horizontal="center"/>
    </xf>
    <xf numFmtId="165" fontId="1" fillId="9" borderId="36" xfId="11" applyNumberFormat="1" applyFont="1" applyFill="1" applyBorder="1"/>
    <xf numFmtId="165" fontId="1" fillId="10" borderId="35" xfId="11" applyNumberFormat="1" applyFont="1" applyFill="1" applyBorder="1" applyAlignment="1">
      <alignment horizontal="center"/>
    </xf>
    <xf numFmtId="165" fontId="1" fillId="10" borderId="0" xfId="11" applyNumberFormat="1" applyFont="1" applyFill="1" applyAlignment="1">
      <alignment vertical="center"/>
    </xf>
    <xf numFmtId="165" fontId="1" fillId="10" borderId="36" xfId="11" applyNumberFormat="1" applyFont="1" applyFill="1" applyBorder="1" applyAlignment="1">
      <alignment horizontal="center"/>
    </xf>
    <xf numFmtId="165" fontId="1" fillId="10" borderId="36" xfId="11" applyNumberFormat="1" applyFont="1" applyFill="1" applyBorder="1"/>
    <xf numFmtId="165" fontId="1" fillId="11" borderId="35" xfId="11" applyNumberFormat="1" applyFont="1" applyFill="1" applyBorder="1" applyAlignment="1">
      <alignment horizontal="center"/>
    </xf>
    <xf numFmtId="165" fontId="1" fillId="11" borderId="0" xfId="11" applyNumberFormat="1" applyFont="1" applyFill="1" applyAlignment="1">
      <alignment vertical="center"/>
    </xf>
    <xf numFmtId="165" fontId="1" fillId="11" borderId="36" xfId="11" applyNumberFormat="1" applyFont="1" applyFill="1" applyBorder="1" applyAlignment="1">
      <alignment horizontal="center"/>
    </xf>
    <xf numFmtId="165" fontId="1" fillId="11" borderId="36" xfId="11" applyNumberFormat="1" applyFont="1" applyFill="1" applyBorder="1"/>
    <xf numFmtId="165" fontId="0" fillId="6" borderId="36" xfId="0" applyNumberFormat="1" applyFill="1" applyBorder="1" applyAlignment="1">
      <alignment horizontal="center"/>
    </xf>
    <xf numFmtId="165" fontId="0" fillId="6" borderId="35" xfId="0" applyNumberFormat="1" applyFill="1" applyBorder="1" applyAlignment="1">
      <alignment horizontal="center"/>
    </xf>
    <xf numFmtId="166" fontId="13" fillId="0" borderId="30" xfId="1" applyNumberFormat="1" applyFont="1" applyBorder="1" applyAlignment="1">
      <alignment horizontal="center" vertical="center" wrapText="1"/>
    </xf>
    <xf numFmtId="10" fontId="13" fillId="0" borderId="77" xfId="2" applyNumberFormat="1" applyFont="1" applyBorder="1" applyAlignment="1">
      <alignment horizontal="center" vertical="center" wrapText="1"/>
    </xf>
    <xf numFmtId="166" fontId="29" fillId="0" borderId="74" xfId="1" applyNumberFormat="1" applyFont="1" applyBorder="1" applyAlignment="1">
      <alignment horizontal="center" vertical="center" wrapText="1"/>
    </xf>
    <xf numFmtId="166" fontId="13" fillId="0" borderId="43" xfId="1" applyNumberFormat="1" applyFont="1" applyBorder="1" applyAlignment="1">
      <alignment horizontal="center" vertical="center" wrapText="1"/>
    </xf>
    <xf numFmtId="10" fontId="13" fillId="0" borderId="74" xfId="2" applyNumberFormat="1" applyFont="1" applyBorder="1" applyAlignment="1">
      <alignment horizontal="center" vertical="center" wrapText="1"/>
    </xf>
    <xf numFmtId="10" fontId="24" fillId="0" borderId="74" xfId="2" applyNumberFormat="1" applyFont="1" applyBorder="1" applyAlignment="1">
      <alignment horizontal="center" vertical="center" wrapText="1"/>
    </xf>
    <xf numFmtId="10" fontId="23" fillId="5" borderId="0" xfId="2" applyNumberFormat="1" applyFont="1" applyFill="1" applyAlignment="1">
      <alignment horizontal="center" vertical="center"/>
    </xf>
    <xf numFmtId="10" fontId="13" fillId="0" borderId="61" xfId="2" applyNumberFormat="1" applyFont="1" applyBorder="1" applyAlignment="1">
      <alignment horizontal="center" vertical="center"/>
    </xf>
    <xf numFmtId="165" fontId="23" fillId="5" borderId="0" xfId="1" applyNumberFormat="1" applyFont="1" applyFill="1" applyAlignment="1">
      <alignment horizontal="center" vertical="center"/>
    </xf>
    <xf numFmtId="4" fontId="0" fillId="6" borderId="43" xfId="0" applyNumberFormat="1" applyFill="1" applyBorder="1" applyAlignment="1">
      <alignment horizontal="right" vertical="center"/>
    </xf>
    <xf numFmtId="168" fontId="4" fillId="0" borderId="57" xfId="0" applyNumberFormat="1" applyFont="1" applyBorder="1"/>
    <xf numFmtId="168" fontId="4" fillId="0" borderId="105" xfId="0" applyNumberFormat="1" applyFont="1" applyBorder="1"/>
    <xf numFmtId="168" fontId="4" fillId="0" borderId="106" xfId="0" applyNumberFormat="1" applyFont="1" applyBorder="1"/>
    <xf numFmtId="10" fontId="0" fillId="21" borderId="0" xfId="2" applyNumberFormat="1" applyFont="1" applyFill="1"/>
    <xf numFmtId="165" fontId="6" fillId="3" borderId="36" xfId="0" applyNumberFormat="1" applyFont="1" applyFill="1" applyBorder="1" applyAlignment="1">
      <alignment horizontal="center"/>
    </xf>
    <xf numFmtId="0" fontId="4" fillId="0" borderId="94" xfId="0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0" fontId="4" fillId="0" borderId="96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1" applyFont="1" applyAlignment="1">
      <alignment horizontal="center"/>
    </xf>
    <xf numFmtId="165" fontId="4" fillId="0" borderId="74" xfId="1" applyNumberFormat="1" applyFont="1" applyBorder="1" applyAlignment="1">
      <alignment horizontal="center"/>
    </xf>
    <xf numFmtId="165" fontId="4" fillId="0" borderId="76" xfId="1" applyNumberFormat="1" applyFont="1" applyBorder="1" applyAlignment="1">
      <alignment horizontal="center"/>
    </xf>
    <xf numFmtId="165" fontId="4" fillId="0" borderId="75" xfId="1" applyNumberFormat="1" applyFont="1" applyBorder="1" applyAlignment="1">
      <alignment horizontal="center"/>
    </xf>
    <xf numFmtId="0" fontId="12" fillId="0" borderId="0" xfId="4" applyFont="1" applyAlignment="1">
      <alignment horizontal="center" vertical="center"/>
    </xf>
    <xf numFmtId="166" fontId="29" fillId="0" borderId="66" xfId="1" applyNumberFormat="1" applyFont="1" applyBorder="1" applyAlignment="1">
      <alignment horizontal="center" vertical="center" wrapText="1"/>
    </xf>
    <xf numFmtId="166" fontId="29" fillId="0" borderId="14" xfId="1" applyNumberFormat="1" applyFont="1" applyBorder="1" applyAlignment="1">
      <alignment horizontal="center" vertical="center" wrapText="1"/>
    </xf>
    <xf numFmtId="166" fontId="29" fillId="0" borderId="41" xfId="1" applyNumberFormat="1" applyFont="1" applyBorder="1" applyAlignment="1">
      <alignment horizontal="center" vertical="center" wrapText="1"/>
    </xf>
    <xf numFmtId="166" fontId="29" fillId="0" borderId="74" xfId="1" applyNumberFormat="1" applyFont="1" applyBorder="1" applyAlignment="1">
      <alignment horizontal="center" vertical="center" wrapText="1"/>
    </xf>
    <xf numFmtId="166" fontId="29" fillId="0" borderId="75" xfId="1" applyNumberFormat="1" applyFont="1" applyBorder="1" applyAlignment="1">
      <alignment horizontal="center" vertical="center" wrapText="1"/>
    </xf>
    <xf numFmtId="166" fontId="29" fillId="0" borderId="76" xfId="1" applyNumberFormat="1" applyFont="1" applyBorder="1" applyAlignment="1">
      <alignment horizontal="center" vertical="center" wrapText="1"/>
    </xf>
    <xf numFmtId="166" fontId="29" fillId="0" borderId="74" xfId="1" applyNumberFormat="1" applyFont="1" applyFill="1" applyBorder="1" applyAlignment="1">
      <alignment horizontal="center" vertical="center" wrapText="1"/>
    </xf>
    <xf numFmtId="166" fontId="29" fillId="0" borderId="75" xfId="1" applyNumberFormat="1" applyFont="1" applyFill="1" applyBorder="1" applyAlignment="1">
      <alignment horizontal="center" vertical="center" wrapText="1"/>
    </xf>
    <xf numFmtId="166" fontId="29" fillId="0" borderId="76" xfId="1" applyNumberFormat="1" applyFont="1" applyFill="1" applyBorder="1" applyAlignment="1">
      <alignment horizontal="center" vertical="center" wrapText="1"/>
    </xf>
    <xf numFmtId="166" fontId="29" fillId="0" borderId="66" xfId="1" applyNumberFormat="1" applyFont="1" applyFill="1" applyBorder="1" applyAlignment="1">
      <alignment horizontal="center" vertical="center" wrapText="1"/>
    </xf>
    <xf numFmtId="168" fontId="4" fillId="12" borderId="74" xfId="0" applyNumberFormat="1" applyFont="1" applyFill="1" applyBorder="1" applyAlignment="1">
      <alignment horizontal="center"/>
    </xf>
    <xf numFmtId="168" fontId="4" fillId="12" borderId="75" xfId="0" applyNumberFormat="1" applyFont="1" applyFill="1" applyBorder="1" applyAlignment="1">
      <alignment horizontal="center"/>
    </xf>
    <xf numFmtId="168" fontId="4" fillId="12" borderId="76" xfId="0" applyNumberFormat="1" applyFont="1" applyFill="1" applyBorder="1" applyAlignment="1">
      <alignment horizontal="center"/>
    </xf>
  </cellXfs>
  <cellStyles count="14">
    <cellStyle name="Comma" xfId="1" builtinId="3"/>
    <cellStyle name="Normal" xfId="0" builtinId="0"/>
    <cellStyle name="Normal 2" xfId="7" xr:uid="{0F76C2B1-F082-4940-8D86-76990A9881E6}"/>
    <cellStyle name="Normal 3" xfId="12" xr:uid="{3331D069-B9B3-4EF7-9DA8-90F75A30FB3B}"/>
    <cellStyle name="Normal 4" xfId="13" xr:uid="{CFEE5212-F013-4047-ACFA-89E4866C2B46}"/>
    <cellStyle name="Normal 5" xfId="8" xr:uid="{A6DCB35F-5485-44B3-B1DD-CA43B7186536}"/>
    <cellStyle name="Normal 7" xfId="4" xr:uid="{0FAD4BE8-4AF4-4AE1-B682-8D9CFEFA5130}"/>
    <cellStyle name="Percent" xfId="2" builtinId="5"/>
    <cellStyle name="Porcentagem 2" xfId="9" xr:uid="{4EE255BB-16CC-4F6D-829B-99B949D82106}"/>
    <cellStyle name="Porcentagem 5" xfId="6" xr:uid="{32B88602-4322-4B1D-B8E0-90D7A00B4159}"/>
    <cellStyle name="Vírgula 2" xfId="3" xr:uid="{E76FBDEF-4CF4-422A-9970-A1831FD6FF61}"/>
    <cellStyle name="Vírgula 3" xfId="11" xr:uid="{94246D3A-10B7-49EB-B8BC-AE090B823D39}"/>
    <cellStyle name="Vírgula 4" xfId="10" xr:uid="{56E50D24-9351-4EA4-AB52-B1E9BA6139C6}"/>
    <cellStyle name="Vírgula 6" xfId="5" xr:uid="{4272585B-29ED-477E-B6AB-9A7408F9803A}"/>
  </cellStyles>
  <dxfs count="0"/>
  <tableStyles count="0" defaultTableStyle="TableStyleMedium2" defaultPivotStyle="PivotStyleLight16"/>
  <colors>
    <mruColors>
      <color rgb="FFFFCC66"/>
      <color rgb="FFFDB913"/>
      <color rgb="FFFFD47D"/>
      <color rgb="FFFFCC99"/>
      <color rgb="FFFFCC00"/>
      <color rgb="FFFF5D37"/>
      <color rgb="FFFF5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700530610368435"/>
          <c:y val="0.31578921363020485"/>
          <c:w val="0.817279965004374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'Meta (2)'!$B$13</c:f>
              <c:strCache>
                <c:ptCount val="1"/>
                <c:pt idx="0">
                  <c:v> Recebimento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'Meta (2)'!$A$14</c:f>
              <c:strCache>
                <c:ptCount val="1"/>
                <c:pt idx="0">
                  <c:v> Jan </c:v>
                </c:pt>
              </c:strCache>
            </c:strRef>
          </c:cat>
          <c:val>
            <c:numRef>
              <c:f>'Meta (2)'!$B$14</c:f>
              <c:numCache>
                <c:formatCode>_-* #,##0_-;\-* #,##0_-;_-* "-"??_-;_-@_-</c:formatCode>
                <c:ptCount val="1"/>
                <c:pt idx="0">
                  <c:v>279821.07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6-4897-8046-2949A69EEF08}"/>
            </c:ext>
          </c:extLst>
        </c:ser>
        <c:ser>
          <c:idx val="1"/>
          <c:order val="1"/>
          <c:tx>
            <c:strRef>
              <c:f>'Meta (2)'!$C$13</c:f>
              <c:strCache>
                <c:ptCount val="1"/>
                <c:pt idx="0">
                  <c:v> Faturamento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'Meta (2)'!$A$14</c:f>
              <c:strCache>
                <c:ptCount val="1"/>
                <c:pt idx="0">
                  <c:v> Jan </c:v>
                </c:pt>
              </c:strCache>
            </c:strRef>
          </c:cat>
          <c:val>
            <c:numRef>
              <c:f>'Meta (2)'!$C$14</c:f>
            </c:numRef>
          </c:val>
          <c:smooth val="0"/>
          <c:extLst>
            <c:ext xmlns:c16="http://schemas.microsoft.com/office/drawing/2014/chart" uri="{C3380CC4-5D6E-409C-BE32-E72D297353CC}">
              <c16:uniqueId val="{00000001-1E16-4897-8046-2949A69EEF08}"/>
            </c:ext>
          </c:extLst>
        </c:ser>
        <c:ser>
          <c:idx val="2"/>
          <c:order val="2"/>
          <c:tx>
            <c:strRef>
              <c:f>'Meta (2)'!$D$13</c:f>
              <c:strCache>
                <c:ptCount val="1"/>
                <c:pt idx="0">
                  <c:v> Meta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'Meta (2)'!$A$14</c:f>
              <c:strCache>
                <c:ptCount val="1"/>
                <c:pt idx="0">
                  <c:v> Jan </c:v>
                </c:pt>
              </c:strCache>
            </c:strRef>
          </c:cat>
          <c:val>
            <c:numRef>
              <c:f>'Meta (2)'!$D$14</c:f>
              <c:numCache>
                <c:formatCode>_-* #,##0_-;\-* #,##0_-;_-* "-"??_-;_-@_-</c:formatCode>
                <c:ptCount val="1"/>
                <c:pt idx="0">
                  <c:v>671667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16-4897-8046-2949A69EEF08}"/>
            </c:ext>
          </c:extLst>
        </c:ser>
        <c:ser>
          <c:idx val="3"/>
          <c:order val="3"/>
          <c:tx>
            <c:strRef>
              <c:f>'Meta (2)'!$E$13</c:f>
              <c:strCache>
                <c:ptCount val="1"/>
                <c:pt idx="0">
                  <c:v> Despesas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'Meta (2)'!$A$14</c:f>
              <c:strCache>
                <c:ptCount val="1"/>
                <c:pt idx="0">
                  <c:v> Jan </c:v>
                </c:pt>
              </c:strCache>
            </c:strRef>
          </c:cat>
          <c:val>
            <c:numRef>
              <c:f>'Meta (2)'!$E$14</c:f>
              <c:numCache>
                <c:formatCode>_-* #,##0_-;\-* #,##0_-;_-* "-"??_-;_-@_-</c:formatCode>
                <c:ptCount val="1"/>
                <c:pt idx="0">
                  <c:v>316604.06000000006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6-4897-8046-2949A69E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506655"/>
        <c:axId val="1703507135"/>
      </c:lineChart>
      <c:catAx>
        <c:axId val="17035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507135"/>
        <c:crosses val="autoZero"/>
        <c:auto val="1"/>
        <c:lblAlgn val="ctr"/>
        <c:lblOffset val="100"/>
        <c:noMultiLvlLbl val="0"/>
      </c:catAx>
      <c:valAx>
        <c:axId val="17035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35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87114889986434"/>
          <c:y val="2.4487176390240051E-2"/>
          <c:w val="0.16539209381165876"/>
          <c:h val="0.293579745658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Institucional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'Meta (2)'!$B$13</c:f>
              <c:strCache>
                <c:ptCount val="1"/>
                <c:pt idx="0">
                  <c:v> Recebimento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(2)'!$B$14:$B$20</c:f>
              <c:numCache>
                <c:formatCode>_-* #,##0_-;\-* #,##0_-;_-* "-"??_-;_-@_-</c:formatCode>
                <c:ptCount val="7"/>
                <c:pt idx="0">
                  <c:v>279821.07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7-4058-A981-F13D2AB2254D}"/>
            </c:ext>
          </c:extLst>
        </c:ser>
        <c:ser>
          <c:idx val="1"/>
          <c:order val="1"/>
          <c:tx>
            <c:strRef>
              <c:f>'Meta (2)'!$C$13</c:f>
              <c:strCache>
                <c:ptCount val="1"/>
                <c:pt idx="0">
                  <c:v> Faturamento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(2)'!$C$14:$C$20</c:f>
            </c:numRef>
          </c:val>
          <c:smooth val="0"/>
          <c:extLst>
            <c:ext xmlns:c16="http://schemas.microsoft.com/office/drawing/2014/chart" uri="{C3380CC4-5D6E-409C-BE32-E72D297353CC}">
              <c16:uniqueId val="{00000001-A697-4058-A981-F13D2AB2254D}"/>
            </c:ext>
          </c:extLst>
        </c:ser>
        <c:ser>
          <c:idx val="2"/>
          <c:order val="2"/>
          <c:tx>
            <c:strRef>
              <c:f>'Meta (2)'!$D$13</c:f>
              <c:strCache>
                <c:ptCount val="1"/>
                <c:pt idx="0">
                  <c:v> Meta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(2)'!$D$14:$D$20</c:f>
              <c:numCache>
                <c:formatCode>_-* #,##0_-;\-* #,##0_-;_-* "-"??_-;_-@_-</c:formatCode>
                <c:ptCount val="7"/>
                <c:pt idx="0">
                  <c:v>671667</c:v>
                </c:pt>
                <c:pt idx="1">
                  <c:v>671667</c:v>
                </c:pt>
                <c:pt idx="2">
                  <c:v>671667</c:v>
                </c:pt>
                <c:pt idx="3">
                  <c:v>671667</c:v>
                </c:pt>
                <c:pt idx="4">
                  <c:v>671667</c:v>
                </c:pt>
                <c:pt idx="5">
                  <c:v>671667</c:v>
                </c:pt>
                <c:pt idx="6">
                  <c:v>671667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7-4058-A981-F13D2AB2254D}"/>
            </c:ext>
          </c:extLst>
        </c:ser>
        <c:ser>
          <c:idx val="3"/>
          <c:order val="3"/>
          <c:tx>
            <c:strRef>
              <c:f>'Meta (2)'!$E$13</c:f>
              <c:strCache>
                <c:ptCount val="1"/>
                <c:pt idx="0">
                  <c:v> Despesas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'Meta (2)'!$A$14:$A$20</c:f>
              <c:strCache>
                <c:ptCount val="7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</c:strCache>
            </c:strRef>
          </c:cat>
          <c:val>
            <c:numRef>
              <c:f>'Meta (2)'!$E$14:$E$20</c:f>
              <c:numCache>
                <c:formatCode>_-* #,##0_-;\-* #,##0_-;_-* "-"??_-;_-@_-</c:formatCode>
                <c:ptCount val="7"/>
                <c:pt idx="0">
                  <c:v>316604.06000000006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7-4058-A981-F13D2AB22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957056"/>
        <c:axId val="1279960896"/>
      </c:lineChart>
      <c:catAx>
        <c:axId val="12799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960896"/>
        <c:crosses val="autoZero"/>
        <c:auto val="1"/>
        <c:lblAlgn val="ctr"/>
        <c:lblOffset val="100"/>
        <c:noMultiLvlLbl val="0"/>
      </c:catAx>
      <c:valAx>
        <c:axId val="1279960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2799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1343333.34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-1692110.3391999996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5F3-4514-815A-0B7590D0F11C}"/>
            </c:ext>
          </c:extLst>
        </c:ser>
        <c:ser>
          <c:idx val="1"/>
          <c:order val="1"/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Institucional!$C$1:$C$5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599054.65</c:v>
                </c:pt>
                <c:pt idx="2">
                  <c:v>211630.52000000002</c:v>
                </c:pt>
                <c:pt idx="3">
                  <c:v>104973.54000000001</c:v>
                </c:pt>
                <c:pt idx="4">
                  <c:v>282450.58999999997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5F3-4514-815A-0B7590D0F1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82-4AB1-824A-C7AC7015E6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82-4AB1-824A-C7AC7015E6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82-4AB1-824A-C7AC7015E6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Institucional!$C$12:$C$14</c:f>
              <c:numCache>
                <c:formatCode>0.00%</c:formatCode>
                <c:ptCount val="3"/>
                <c:pt idx="0">
                  <c:v>0.35327414619016817</c:v>
                </c:pt>
                <c:pt idx="1">
                  <c:v>0.17523199260701841</c:v>
                </c:pt>
                <c:pt idx="2">
                  <c:v>0.47149386120281339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82-4AB1-824A-C7AC7015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indiretas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FD-4ADD-8B50-360BE0944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FD-4ADD-8B50-360BE0944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FD-4ADD-8B50-360BE0944C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FD-4ADD-8B50-360BE0944C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FD-4ADD-8B50-360BE0944C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FD-4ADD-8B50-360BE0944C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3FD-4ADD-8B50-360BE0944C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3FD-4ADD-8B50-360BE0944C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3FD-4ADD-8B50-360BE0944C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3FD-4ADD-8B50-360BE0944C82}"/>
              </c:ext>
            </c:extLst>
          </c:dPt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Institucional!$B$21:$B$30</c:f>
              <c:numCache>
                <c:formatCode>_-* #,##0.00_-;\-* #,##0.00_-;_-* "-"??_-;_-@_-</c:formatCode>
                <c:ptCount val="10"/>
                <c:pt idx="0">
                  <c:v>32337.05</c:v>
                </c:pt>
                <c:pt idx="1">
                  <c:v>807.15999999999985</c:v>
                </c:pt>
                <c:pt idx="2">
                  <c:v>6773.44</c:v>
                </c:pt>
                <c:pt idx="3">
                  <c:v>30035.14</c:v>
                </c:pt>
                <c:pt idx="4">
                  <c:v>5139.13</c:v>
                </c:pt>
                <c:pt idx="5">
                  <c:v>4300.0300000000007</c:v>
                </c:pt>
                <c:pt idx="6">
                  <c:v>2702.45</c:v>
                </c:pt>
                <c:pt idx="7">
                  <c:v>0</c:v>
                </c:pt>
                <c:pt idx="8">
                  <c:v>692.37</c:v>
                </c:pt>
                <c:pt idx="9">
                  <c:v>22186.77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0-4117-8D42-C6128F8E108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BE0-4117-8D42-C6128F8E10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3F-454F-B76B-2152D1847E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3F-454F-B76B-2152D1847E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3F-454F-B76B-2152D1847E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3F-454F-B76B-2152D1847E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3F-454F-B76B-2152D1847E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3F-454F-B76B-2152D1847E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3F-454F-B76B-2152D1847E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3F-454F-B76B-2152D1847E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3F-454F-B76B-2152D1847E5F}"/>
              </c:ext>
            </c:extLst>
          </c:dPt>
          <c:dLbls>
            <c:dLbl>
              <c:idx val="0"/>
              <c:layout>
                <c:manualLayout>
                  <c:x val="-2.3237970253718286E-2"/>
                  <c:y val="-2.4142607174103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E0-4117-8D42-C6128F8E10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Institucional!$C$21:$C$30</c:f>
              <c:numCache>
                <c:formatCode>0.00%</c:formatCode>
                <c:ptCount val="10"/>
                <c:pt idx="0">
                  <c:v>5.398013353205755E-2</c:v>
                </c:pt>
                <c:pt idx="1">
                  <c:v>1.347389591250147E-3</c:v>
                </c:pt>
                <c:pt idx="2">
                  <c:v>1.1306881600868969E-2</c:v>
                </c:pt>
                <c:pt idx="3">
                  <c:v>5.0137562574633213E-2</c:v>
                </c:pt>
                <c:pt idx="4">
                  <c:v>8.5787331756793806E-3</c:v>
                </c:pt>
                <c:pt idx="5">
                  <c:v>7.1780262451848096E-3</c:v>
                </c:pt>
                <c:pt idx="6">
                  <c:v>4.5111910908295257E-3</c:v>
                </c:pt>
                <c:pt idx="7">
                  <c:v>0</c:v>
                </c:pt>
                <c:pt idx="8">
                  <c:v>1.1557710135460929E-3</c:v>
                </c:pt>
                <c:pt idx="9">
                  <c:v>3.7036303782968717E-2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0-4117-8D42-C6128F8E1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1343333.34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-1692110.3391999996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0AE-4BCE-AEEB-555A619304F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AE-4BCE-AEEB-555A619304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02-4FD5-A268-6D9439C7F77E}"/>
              </c:ext>
            </c:extLst>
          </c:dPt>
          <c:cat>
            <c:strRef>
              <c:f>'Institucional ano'!$A$12:$A$14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02-4FD5-A268-6D9439C7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8-462F-A512-222518CE8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E8-462F-A512-222518CE8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7-41EE-9EF2-7784E09B17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57-41EE-9EF2-7784E09B17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57-41EE-9EF2-7784E09B17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57-41EE-9EF2-7784E09B17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57-41EE-9EF2-7784E09B17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FE8-462F-A512-222518CE8DA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FE8-462F-A512-222518CE8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'Institucional ano'!$A$35:$A$41</c:f>
              <c:strCache>
                <c:ptCount val="7"/>
                <c:pt idx="0">
                  <c:v>Custos Diretos</c:v>
                </c:pt>
                <c:pt idx="1">
                  <c:v>Ocupação</c:v>
                </c:pt>
                <c:pt idx="2">
                  <c:v>Consultoria</c:v>
                </c:pt>
                <c:pt idx="3">
                  <c:v>Administrativas </c:v>
                </c:pt>
                <c:pt idx="4">
                  <c:v>Pessoal</c:v>
                </c:pt>
                <c:pt idx="5">
                  <c:v>TI</c:v>
                </c:pt>
                <c:pt idx="6">
                  <c:v>Prospecção</c:v>
                </c:pt>
              </c:strCache>
            </c:strRef>
          </c:cat>
          <c:val>
            <c:numRef>
              <c:f>'Institucional ano'!$B$35:$B$41</c:f>
              <c:numCache>
                <c:formatCode>0.00%</c:formatCode>
                <c:ptCount val="7"/>
                <c:pt idx="0">
                  <c:v>0.64349326668747886</c:v>
                </c:pt>
                <c:pt idx="1">
                  <c:v>0.10992270999125529</c:v>
                </c:pt>
                <c:pt idx="2">
                  <c:v>6.5387055248235876E-2</c:v>
                </c:pt>
                <c:pt idx="3">
                  <c:v>4.537499890676816E-2</c:v>
                </c:pt>
                <c:pt idx="4">
                  <c:v>2.2127058355294844E-2</c:v>
                </c:pt>
                <c:pt idx="5">
                  <c:v>8.7996753848180606E-2</c:v>
                </c:pt>
                <c:pt idx="6">
                  <c:v>2.5698156962786354E-2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62F-A512-222518CE8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Contencioso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Contencioso!$B$1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Contencioso!$B$2:$B$6</c:f>
              <c:numCache>
                <c:formatCode>_-* #,##0_-;\-* #,##0_-;_-* "-"??_-;_-@_-</c:formatCode>
                <c:ptCount val="5"/>
                <c:pt idx="0">
                  <c:v>251875.00125000003</c:v>
                </c:pt>
                <c:pt idx="1">
                  <c:v>74354.065000000002</c:v>
                </c:pt>
                <c:pt idx="2">
                  <c:v>0</c:v>
                </c:pt>
                <c:pt idx="3">
                  <c:v>2110.4899999999998</c:v>
                </c:pt>
                <c:pt idx="4">
                  <c:v>36974.282979077907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9-46B2-81BA-FB4C43CEA331}"/>
            </c:ext>
          </c:extLst>
        </c:ser>
        <c:ser>
          <c:idx val="1"/>
          <c:order val="1"/>
          <c:tx>
            <c:strRef>
              <c:f>Contencioso!$C$1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Contencioso!$C$2:$C$6</c:f>
              <c:numCache>
                <c:formatCode>_-* #,##0_-;\-* #,##0_-;_-* "-"??_-;_-@_-</c:formatCode>
                <c:ptCount val="5"/>
                <c:pt idx="0">
                  <c:v>72613.090702949994</c:v>
                </c:pt>
                <c:pt idx="1">
                  <c:v>73576.315000000002</c:v>
                </c:pt>
                <c:pt idx="2">
                  <c:v>0</c:v>
                </c:pt>
                <c:pt idx="3">
                  <c:v>1060.095</c:v>
                </c:pt>
                <c:pt idx="4">
                  <c:v>35425.446697227795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9-46B2-81BA-FB4C43CEA3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At val="0"/>
        <c:auto val="1"/>
        <c:lblAlgn val="ctr"/>
        <c:lblOffset val="100"/>
        <c:noMultiLvlLbl val="0"/>
      </c:catAx>
      <c:valAx>
        <c:axId val="1294419311"/>
        <c:scaling>
          <c:orientation val="minMax"/>
          <c:max val="20000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  <c:majorUnit val="400000"/>
        <c:minorUnit val="2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Contencioso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5-4610-B859-1CE79199F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5-4610-B859-1CE79199F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5-4610-B859-1CE79199F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88-43B3-8F9E-836A7102E8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62-4A1A-BC1D-379A6D0944F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Contencioso!$A$14:$A$18</c:f>
              <c:strCache>
                <c:ptCount val="5"/>
                <c:pt idx="0">
                  <c:v>Custo equipe</c:v>
                </c:pt>
                <c:pt idx="1">
                  <c:v>Comissão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Contencioso!$B$14:$B$18</c:f>
              <c:numCache>
                <c:formatCode>0.00%</c:formatCode>
                <c:ptCount val="5"/>
                <c:pt idx="0">
                  <c:v>1.0132651604239025</c:v>
                </c:pt>
                <c:pt idx="1">
                  <c:v>0</c:v>
                </c:pt>
                <c:pt idx="2">
                  <c:v>1.4599227077892889E-2</c:v>
                </c:pt>
                <c:pt idx="3">
                  <c:v>0.48786584284297091</c:v>
                </c:pt>
                <c:pt idx="4">
                  <c:v>-0.51573023034476628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D-44BA-B0D2-764C6434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62-4D83-AF59-1B179EEF04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62-4D83-AF59-1B179EEF04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62-4D83-AF59-1B179EEF0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Econômico!$C$11:$C$13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9F62-4D83-AF59-1B179EEF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Econômico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Econômico!$B$1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Econômico!$B$2:$B$6</c:f>
              <c:numCache>
                <c:formatCode>_-* #,##0_-;\-* #,##0_-;_-* "-"??_-;_-@_-</c:formatCode>
                <c:ptCount val="5"/>
                <c:pt idx="0">
                  <c:v>251875.00125000003</c:v>
                </c:pt>
                <c:pt idx="1">
                  <c:v>76879.165000000023</c:v>
                </c:pt>
                <c:pt idx="2">
                  <c:v>0</c:v>
                </c:pt>
                <c:pt idx="3">
                  <c:v>3174.8233333333333</c:v>
                </c:pt>
                <c:pt idx="4">
                  <c:v>37924.624283677076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9A0-BD29-0FEA9BC30086}"/>
            </c:ext>
          </c:extLst>
        </c:ser>
        <c:ser>
          <c:idx val="1"/>
          <c:order val="1"/>
          <c:tx>
            <c:strRef>
              <c:f>Econômico!$C$1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Econômico!$C$2:$C$6</c:f>
              <c:numCache>
                <c:formatCode>_-* #,##0_-;\-* #,##0_-;_-* "-"??_-;_-@_-</c:formatCode>
                <c:ptCount val="5"/>
                <c:pt idx="0">
                  <c:v>120362.57434894999</c:v>
                </c:pt>
                <c:pt idx="1">
                  <c:v>76041.035000000003</c:v>
                </c:pt>
                <c:pt idx="2">
                  <c:v>0</c:v>
                </c:pt>
                <c:pt idx="3">
                  <c:v>1871.8050000000001</c:v>
                </c:pt>
                <c:pt idx="4">
                  <c:v>36612.157488378332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9-49A0-BD29-0FEA9BC300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1"/>
        <c:lblAlgn val="ctr"/>
        <c:lblOffset val="100"/>
        <c:noMultiLvlLbl val="0"/>
      </c:catAx>
      <c:valAx>
        <c:axId val="1294419311"/>
        <c:scaling>
          <c:orientation val="minMax"/>
          <c:max val="20000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  <c:majorUnit val="40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Econômico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B-4730-8CFD-E78C72745F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B-4730-8CFD-E78C72745F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FB-4730-8CFD-E78C72745F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C0-4509-915A-1291B7C73C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A4-4857-B4AC-0546787642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Econômico!$A$14:$A$18</c:f>
              <c:strCache>
                <c:ptCount val="5"/>
                <c:pt idx="0">
                  <c:v>Custo equipe</c:v>
                </c:pt>
                <c:pt idx="1">
                  <c:v>Comissão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Econômico!$B$14:$B$18</c:f>
              <c:numCache>
                <c:formatCode>0.00%</c:formatCode>
                <c:ptCount val="5"/>
                <c:pt idx="0">
                  <c:v>0.63176643912205721</c:v>
                </c:pt>
                <c:pt idx="1">
                  <c:v>0</c:v>
                </c:pt>
                <c:pt idx="2">
                  <c:v>1.5551387215874461E-2</c:v>
                </c:pt>
                <c:pt idx="3">
                  <c:v>0.30418224008929839</c:v>
                </c:pt>
                <c:pt idx="4">
                  <c:v>4.8499933572769889E-2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0DE-B1A0-6E0E4897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9EA-AC9C-D698EEEEE2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9EA-AC9C-D698EEEEE2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9EA-AC9C-D698EEEEE2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Arbitragem!$C$11:$C$13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D39-49EA-AC9C-D698EEEE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Arbitragem!$B$1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Arbitragem!$B$2:$B$6</c:f>
              <c:numCache>
                <c:formatCode>_-* #,##0_-;\-* #,##0_-;_-* "-"??_-;_-@_-</c:formatCode>
                <c:ptCount val="5"/>
                <c:pt idx="0">
                  <c:v>167916.66750000001</c:v>
                </c:pt>
                <c:pt idx="1">
                  <c:v>62184.360000000008</c:v>
                </c:pt>
                <c:pt idx="3">
                  <c:v>1901.49</c:v>
                </c:pt>
                <c:pt idx="4">
                  <c:v>25223.353926356918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AA9-974E-6972DE925511}"/>
            </c:ext>
          </c:extLst>
        </c:ser>
        <c:ser>
          <c:idx val="1"/>
          <c:order val="1"/>
          <c:tx>
            <c:strRef>
              <c:f>Arbitragem!$C$1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Comissão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Arbitragem!$C$2:$C$6</c:f>
              <c:numCache>
                <c:formatCode>_-* #,##0_-;\-* #,##0_-;_-* "-"??_-;_-@_-</c:formatCode>
                <c:ptCount val="5"/>
                <c:pt idx="0">
                  <c:v>86846.334948100004</c:v>
                </c:pt>
                <c:pt idx="1">
                  <c:v>62013.17</c:v>
                </c:pt>
                <c:pt idx="2">
                  <c:v>0</c:v>
                </c:pt>
                <c:pt idx="3">
                  <c:v>146</c:v>
                </c:pt>
                <c:pt idx="4">
                  <c:v>29858.035814393879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AA9-974E-6972DE9255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1"/>
        <c:lblAlgn val="ctr"/>
        <c:lblOffset val="100"/>
        <c:noMultiLvlLbl val="0"/>
      </c:catAx>
      <c:valAx>
        <c:axId val="1294419311"/>
        <c:scaling>
          <c:orientation val="minMax"/>
          <c:max val="20000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  <c:majorUnit val="400000"/>
        <c:minorUnit val="4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A-466F-8F9B-04CFFCD73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A-466F-8F9B-04CFFCD73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A-466F-8F9B-04CFFCD738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CD-4668-AEBA-0CDBC07025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58-462B-8E2F-DC1796E9E481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Arbitragem!$A$14:$A$18</c:f>
              <c:strCache>
                <c:ptCount val="5"/>
                <c:pt idx="0">
                  <c:v>Custo equipe</c:v>
                </c:pt>
                <c:pt idx="1">
                  <c:v>Comissão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Arbitragem!$B$14:$B$18</c:f>
              <c:numCache>
                <c:formatCode>0.00%</c:formatCode>
                <c:ptCount val="5"/>
                <c:pt idx="0">
                  <c:v>0.71405627004362959</c:v>
                </c:pt>
                <c:pt idx="1">
                  <c:v>0</c:v>
                </c:pt>
                <c:pt idx="2">
                  <c:v>1.6811302409854216E-3</c:v>
                </c:pt>
                <c:pt idx="3">
                  <c:v>0.34380306126029681</c:v>
                </c:pt>
                <c:pt idx="4">
                  <c:v>-5.9540461544911744E-2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4ED-8A37-9C0ACE6E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552296</xdr:colOff>
      <xdr:row>0</xdr:row>
      <xdr:rowOff>0</xdr:rowOff>
    </xdr:from>
    <xdr:to>
      <xdr:col>22</xdr:col>
      <xdr:colOff>197508</xdr:colOff>
      <xdr:row>18</xdr:row>
      <xdr:rowOff>168248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970ACB-7D84-42A0-941D-1BFBBF4EA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438913</xdr:colOff>
      <xdr:row>30</xdr:row>
      <xdr:rowOff>40233</xdr:rowOff>
    </xdr:from>
    <xdr:to>
      <xdr:col>16</xdr:col>
      <xdr:colOff>453544</xdr:colOff>
      <xdr:row>44</xdr:row>
      <xdr:rowOff>47548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3D0133-20F6-4F88-981A-46893DC86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149225</xdr:colOff>
      <xdr:row>1</xdr:row>
      <xdr:rowOff>17319</xdr:rowOff>
    </xdr:from>
    <xdr:to>
      <xdr:col>15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01EBCD2E-C2CA-456C-B974-C087880E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6847" y="207514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149225</xdr:colOff>
      <xdr:row>1</xdr:row>
      <xdr:rowOff>17319</xdr:rowOff>
    </xdr:from>
    <xdr:to>
      <xdr:col>14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E21852CA-C6CE-4E0D-815F-BC449F86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8800" y="17319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318210</xdr:colOff>
      <xdr:row>0</xdr:row>
      <xdr:rowOff>0</xdr:rowOff>
    </xdr:from>
    <xdr:to>
      <xdr:col>14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18E70F-64FC-41A3-A91E-1653D6063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592530</xdr:colOff>
      <xdr:row>0</xdr:row>
      <xdr:rowOff>0</xdr:rowOff>
    </xdr:from>
    <xdr:to>
      <xdr:col>22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FDF3D1-7BAE-4B40-817B-C7250FF71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435254</xdr:colOff>
      <xdr:row>18</xdr:row>
      <xdr:rowOff>120701</xdr:rowOff>
    </xdr:from>
    <xdr:to>
      <xdr:col>11</xdr:col>
      <xdr:colOff>501091</xdr:colOff>
      <xdr:row>33</xdr:row>
      <xdr:rowOff>120701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DB6DDA-61C2-FFE8-7F30-6E99F73D4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318210</xdr:colOff>
      <xdr:row>0</xdr:row>
      <xdr:rowOff>0</xdr:rowOff>
    </xdr:from>
    <xdr:to>
      <xdr:col>11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A77A1-6B27-4621-B6EB-E9698C76C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592530</xdr:colOff>
      <xdr:row>0</xdr:row>
      <xdr:rowOff>0</xdr:rowOff>
    </xdr:from>
    <xdr:to>
      <xdr:col>19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224B0E-2708-43D0-8A08-1B25A5D3A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18</xdr:row>
      <xdr:rowOff>152400</xdr:rowOff>
    </xdr:from>
    <xdr:to>
      <xdr:col>16</xdr:col>
      <xdr:colOff>95250</xdr:colOff>
      <xdr:row>34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23BB27-61F9-E865-5370-67DF62398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18</xdr:row>
      <xdr:rowOff>73152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518471-4806-4486-821A-4FBA743D3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471829</xdr:colOff>
      <xdr:row>4</xdr:row>
      <xdr:rowOff>142646</xdr:rowOff>
    </xdr:from>
    <xdr:to>
      <xdr:col>11</xdr:col>
      <xdr:colOff>537666</xdr:colOff>
      <xdr:row>20</xdr:row>
      <xdr:rowOff>142646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FB6586-1717-562F-C01B-9941FFF67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BFA7B-EB61-4F0A-B095-BB502D95D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17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79D049-FD71-4A0A-8846-A92E08A7D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442569</xdr:colOff>
      <xdr:row>4</xdr:row>
      <xdr:rowOff>69494</xdr:rowOff>
    </xdr:from>
    <xdr:to>
      <xdr:col>11</xdr:col>
      <xdr:colOff>508406</xdr:colOff>
      <xdr:row>20</xdr:row>
      <xdr:rowOff>69494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06724-1FC5-F848-5D20-50CA6FC5B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956AE9-A3D8-4FEE-B5F9-56622EEA0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17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5D6B52-7C75-4B2A-8729-37837E4D1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14631</xdr:colOff>
      <xdr:row>8</xdr:row>
      <xdr:rowOff>47549</xdr:rowOff>
    </xdr:from>
    <xdr:to>
      <xdr:col>10</xdr:col>
      <xdr:colOff>73152</xdr:colOff>
      <xdr:row>24</xdr:row>
      <xdr:rowOff>47549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39ABA-802B-6B01-AD93-D0259FDD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Resultado%202025/BP%202025%20MBC_08.25.xlsx" TargetMode="External"/><Relationship Id="rId1" Type="http://schemas.openxmlformats.org/officeDocument/2006/relationships/externalLinkPath" Target="https://rumogestaodenegocios.sharepoint.com/Financeiro/MBC/Resultado%20Mensal%20MBC/Resultado%202025/BP%202025%20MBC_08.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Equipe%20MBC/Or&#231;amento%202026/Or&#231;amento%202026.xlsx" TargetMode="External"/><Relationship Id="rId1" Type="http://schemas.openxmlformats.org/officeDocument/2006/relationships/externalLinkPath" Target="https://rumogestaodenegocios.sharepoint.com/Financeiro/MBC/Equipe%20MBC/Or&#231;amento%202026/Or&#231;ament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BP%202025%20MBC_09.25_Nova%20Receita%20.xlsx" TargetMode="External"/><Relationship Id="rId1" Type="http://schemas.openxmlformats.org/officeDocument/2006/relationships/externalLinkPath" Target="https://rumogestaodenegocios.sharepoint.com/Financeiro/MBC/Resultado%20Mensal%20MBC/BP%202025%20MBC_09.25_Nova%20Receita%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Apresenta&#231;&#227;o%20Resultado%202020%20a%202023/Fechamento%20Financeiro%202022.xlsx" TargetMode="External"/><Relationship Id="rId1" Type="http://schemas.openxmlformats.org/officeDocument/2006/relationships/externalLinkPath" Target="https://rumogestaodenegocios.sharepoint.com/Financeiro/MBC/Resultado%20Mensal%20MBC/Apresenta&#231;&#227;o%20Resultado%202020%20a%202023/Fechamento%20Financ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mento (2)"/>
      <sheetName val="Fluxo consolidado (2)"/>
      <sheetName val="Planilha5"/>
      <sheetName val="Faturamento"/>
      <sheetName val="Meta (2)"/>
      <sheetName val="DRE 2025"/>
      <sheetName val="Orçamento 2025"/>
      <sheetName val="Base_Resultado Mensal_V2"/>
      <sheetName val="Fluxo consolidado (3)"/>
      <sheetName val="Planilha3"/>
      <sheetName val="Areas Sintetico atualizado"/>
      <sheetName val="Rateio Mensal"/>
      <sheetName val="Institucional"/>
      <sheetName val="Contencioso"/>
      <sheetName val="Econômico"/>
      <sheetName val="Arbitragem"/>
      <sheetName val="Plani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0">
          <cell r="D190">
            <v>134911.6</v>
          </cell>
          <cell r="F190">
            <v>5092.4500000000007</v>
          </cell>
          <cell r="H190">
            <v>814.99</v>
          </cell>
          <cell r="J190">
            <v>110831.76</v>
          </cell>
          <cell r="L190">
            <v>5968</v>
          </cell>
          <cell r="N190">
            <v>11928.17</v>
          </cell>
          <cell r="P190">
            <v>183171.96</v>
          </cell>
        </row>
      </sheetData>
      <sheetData sheetId="8"/>
      <sheetData sheetId="9"/>
      <sheetData sheetId="10">
        <row r="7">
          <cell r="AI7">
            <v>1806527.7499999995</v>
          </cell>
        </row>
        <row r="11">
          <cell r="AI11">
            <v>1228915.9292000001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agem"/>
      <sheetName val="Relatório"/>
      <sheetName val="Planilha1 (2)"/>
      <sheetName val="Plano de saude"/>
      <sheetName val="Rateio Mensal"/>
      <sheetName val="Premissas"/>
      <sheetName val="DRE 2026"/>
      <sheetName val="Orçamento 2026"/>
      <sheetName val="Tabela 2025 2026"/>
      <sheetName val="Custo por equipe"/>
      <sheetName val="Planilha2"/>
      <sheetName val="Cargos"/>
      <sheetName val="Planilha1"/>
      <sheetName val="Faixas DL"/>
      <sheetName val="Profissionais"/>
      <sheetName val="Tabelas"/>
      <sheetName val="Equipe atual 2024_2025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4.4999999999999998E-2</v>
          </cell>
        </row>
        <row r="4">
          <cell r="B4">
            <v>0.15</v>
          </cell>
        </row>
        <row r="5">
          <cell r="B5">
            <v>0.1</v>
          </cell>
        </row>
      </sheetData>
      <sheetData sheetId="6"/>
      <sheetData sheetId="7">
        <row r="5">
          <cell r="D5">
            <v>74354.065000000002</v>
          </cell>
          <cell r="E5">
            <v>72754.065000000002</v>
          </cell>
          <cell r="F5">
            <v>72754.065000000002</v>
          </cell>
          <cell r="G5">
            <v>74354.065000000002</v>
          </cell>
          <cell r="H5">
            <v>72754.065000000002</v>
          </cell>
          <cell r="I5">
            <v>72754.065000000002</v>
          </cell>
          <cell r="J5">
            <v>74354.065000000002</v>
          </cell>
          <cell r="K5">
            <v>72754.065000000002</v>
          </cell>
          <cell r="L5">
            <v>72754.065000000002</v>
          </cell>
          <cell r="M5">
            <v>75309.514750000002</v>
          </cell>
          <cell r="N5">
            <v>73450.317250000007</v>
          </cell>
          <cell r="O5">
            <v>73451.317250000007</v>
          </cell>
        </row>
        <row r="28">
          <cell r="D28">
            <v>76879.165000000023</v>
          </cell>
          <cell r="E28">
            <v>75379.165000000023</v>
          </cell>
          <cell r="F28">
            <v>75379.165000000023</v>
          </cell>
          <cell r="G28">
            <v>76979.165000000023</v>
          </cell>
          <cell r="H28">
            <v>75379.165000000023</v>
          </cell>
          <cell r="I28">
            <v>75379.165000000023</v>
          </cell>
          <cell r="J28">
            <v>76979.165000000023</v>
          </cell>
          <cell r="K28">
            <v>75379.165000000023</v>
          </cell>
          <cell r="L28">
            <v>75379.165000000023</v>
          </cell>
          <cell r="M28">
            <v>78067.422500000001</v>
          </cell>
          <cell r="N28">
            <v>76467.422500000001</v>
          </cell>
          <cell r="O28">
            <v>76467.422500000001</v>
          </cell>
        </row>
        <row r="53">
          <cell r="D53">
            <v>62184.360000000008</v>
          </cell>
          <cell r="E53">
            <v>60584.360000000008</v>
          </cell>
          <cell r="F53">
            <v>47967.380000000005</v>
          </cell>
          <cell r="G53">
            <v>49567.380000000005</v>
          </cell>
          <cell r="H53">
            <v>47967.380000000005</v>
          </cell>
          <cell r="I53">
            <v>47967.380000000005</v>
          </cell>
          <cell r="J53">
            <v>49567.380000000005</v>
          </cell>
          <cell r="K53">
            <v>47967.380000000005</v>
          </cell>
          <cell r="L53">
            <v>47967.380000000005</v>
          </cell>
          <cell r="M53">
            <v>49809.927000000003</v>
          </cell>
          <cell r="N53">
            <v>48209.927000000003</v>
          </cell>
          <cell r="O53">
            <v>48209.927000000003</v>
          </cell>
        </row>
        <row r="73">
          <cell r="D73">
            <v>27197.48</v>
          </cell>
          <cell r="E73">
            <v>34236.379999999997</v>
          </cell>
          <cell r="F73">
            <v>34236.379999999997</v>
          </cell>
          <cell r="G73">
            <v>34236.379999999997</v>
          </cell>
          <cell r="H73">
            <v>34236.379999999997</v>
          </cell>
          <cell r="I73">
            <v>35213.24</v>
          </cell>
          <cell r="J73">
            <v>35213.24</v>
          </cell>
          <cell r="K73">
            <v>35213.24</v>
          </cell>
          <cell r="L73">
            <v>35213.24</v>
          </cell>
          <cell r="M73">
            <v>35213.24</v>
          </cell>
          <cell r="N73">
            <v>35213.24</v>
          </cell>
          <cell r="O73">
            <v>35213.24</v>
          </cell>
        </row>
        <row r="80">
          <cell r="D80">
            <v>890</v>
          </cell>
          <cell r="E80">
            <v>839.76380000000006</v>
          </cell>
          <cell r="F80">
            <v>839.76380000000006</v>
          </cell>
          <cell r="G80">
            <v>839.76380000000006</v>
          </cell>
          <cell r="H80">
            <v>839.76380000000006</v>
          </cell>
          <cell r="I80">
            <v>839.76380000000006</v>
          </cell>
          <cell r="J80">
            <v>839.76380000000006</v>
          </cell>
          <cell r="K80">
            <v>839.76380000000006</v>
          </cell>
          <cell r="L80">
            <v>839.76380000000006</v>
          </cell>
          <cell r="M80">
            <v>839.76380000000006</v>
          </cell>
          <cell r="N80">
            <v>839.76380000000006</v>
          </cell>
          <cell r="O80">
            <v>839.76380000000006</v>
          </cell>
        </row>
        <row r="83">
          <cell r="D83">
            <v>7255</v>
          </cell>
          <cell r="E83">
            <v>5505</v>
          </cell>
          <cell r="F83">
            <v>5742.2049999999999</v>
          </cell>
          <cell r="G83">
            <v>7292.2049999999999</v>
          </cell>
          <cell r="H83">
            <v>5742.2049999999999</v>
          </cell>
          <cell r="I83">
            <v>5683.6049999999996</v>
          </cell>
          <cell r="J83">
            <v>7333.6049999999996</v>
          </cell>
          <cell r="K83">
            <v>5683.6049999999996</v>
          </cell>
          <cell r="L83">
            <v>5783.6049999999996</v>
          </cell>
          <cell r="M83">
            <v>7333.6049999999996</v>
          </cell>
          <cell r="N83">
            <v>5783.6049999999996</v>
          </cell>
          <cell r="O83">
            <v>5783.6049999999996</v>
          </cell>
        </row>
        <row r="97">
          <cell r="D97">
            <v>23240.799999999999</v>
          </cell>
          <cell r="E97">
            <v>23035.8</v>
          </cell>
          <cell r="F97">
            <v>22815.8</v>
          </cell>
          <cell r="G97">
            <v>18355.8</v>
          </cell>
          <cell r="H97">
            <v>18055.8</v>
          </cell>
          <cell r="I97">
            <v>18705.8</v>
          </cell>
          <cell r="J97">
            <v>18480.8</v>
          </cell>
          <cell r="K97">
            <v>19255.8</v>
          </cell>
          <cell r="L97">
            <v>18055.8</v>
          </cell>
          <cell r="M97">
            <v>18717.561000000002</v>
          </cell>
          <cell r="N97">
            <v>22772.561000000002</v>
          </cell>
          <cell r="O97">
            <v>22772.561000000002</v>
          </cell>
        </row>
        <row r="103">
          <cell r="D103">
            <v>6426.58</v>
          </cell>
          <cell r="E103">
            <v>6776.58</v>
          </cell>
          <cell r="F103">
            <v>6426.58</v>
          </cell>
          <cell r="G103">
            <v>6426.58</v>
          </cell>
          <cell r="H103">
            <v>6426.58</v>
          </cell>
          <cell r="I103">
            <v>6426.58</v>
          </cell>
          <cell r="J103">
            <v>6426.58</v>
          </cell>
          <cell r="K103">
            <v>6426.58</v>
          </cell>
          <cell r="L103">
            <v>6426.58</v>
          </cell>
          <cell r="M103">
            <v>6623.4369999999999</v>
          </cell>
          <cell r="N103">
            <v>8923.4369999999999</v>
          </cell>
          <cell r="O103">
            <v>8923.4369999999999</v>
          </cell>
        </row>
        <row r="111">
          <cell r="D111">
            <v>2996.8033333333333</v>
          </cell>
          <cell r="E111">
            <v>2996.8033333333333</v>
          </cell>
          <cell r="F111">
            <v>14690.386666666667</v>
          </cell>
          <cell r="G111">
            <v>14690.386666666667</v>
          </cell>
          <cell r="H111">
            <v>14695.336666666666</v>
          </cell>
          <cell r="I111">
            <v>3001.336666666667</v>
          </cell>
          <cell r="J111">
            <v>5655.4485666666678</v>
          </cell>
          <cell r="K111">
            <v>5691.5826666666671</v>
          </cell>
          <cell r="L111">
            <v>5691.5826666666671</v>
          </cell>
          <cell r="M111">
            <v>9791.6326666666664</v>
          </cell>
          <cell r="N111">
            <v>5491.5826666666671</v>
          </cell>
          <cell r="O111">
            <v>5691.5826666666671</v>
          </cell>
        </row>
        <row r="124">
          <cell r="D124">
            <v>4500</v>
          </cell>
          <cell r="E124">
            <v>4500</v>
          </cell>
          <cell r="F124">
            <v>6000</v>
          </cell>
          <cell r="G124">
            <v>6000</v>
          </cell>
          <cell r="H124">
            <v>6000</v>
          </cell>
          <cell r="I124">
            <v>7500</v>
          </cell>
          <cell r="J124">
            <v>4500</v>
          </cell>
          <cell r="K124">
            <v>6000</v>
          </cell>
          <cell r="L124">
            <v>6000</v>
          </cell>
          <cell r="M124">
            <v>6000</v>
          </cell>
          <cell r="N124">
            <v>4500</v>
          </cell>
          <cell r="O124">
            <v>34500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150</v>
          </cell>
          <cell r="H145">
            <v>0</v>
          </cell>
          <cell r="I145">
            <v>0</v>
          </cell>
          <cell r="J145">
            <v>0</v>
          </cell>
          <cell r="K145">
            <v>150</v>
          </cell>
          <cell r="L145">
            <v>0</v>
          </cell>
          <cell r="M145">
            <v>0</v>
          </cell>
          <cell r="N145">
            <v>2000</v>
          </cell>
          <cell r="O145">
            <v>0</v>
          </cell>
        </row>
        <row r="151">
          <cell r="D151">
            <v>100</v>
          </cell>
          <cell r="E151">
            <v>100</v>
          </cell>
          <cell r="F151">
            <v>100</v>
          </cell>
          <cell r="G151">
            <v>100</v>
          </cell>
          <cell r="H151">
            <v>100</v>
          </cell>
          <cell r="I151">
            <v>100</v>
          </cell>
          <cell r="J151">
            <v>100</v>
          </cell>
          <cell r="K151">
            <v>100</v>
          </cell>
          <cell r="L151">
            <v>100</v>
          </cell>
          <cell r="M151">
            <v>100</v>
          </cell>
          <cell r="N151">
            <v>100</v>
          </cell>
          <cell r="O151">
            <v>100</v>
          </cell>
        </row>
        <row r="161">
          <cell r="D161">
            <v>30300</v>
          </cell>
          <cell r="E161">
            <v>22800</v>
          </cell>
          <cell r="F161">
            <v>37800</v>
          </cell>
          <cell r="G161">
            <v>30300</v>
          </cell>
          <cell r="H161">
            <v>22800</v>
          </cell>
          <cell r="I161">
            <v>22800</v>
          </cell>
          <cell r="J161">
            <v>30300</v>
          </cell>
          <cell r="K161">
            <v>22800</v>
          </cell>
          <cell r="L161">
            <v>22800</v>
          </cell>
          <cell r="M161">
            <v>30300</v>
          </cell>
          <cell r="N161">
            <v>22800</v>
          </cell>
          <cell r="O161">
            <v>22800</v>
          </cell>
        </row>
      </sheetData>
      <sheetData sheetId="8">
        <row r="3">
          <cell r="M3">
            <v>1621</v>
          </cell>
          <cell r="Q3">
            <v>4099</v>
          </cell>
        </row>
        <row r="4">
          <cell r="M4">
            <v>1621</v>
          </cell>
          <cell r="Q4">
            <v>7537.4</v>
          </cell>
        </row>
        <row r="5">
          <cell r="M5">
            <v>1621</v>
          </cell>
          <cell r="Q5">
            <v>8037.8799999999992</v>
          </cell>
        </row>
        <row r="7">
          <cell r="M7">
            <v>1621</v>
          </cell>
          <cell r="Q7">
            <v>11879</v>
          </cell>
        </row>
        <row r="8">
          <cell r="M8">
            <v>1621</v>
          </cell>
          <cell r="Q8">
            <v>13409.4</v>
          </cell>
        </row>
        <row r="9">
          <cell r="M9">
            <v>1621</v>
          </cell>
          <cell r="Q9">
            <v>15605</v>
          </cell>
        </row>
        <row r="13">
          <cell r="M13">
            <v>1621</v>
          </cell>
          <cell r="Q13">
            <v>23379</v>
          </cell>
        </row>
        <row r="14">
          <cell r="M14">
            <v>1621</v>
          </cell>
        </row>
        <row r="15">
          <cell r="M15">
            <v>1621</v>
          </cell>
          <cell r="Q15">
            <v>23379</v>
          </cell>
        </row>
        <row r="16">
          <cell r="M16">
            <v>1621</v>
          </cell>
          <cell r="Q16">
            <v>23379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itucional"/>
      <sheetName val="Contencioso"/>
      <sheetName val="Econômico"/>
      <sheetName val="Arbitragem"/>
      <sheetName val="Meta (2)"/>
      <sheetName val="Planilha3"/>
      <sheetName val="DRE 2025"/>
      <sheetName val="Orçamento 2025"/>
      <sheetName val="Fluxo consolidado (3)"/>
      <sheetName val="Rateio Mensal"/>
      <sheetName val="Base_Resultado Mensal_V2"/>
      <sheetName val="Areas Sintetico atualizado"/>
      <sheetName val="Resumo_FATURAS_Recebidas 2025"/>
      <sheetName val="FATURAS Analitico CENTRO CUSTO "/>
      <sheetName val="Amortiz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1">
          <cell r="A21" t="str">
            <v>Gestão do Conhecimento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2022"/>
      <sheetName val="Institucional, Cont. e Econ."/>
      <sheetName val="Arbitragem e Compliance"/>
      <sheetName val="Equipe Jurídica"/>
      <sheetName val="Rateio mensal"/>
      <sheetName val="Ambiental"/>
      <sheetName val="TS RZ GERAL"/>
      <sheetName val="Amortização Investimentos"/>
      <sheetName val="CUSTO VA - AMBEV (CASO 16)"/>
      <sheetName val="CUSTO RZ - VLI (CASO 4)"/>
      <sheetName val="Rentabilidade 2021 x 2022 - 30%"/>
      <sheetName val="Rentabilidade 2021 x 2022 - R$"/>
    </sheetNames>
    <sheetDataSet>
      <sheetData sheetId="0">
        <row r="186">
          <cell r="AA186">
            <v>20140</v>
          </cell>
        </row>
        <row r="189">
          <cell r="R189">
            <v>154730.96</v>
          </cell>
          <cell r="X189">
            <v>43795.59</v>
          </cell>
          <cell r="AD189">
            <v>41551</v>
          </cell>
          <cell r="AG189">
            <v>21722</v>
          </cell>
          <cell r="AJ189">
            <v>10321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inanceiro | Rumo Gestão" id="{79C765B4-347A-494B-BD96-623930B8A3AB}" userId="S::financeiro@rumogestaodenegocios.com.br::82334c5d-29ef-49fc-a856-76c5719df7c5" providerId="AD"/>
  <person displayName="Adriana Ramos | Rumo Gestão" id="{B164F17A-19B4-4B35-95B1-2D220A003C38}" userId="S::adrianaramos@rumogestaodenegocios.com.br::725f305f-6e86-4d34-91bb-9d1a39d929f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4" dT="2025-11-04T19:17:52.67" personId="{B164F17A-19B4-4B35-95B1-2D220A003C38}" id="{A1A42BBB-CDCF-4718-AF66-40D75425CE1C}">
    <text xml:space="preserve">Vencimento maio 2027
O valor da Bellini esta sendo abatido 
</text>
  </threadedComment>
  <threadedComment ref="E74" dT="2025-11-04T19:17:52.67" personId="{B164F17A-19B4-4B35-95B1-2D220A003C38}" id="{3DD72FC6-8EB5-4551-9A72-9552DC0D008E}">
    <text xml:space="preserve">Vencimento maio 2027
</text>
  </threadedComment>
  <threadedComment ref="F74" dT="2025-11-04T19:17:52.67" personId="{B164F17A-19B4-4B35-95B1-2D220A003C38}" id="{B3FBB818-07BA-48B0-8C98-B3B3041D31BC}">
    <text xml:space="preserve">Vencimento maio 2027
</text>
  </threadedComment>
  <threadedComment ref="G74" dT="2025-11-04T19:17:52.67" personId="{B164F17A-19B4-4B35-95B1-2D220A003C38}" id="{74FCEC11-01EA-4B17-A1A0-DB522EACC69B}">
    <text xml:space="preserve">Vencimento maio 2027
</text>
  </threadedComment>
  <threadedComment ref="H74" dT="2025-11-04T19:17:52.67" personId="{B164F17A-19B4-4B35-95B1-2D220A003C38}" id="{3F44E0DD-907D-4080-9504-B37E330B88BB}">
    <text xml:space="preserve">Vencimento maio 2027
</text>
  </threadedComment>
  <threadedComment ref="D101" dT="2025-11-24T12:18:51.35" personId="{B164F17A-19B4-4B35-95B1-2D220A003C38}" id="{4D231AAA-3D8C-4EB7-942C-215D746B65F0}">
    <text>DCTF REINF</text>
  </threadedComment>
  <threadedComment ref="E101" dT="2025-11-24T12:19:14.20" personId="{B164F17A-19B4-4B35-95B1-2D220A003C38}" id="{A3814D5C-6C73-413D-98C5-C664E7CD5B15}">
    <text>SPED</text>
  </threadedComment>
  <threadedComment ref="I101" dT="2025-11-24T12:19:56.43" personId="{B164F17A-19B4-4B35-95B1-2D220A003C38}" id="{8E443F09-EC3D-4505-808E-9A2EA6F8A1FC}">
    <text>DIRF</text>
  </threadedComment>
  <threadedComment ref="J101" dT="2025-11-24T12:18:51.35" personId="{B164F17A-19B4-4B35-95B1-2D220A003C38}" id="{8EA73A5B-CF0C-42FD-96A2-E01E33C23F7D}">
    <text>DCTF REINF</text>
  </threadedComment>
  <threadedComment ref="K101" dT="2025-11-24T12:21:07.41" personId="{B164F17A-19B4-4B35-95B1-2D220A003C38}" id="{2D0895FF-158C-439C-A363-17E0DCC503CB}">
    <text>ECD SPED</text>
  </threadedComment>
  <threadedComment ref="D120" dT="2025-11-25T14:49:58.33" personId="{B164F17A-19B4-4B35-95B1-2D220A003C38}" id="{096C88CD-A101-477C-A157-9EDDEE760459}">
    <text>Incendio</text>
  </threadedComment>
  <threadedComment ref="J120" dT="2025-11-25T14:49:45.79" personId="{B164F17A-19B4-4B35-95B1-2D220A003C38}" id="{935408A5-B5B7-4BEE-84BB-ABA77671691D}">
    <text>RC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81" dT="2025-12-19T18:48:46.99" personId="{B164F17A-19B4-4B35-95B1-2D220A003C38}" id="{DC4CCF00-D869-48D8-9042-B140A5002B24}">
    <text>Aluguel - valor pago Belline</text>
  </threadedComment>
  <threadedComment ref="N81" dT="2025-12-19T18:48:46.99" personId="{B164F17A-19B4-4B35-95B1-2D220A003C38}" id="{7F3DC91C-FE8C-458A-8E88-8A35A3E99FF9}">
    <text>Aluguel - valor pago Belline</text>
  </threadedComment>
  <threadedComment ref="C101" dT="2026-02-26T13:08:35.69" personId="{79C765B4-347A-494B-BD96-623930B8A3AB}" id="{D311058C-6ACC-4409-A988-A44C09F0BAF7}">
    <text>191,74 Café Bravo - 443,90 produtos de limpeza e 1423,95 produtos copa</text>
  </threadedComment>
  <threadedComment ref="C120" dT="2026-02-26T11:22:27.23" personId="{79C765B4-347A-494B-BD96-623930B8A3AB}" id="{FC6915F8-109B-47AF-B5B1-442FF11A7FF0}">
    <text>E-CPF</text>
  </threadedComment>
  <threadedComment ref="L121" dT="2025-11-14T20:23:19.82" personId="{79C765B4-347A-494B-BD96-623930B8A3AB}" id="{4A6230D4-1CBC-47DC-A487-7F7C34E0D7DD}">
    <text>The economist - assinatura anual</text>
  </threadedComment>
  <threadedComment ref="L123" dT="2025-11-14T19:23:21.17" personId="{79C765B4-347A-494B-BD96-623930B8A3AB}" id="{2FA80074-6ED6-4F29-9620-467883A26A53}">
    <text>Jornal Valor Economico - assinatura anual</text>
  </threadedComment>
  <threadedComment ref="C134" dT="2026-02-26T13:14:07.97" personId="{79C765B4-347A-494B-BD96-623930B8A3AB}" id="{7DDE8C08-6492-4414-B013-B76E261CE652}">
    <text>Audiência MBC+ LPC Latina</text>
  </threadedComment>
  <threadedComment ref="C136" dT="2026-02-26T13:16:00.56" personId="{79C765B4-347A-494B-BD96-623930B8A3AB}" id="{88441528-463F-4416-836A-55F38BE75B7B}">
    <text>Compra de vinhos parcelado 3x - ⅔ e bolo de aniversariante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B55-DCAF-4862-8E0B-31B7782EB616}">
  <dimension ref="A1:L43"/>
  <sheetViews>
    <sheetView showGridLines="0" topLeftCell="B4" workbookViewId="0">
      <selection activeCell="A13" sqref="A13:E14"/>
    </sheetView>
  </sheetViews>
  <sheetFormatPr defaultColWidth="8.85546875" defaultRowHeight="15" x14ac:dyDescent="0.25"/>
  <cols>
    <col min="1" max="1" width="14.7109375" style="381" bestFit="1" customWidth="1"/>
    <col min="2" max="2" width="14.7109375" style="381" customWidth="1"/>
    <col min="3" max="3" width="11.85546875" style="381" hidden="1" customWidth="1"/>
    <col min="4" max="4" width="10.5703125" style="381" customWidth="1"/>
    <col min="5" max="5" width="10.28515625" style="381" bestFit="1" customWidth="1"/>
    <col min="6" max="6" width="16.42578125" style="381" bestFit="1" customWidth="1"/>
    <col min="7" max="7" width="11.5703125" style="381" bestFit="1" customWidth="1"/>
    <col min="8" max="9" width="10.140625" style="381" bestFit="1" customWidth="1"/>
    <col min="10" max="10" width="8.85546875" style="381"/>
    <col min="11" max="11" width="10.140625" style="381" bestFit="1" customWidth="1"/>
    <col min="12" max="16384" width="8.85546875" style="381"/>
  </cols>
  <sheetData>
    <row r="1" spans="1:12" x14ac:dyDescent="0.25">
      <c r="A1" s="647" t="s">
        <v>0</v>
      </c>
      <c r="B1" s="648"/>
      <c r="C1" s="647" t="s">
        <v>1</v>
      </c>
      <c r="D1" s="649"/>
      <c r="E1" s="648"/>
      <c r="G1" s="381" t="s">
        <v>2</v>
      </c>
      <c r="H1" s="381" t="s">
        <v>3</v>
      </c>
      <c r="I1" s="381" t="s">
        <v>4</v>
      </c>
    </row>
    <row r="2" spans="1:12" ht="30" x14ac:dyDescent="0.25">
      <c r="A2" s="382" t="s">
        <v>5</v>
      </c>
      <c r="B2" s="383">
        <v>12</v>
      </c>
      <c r="C2" s="384">
        <v>1</v>
      </c>
      <c r="D2" s="385">
        <v>11</v>
      </c>
      <c r="E2" s="386" t="s">
        <v>6</v>
      </c>
      <c r="G2" s="381">
        <v>3120555</v>
      </c>
      <c r="H2" s="381">
        <f>C3</f>
        <v>444545.69</v>
      </c>
      <c r="I2" s="381">
        <f>H2+576522+85120+420000+374267+140000+(400000*3)</f>
        <v>3240454.69</v>
      </c>
      <c r="K2" s="381">
        <v>576622</v>
      </c>
      <c r="L2" s="381" t="s">
        <v>7</v>
      </c>
    </row>
    <row r="3" spans="1:12" x14ac:dyDescent="0.25">
      <c r="A3" s="387">
        <v>8060000</v>
      </c>
      <c r="B3" s="388">
        <f>A3/B2</f>
        <v>671666.66666666663</v>
      </c>
      <c r="C3" s="387">
        <f>'Areas Sintetico atualizado'!C3</f>
        <v>444545.69</v>
      </c>
      <c r="D3" s="389">
        <f>A3-C3</f>
        <v>7615454.3099999996</v>
      </c>
      <c r="E3" s="388">
        <f>D3/D2</f>
        <v>692314.0281818182</v>
      </c>
      <c r="G3" s="380">
        <f>G2/A3</f>
        <v>0.38716563275434246</v>
      </c>
      <c r="H3" s="380">
        <f>H2/A3</f>
        <v>5.5154552109181139E-2</v>
      </c>
      <c r="I3" s="380">
        <f>I2/A3</f>
        <v>0.40204152481389577</v>
      </c>
      <c r="K3" s="381">
        <v>85120</v>
      </c>
      <c r="L3" s="381" t="s">
        <v>8</v>
      </c>
    </row>
    <row r="4" spans="1:12" x14ac:dyDescent="0.25">
      <c r="K4" s="381">
        <v>420000</v>
      </c>
      <c r="L4" s="381" t="s">
        <v>9</v>
      </c>
    </row>
    <row r="5" spans="1:12" x14ac:dyDescent="0.25">
      <c r="H5" s="381">
        <f>10377407-5768380</f>
        <v>4609027</v>
      </c>
      <c r="K5" s="381">
        <v>374267</v>
      </c>
      <c r="L5" s="381" t="s">
        <v>10</v>
      </c>
    </row>
    <row r="6" spans="1:12" x14ac:dyDescent="0.25">
      <c r="H6" s="380">
        <f>(H2/H5)-1</f>
        <v>-0.9035489073941203</v>
      </c>
      <c r="K6" s="381">
        <v>140000</v>
      </c>
      <c r="L6" s="381" t="s">
        <v>11</v>
      </c>
    </row>
    <row r="7" spans="1:12" x14ac:dyDescent="0.25">
      <c r="A7" s="647" t="s">
        <v>12</v>
      </c>
      <c r="B7" s="648"/>
      <c r="C7" s="390" t="s">
        <v>1</v>
      </c>
      <c r="D7" s="391"/>
      <c r="E7" s="392"/>
      <c r="I7" s="381">
        <v>6143091</v>
      </c>
    </row>
    <row r="8" spans="1:12" x14ac:dyDescent="0.25">
      <c r="A8" s="382" t="s">
        <v>5</v>
      </c>
      <c r="B8" s="383">
        <v>12</v>
      </c>
      <c r="C8" s="384"/>
      <c r="D8" s="385"/>
      <c r="E8" s="386"/>
      <c r="I8" s="380">
        <f>(I2/I7)-1</f>
        <v>-0.47250420187491937</v>
      </c>
    </row>
    <row r="9" spans="1:12" x14ac:dyDescent="0.25">
      <c r="A9" s="387">
        <f>A3</f>
        <v>8060000</v>
      </c>
      <c r="B9" s="388">
        <f>A9/B8</f>
        <v>671666.66666666663</v>
      </c>
      <c r="C9" s="387">
        <f>'Areas Sintetico atualizado'!L3</f>
        <v>444545.69</v>
      </c>
      <c r="D9" s="389"/>
      <c r="E9" s="388">
        <f>A9-C9</f>
        <v>7615454.3099999996</v>
      </c>
      <c r="F9" s="381">
        <f>E9/D2</f>
        <v>692314.0281818182</v>
      </c>
    </row>
    <row r="13" spans="1:12" x14ac:dyDescent="0.25">
      <c r="B13" s="381" t="s">
        <v>13</v>
      </c>
      <c r="C13" s="381" t="s">
        <v>14</v>
      </c>
      <c r="D13" s="381" t="s">
        <v>15</v>
      </c>
      <c r="E13" s="381" t="s">
        <v>16</v>
      </c>
      <c r="F13" s="381" t="s">
        <v>17</v>
      </c>
      <c r="G13" s="381" t="s">
        <v>18</v>
      </c>
    </row>
    <row r="14" spans="1:12" x14ac:dyDescent="0.25">
      <c r="A14" s="381" t="s">
        <v>19</v>
      </c>
      <c r="B14" s="381">
        <f>'Areas Sintetico atualizado'!C4</f>
        <v>279821.07</v>
      </c>
      <c r="C14" s="381">
        <f>'Areas Sintetico atualizado'!C3</f>
        <v>444545.69</v>
      </c>
      <c r="D14" s="381">
        <v>671667</v>
      </c>
      <c r="E14" s="381">
        <f>F14+G14</f>
        <v>316604.06000000006</v>
      </c>
      <c r="F14" s="381">
        <f>'Areas Sintetico atualizado'!C13</f>
        <v>104973.54000000001</v>
      </c>
      <c r="G14" s="381">
        <f>'Areas Sintetico atualizado'!C6</f>
        <v>211630.52000000002</v>
      </c>
      <c r="I14" s="381">
        <f t="shared" ref="I14:I25" si="0">B14-F14-G14</f>
        <v>-36782.99000000002</v>
      </c>
    </row>
    <row r="15" spans="1:12" x14ac:dyDescent="0.25">
      <c r="A15" s="381" t="s">
        <v>20</v>
      </c>
      <c r="D15" s="381">
        <v>671667</v>
      </c>
      <c r="E15" s="381">
        <f t="shared" ref="E15:E21" si="1">F15+G15</f>
        <v>0</v>
      </c>
      <c r="I15" s="381">
        <f t="shared" si="0"/>
        <v>0</v>
      </c>
    </row>
    <row r="16" spans="1:12" x14ac:dyDescent="0.25">
      <c r="A16" s="381" t="s">
        <v>21</v>
      </c>
      <c r="D16" s="381">
        <v>671667</v>
      </c>
      <c r="E16" s="381">
        <f t="shared" si="1"/>
        <v>0</v>
      </c>
      <c r="I16" s="381">
        <f t="shared" si="0"/>
        <v>0</v>
      </c>
    </row>
    <row r="17" spans="1:9" x14ac:dyDescent="0.25">
      <c r="A17" s="381" t="s">
        <v>22</v>
      </c>
      <c r="D17" s="381">
        <v>671667</v>
      </c>
      <c r="E17" s="381">
        <f t="shared" si="1"/>
        <v>0</v>
      </c>
      <c r="I17" s="381">
        <f t="shared" si="0"/>
        <v>0</v>
      </c>
    </row>
    <row r="18" spans="1:9" x14ac:dyDescent="0.25">
      <c r="A18" s="381" t="s">
        <v>23</v>
      </c>
      <c r="D18" s="381">
        <v>671667</v>
      </c>
      <c r="E18" s="381">
        <f t="shared" si="1"/>
        <v>0</v>
      </c>
      <c r="I18" s="381">
        <f t="shared" si="0"/>
        <v>0</v>
      </c>
    </row>
    <row r="19" spans="1:9" x14ac:dyDescent="0.25">
      <c r="A19" s="381" t="s">
        <v>24</v>
      </c>
      <c r="D19" s="381">
        <v>671667</v>
      </c>
      <c r="E19" s="381">
        <f t="shared" si="1"/>
        <v>0</v>
      </c>
      <c r="I19" s="381">
        <f t="shared" si="0"/>
        <v>0</v>
      </c>
    </row>
    <row r="20" spans="1:9" x14ac:dyDescent="0.25">
      <c r="A20" s="381" t="s">
        <v>25</v>
      </c>
      <c r="D20" s="381">
        <v>671667</v>
      </c>
      <c r="E20" s="381">
        <f t="shared" si="1"/>
        <v>0</v>
      </c>
      <c r="I20" s="381">
        <f t="shared" si="0"/>
        <v>0</v>
      </c>
    </row>
    <row r="21" spans="1:9" x14ac:dyDescent="0.25">
      <c r="A21" s="381" t="s">
        <v>26</v>
      </c>
      <c r="D21" s="381">
        <v>671667</v>
      </c>
      <c r="E21" s="381">
        <f t="shared" si="1"/>
        <v>0</v>
      </c>
      <c r="I21" s="381">
        <f t="shared" si="0"/>
        <v>0</v>
      </c>
    </row>
    <row r="22" spans="1:9" x14ac:dyDescent="0.25">
      <c r="A22" s="381" t="s">
        <v>27</v>
      </c>
      <c r="D22" s="381">
        <v>671667</v>
      </c>
      <c r="E22" s="381">
        <f t="shared" ref="E22" si="2">F22+G22</f>
        <v>0</v>
      </c>
      <c r="I22" s="381">
        <f t="shared" si="0"/>
        <v>0</v>
      </c>
    </row>
    <row r="23" spans="1:9" x14ac:dyDescent="0.25">
      <c r="A23" s="381" t="s">
        <v>28</v>
      </c>
      <c r="D23" s="381">
        <v>671667</v>
      </c>
      <c r="E23" s="381">
        <f t="shared" ref="E23" si="3">F23+G23</f>
        <v>0</v>
      </c>
      <c r="I23" s="381">
        <f t="shared" si="0"/>
        <v>0</v>
      </c>
    </row>
    <row r="24" spans="1:9" x14ac:dyDescent="0.25">
      <c r="A24" s="381" t="s">
        <v>29</v>
      </c>
      <c r="D24" s="381">
        <v>671667</v>
      </c>
      <c r="E24" s="381">
        <f t="shared" ref="E24" si="4">F24+G24</f>
        <v>0</v>
      </c>
      <c r="I24" s="381">
        <f t="shared" si="0"/>
        <v>0</v>
      </c>
    </row>
    <row r="25" spans="1:9" x14ac:dyDescent="0.25">
      <c r="A25" s="381" t="s">
        <v>30</v>
      </c>
      <c r="D25" s="381">
        <v>671667</v>
      </c>
      <c r="E25" s="381">
        <f t="shared" ref="E25" si="5">F25+G25</f>
        <v>0</v>
      </c>
      <c r="I25" s="381">
        <f t="shared" si="0"/>
        <v>0</v>
      </c>
    </row>
    <row r="26" spans="1:9" x14ac:dyDescent="0.25">
      <c r="B26" s="381">
        <f>SUM(B14:B25)</f>
        <v>279821.07</v>
      </c>
      <c r="C26" s="381">
        <f t="shared" ref="C26:I26" si="6">SUM(C14:C25)</f>
        <v>444545.69</v>
      </c>
      <c r="D26" s="381">
        <f t="shared" si="6"/>
        <v>8060004</v>
      </c>
      <c r="E26" s="381">
        <f t="shared" si="6"/>
        <v>316604.06000000006</v>
      </c>
      <c r="F26" s="381">
        <f t="shared" si="6"/>
        <v>104973.54000000001</v>
      </c>
      <c r="G26" s="381">
        <f t="shared" si="6"/>
        <v>211630.52000000002</v>
      </c>
      <c r="H26" s="381">
        <f t="shared" si="6"/>
        <v>0</v>
      </c>
      <c r="I26" s="381">
        <f t="shared" si="6"/>
        <v>-36782.99000000002</v>
      </c>
    </row>
    <row r="28" spans="1:9" x14ac:dyDescent="0.25">
      <c r="A28" s="467" t="s">
        <v>31</v>
      </c>
      <c r="B28" s="467">
        <f>B26/12</f>
        <v>23318.422500000001</v>
      </c>
    </row>
    <row r="31" spans="1:9" x14ac:dyDescent="0.25">
      <c r="D31" s="381">
        <f>C26-F26-G26</f>
        <v>127941.63</v>
      </c>
      <c r="E31" s="381">
        <f>B26-F26-G26</f>
        <v>-36782.99000000002</v>
      </c>
    </row>
    <row r="35" spans="1:5" x14ac:dyDescent="0.25">
      <c r="B35" s="381" t="s">
        <v>13</v>
      </c>
      <c r="C35" s="381" t="s">
        <v>16</v>
      </c>
      <c r="E35" s="393" t="s">
        <v>32</v>
      </c>
    </row>
    <row r="36" spans="1:5" x14ac:dyDescent="0.25">
      <c r="A36" s="381" t="s">
        <v>19</v>
      </c>
      <c r="B36" s="381">
        <v>316807.42</v>
      </c>
      <c r="C36" s="381">
        <v>330244.38499999995</v>
      </c>
      <c r="D36" s="381">
        <f>'[1]Base_Resultado Mensal_V2'!D190</f>
        <v>134911.6</v>
      </c>
      <c r="E36" s="394">
        <f>B36-C36-D36</f>
        <v>-148348.56499999997</v>
      </c>
    </row>
    <row r="37" spans="1:5" x14ac:dyDescent="0.25">
      <c r="A37" s="381" t="s">
        <v>20</v>
      </c>
      <c r="B37" s="381">
        <v>216057.27</v>
      </c>
      <c r="C37" s="381">
        <v>377306.69500000001</v>
      </c>
      <c r="D37" s="381">
        <f>'[1]Base_Resultado Mensal_V2'!F190</f>
        <v>5092.4500000000007</v>
      </c>
      <c r="E37" s="394">
        <f t="shared" ref="E37:E42" si="7">B37-C37-D37</f>
        <v>-166341.87500000003</v>
      </c>
    </row>
    <row r="38" spans="1:5" x14ac:dyDescent="0.25">
      <c r="A38" s="381" t="s">
        <v>21</v>
      </c>
      <c r="B38" s="381">
        <v>613202.96</v>
      </c>
      <c r="C38" s="381">
        <v>363984.20666666667</v>
      </c>
      <c r="D38" s="381">
        <f>'[1]Base_Resultado Mensal_V2'!H190</f>
        <v>814.99</v>
      </c>
      <c r="E38" s="394">
        <f t="shared" si="7"/>
        <v>248403.76333333331</v>
      </c>
    </row>
    <row r="39" spans="1:5" x14ac:dyDescent="0.25">
      <c r="A39" s="381" t="s">
        <v>22</v>
      </c>
      <c r="B39" s="381">
        <v>588260.31999999995</v>
      </c>
      <c r="C39" s="381">
        <v>375072.45999999996</v>
      </c>
      <c r="D39" s="381">
        <f>'[1]Base_Resultado Mensal_V2'!J190</f>
        <v>110831.76</v>
      </c>
      <c r="E39" s="394">
        <f t="shared" si="7"/>
        <v>102356.09999999999</v>
      </c>
    </row>
    <row r="40" spans="1:5" x14ac:dyDescent="0.25">
      <c r="A40" s="381" t="s">
        <v>23</v>
      </c>
      <c r="B40" s="381">
        <v>658171.05000000005</v>
      </c>
      <c r="C40" s="381">
        <v>360112.80000000005</v>
      </c>
      <c r="D40" s="381">
        <f>'[1]Base_Resultado Mensal_V2'!L190</f>
        <v>5968</v>
      </c>
      <c r="E40" s="394">
        <f t="shared" si="7"/>
        <v>292090.25</v>
      </c>
    </row>
    <row r="41" spans="1:5" x14ac:dyDescent="0.25">
      <c r="A41" s="381" t="s">
        <v>24</v>
      </c>
      <c r="B41" s="381">
        <v>632809.49</v>
      </c>
      <c r="C41" s="381">
        <v>334821.86</v>
      </c>
      <c r="D41" s="381">
        <f>'[1]Base_Resultado Mensal_V2'!N190</f>
        <v>11928.17</v>
      </c>
      <c r="E41" s="394">
        <f t="shared" si="7"/>
        <v>286059.46000000002</v>
      </c>
    </row>
    <row r="42" spans="1:5" x14ac:dyDescent="0.25">
      <c r="A42" s="381" t="s">
        <v>25</v>
      </c>
      <c r="B42" s="381">
        <v>260036.93</v>
      </c>
      <c r="C42" s="381">
        <v>337422.55900000001</v>
      </c>
      <c r="D42" s="381">
        <f>'[1]Base_Resultado Mensal_V2'!P190</f>
        <v>183171.96</v>
      </c>
      <c r="E42" s="394">
        <f t="shared" si="7"/>
        <v>-260557.58900000001</v>
      </c>
    </row>
    <row r="43" spans="1:5" x14ac:dyDescent="0.25">
      <c r="B43" s="381">
        <v>3285345.44</v>
      </c>
      <c r="C43" s="381">
        <v>2478964.9656666671</v>
      </c>
      <c r="D43" s="381">
        <f>SUM(D36:D42)</f>
        <v>452718.92999999993</v>
      </c>
    </row>
  </sheetData>
  <mergeCells count="3">
    <mergeCell ref="A1:B1"/>
    <mergeCell ref="C1:E1"/>
    <mergeCell ref="A7:B7"/>
  </mergeCells>
  <phoneticPr fontId="1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50F0-D5A9-46C9-9B10-35411F72B7DD}">
  <dimension ref="A1:N11"/>
  <sheetViews>
    <sheetView tabSelected="1" zoomScale="110" zoomScaleNormal="110" workbookViewId="0">
      <selection activeCell="A8" sqref="A8"/>
    </sheetView>
  </sheetViews>
  <sheetFormatPr defaultRowHeight="15" x14ac:dyDescent="0.25"/>
  <cols>
    <col min="1" max="1" width="32.42578125" bestFit="1" customWidth="1"/>
    <col min="2" max="2" width="11.42578125" bestFit="1" customWidth="1"/>
    <col min="3" max="3" width="8.85546875" style="5"/>
    <col min="5" max="5" width="11.5703125" style="50" bestFit="1" customWidth="1"/>
    <col min="8" max="8" width="11.5703125" style="50" bestFit="1" customWidth="1"/>
    <col min="9" max="9" width="11.140625" style="50" bestFit="1" customWidth="1"/>
    <col min="11" max="11" width="34.140625" customWidth="1"/>
    <col min="12" max="12" width="13.28515625" style="50" bestFit="1" customWidth="1"/>
    <col min="13" max="13" width="8.140625" bestFit="1" customWidth="1"/>
    <col min="14" max="14" width="10.140625" bestFit="1" customWidth="1"/>
  </cols>
  <sheetData>
    <row r="1" spans="1:14" ht="15.75" thickBot="1" x14ac:dyDescent="0.3">
      <c r="A1" s="645" t="s">
        <v>235</v>
      </c>
      <c r="B1" s="645"/>
      <c r="C1" s="645"/>
      <c r="E1" s="646" t="s">
        <v>222</v>
      </c>
      <c r="F1" s="646"/>
      <c r="H1" s="646" t="s">
        <v>236</v>
      </c>
      <c r="I1" s="646"/>
      <c r="K1" s="642" t="s">
        <v>237</v>
      </c>
      <c r="L1" s="643"/>
      <c r="M1" s="644"/>
    </row>
    <row r="2" spans="1:14" ht="15.75" thickTop="1" x14ac:dyDescent="0.25">
      <c r="A2" s="6" t="str">
        <f>K2</f>
        <v>Custo equipe - Contencioso</v>
      </c>
      <c r="B2" s="598">
        <f>'Base_Resultado Mensal_V2'!C5</f>
        <v>73576.315000000002</v>
      </c>
      <c r="C2" s="409">
        <f>+B2/B5</f>
        <v>0.34766400895296196</v>
      </c>
      <c r="E2" s="50">
        <f>'Areas Sintetico atualizado'!B39</f>
        <v>74354.065000000002</v>
      </c>
      <c r="F2" s="51">
        <f>E2/$E$5</f>
        <v>0.34839707917233992</v>
      </c>
      <c r="H2" s="50">
        <f>('Base_Resultado Mensal_V2'!C194)-'Base_Resultado Mensal_V2'!C200-'Base_Resultado Mensal_V2'!C201-'Base_Resultado Mensal_V2'!C202</f>
        <v>101895.64000000001</v>
      </c>
      <c r="I2" s="50">
        <f>$H$2*C2</f>
        <v>35425.446697227795</v>
      </c>
      <c r="K2" s="413" t="str">
        <f>'DRE 2026'!A6</f>
        <v>Custo equipe - Contencioso</v>
      </c>
      <c r="L2" s="414">
        <f>'DRE 2026'!B6</f>
        <v>881797.73424999986</v>
      </c>
      <c r="M2" s="599">
        <f>L2/$L$5</f>
        <v>0.36682228854863186</v>
      </c>
      <c r="N2" s="33"/>
    </row>
    <row r="3" spans="1:14" x14ac:dyDescent="0.25">
      <c r="A3" s="7" t="str">
        <f>K3</f>
        <v>Custo equipe - Econômico</v>
      </c>
      <c r="B3" s="8">
        <f>'Base_Resultado Mensal_V2'!C30</f>
        <v>76041.035000000003</v>
      </c>
      <c r="C3" s="410">
        <f>+B3/B5</f>
        <v>0.35931034427359532</v>
      </c>
      <c r="E3" s="50">
        <f>'Areas Sintetico atualizado'!B57</f>
        <v>76879.165000000023</v>
      </c>
      <c r="F3" s="51">
        <f t="shared" ref="F3:F4" si="0">E3/$E$5</f>
        <v>0.36022881244231086</v>
      </c>
      <c r="I3" s="50">
        <f>$H$2*C3</f>
        <v>36612.157488378332</v>
      </c>
      <c r="K3" s="413" t="str">
        <f>'DRE 2026'!A7</f>
        <v>Custo equipe - Econômico</v>
      </c>
      <c r="L3" s="414">
        <f>'DRE 2026'!B7</f>
        <v>914114.75250000018</v>
      </c>
      <c r="M3" s="599">
        <f t="shared" ref="M3:M4" si="1">L3/$L$5</f>
        <v>0.38026596404595642</v>
      </c>
    </row>
    <row r="4" spans="1:14" x14ac:dyDescent="0.25">
      <c r="A4" s="11" t="str">
        <f>K4</f>
        <v>Custo equipe - Arbitragem e Compliance</v>
      </c>
      <c r="B4" s="12">
        <f>'Base_Resultado Mensal_V2'!C58</f>
        <v>62013.17</v>
      </c>
      <c r="C4" s="411">
        <f>B4/$B$5</f>
        <v>0.29302564677344267</v>
      </c>
      <c r="E4" s="50">
        <f>'Areas Sintetico atualizado'!B75</f>
        <v>62184.360000000008</v>
      </c>
      <c r="F4" s="51">
        <f t="shared" si="0"/>
        <v>0.29137410838534911</v>
      </c>
      <c r="I4" s="50">
        <f>$H$2*C4</f>
        <v>29858.035814393879</v>
      </c>
      <c r="K4" s="413" t="str">
        <f>'DRE 2026'!A8</f>
        <v>Custo equipe - Arbitragem e Compliance</v>
      </c>
      <c r="L4" s="414">
        <f>'DRE 2026'!B8</f>
        <v>607970.16100000008</v>
      </c>
      <c r="M4" s="599">
        <f t="shared" si="1"/>
        <v>0.25291174740541156</v>
      </c>
    </row>
    <row r="5" spans="1:14" x14ac:dyDescent="0.25">
      <c r="A5" s="9" t="s">
        <v>238</v>
      </c>
      <c r="B5" s="10">
        <f>SUM(B2:B4)</f>
        <v>211630.52000000002</v>
      </c>
      <c r="C5" s="412">
        <f>SUM(C2:C4)</f>
        <v>1</v>
      </c>
      <c r="E5" s="50">
        <f>SUM(E2:E4)</f>
        <v>213417.59000000005</v>
      </c>
      <c r="K5" s="600" t="str">
        <f>A5</f>
        <v>Total das Áreas</v>
      </c>
      <c r="L5" s="601">
        <f>SUM(L2:L4)</f>
        <v>2403882.6477500005</v>
      </c>
      <c r="M5" s="602">
        <f>SUM(M2:M4)</f>
        <v>0.99999999999999989</v>
      </c>
    </row>
    <row r="7" spans="1:14" ht="15.75" thickBot="1" x14ac:dyDescent="0.3">
      <c r="A7" s="645" t="s">
        <v>573</v>
      </c>
      <c r="B7" s="645"/>
      <c r="C7" s="645"/>
    </row>
    <row r="8" spans="1:14" ht="15.75" thickTop="1" x14ac:dyDescent="0.25">
      <c r="A8" s="6" t="str">
        <f>K2</f>
        <v>Custo equipe - Contencioso</v>
      </c>
      <c r="B8" s="598">
        <f>'Base_Resultado Mensal_V2'!D5</f>
        <v>76342.345000000001</v>
      </c>
      <c r="C8" s="409">
        <f>+B8/B11</f>
        <v>0.34953136810314278</v>
      </c>
      <c r="E8" s="50">
        <f>'DRE 2026'!D6</f>
        <v>72754.065000000002</v>
      </c>
      <c r="F8" s="51">
        <f>E8/$E$11</f>
        <v>0.34857658618998039</v>
      </c>
      <c r="H8" s="50">
        <f>'Base_Resultado Mensal_V2'!D203</f>
        <v>90395.7</v>
      </c>
      <c r="I8" s="50">
        <f>$H$8*C8</f>
        <v>31596.132691641262</v>
      </c>
    </row>
    <row r="9" spans="1:14" x14ac:dyDescent="0.25">
      <c r="A9" s="7" t="str">
        <f>K3</f>
        <v>Custo equipe - Econômico</v>
      </c>
      <c r="B9" s="8">
        <f>'Base_Resultado Mensal_V2'!D30</f>
        <v>80276.744999999995</v>
      </c>
      <c r="C9" s="410">
        <f>+B9/B11</f>
        <v>0.36754491241678683</v>
      </c>
      <c r="E9" s="50">
        <f>'DRE 2026'!D7</f>
        <v>75379.165000000023</v>
      </c>
      <c r="F9" s="51">
        <f>E9/$E$11</f>
        <v>0.36115386824847873</v>
      </c>
      <c r="I9" s="50">
        <f>$H$8*C9</f>
        <v>33224.479639354133</v>
      </c>
    </row>
    <row r="10" spans="1:14" x14ac:dyDescent="0.25">
      <c r="A10" s="11" t="str">
        <f>K4</f>
        <v>Custo equipe - Arbitragem e Compliance</v>
      </c>
      <c r="B10" s="12">
        <f>'Base_Resultado Mensal_V2'!D58</f>
        <v>61794.340000000004</v>
      </c>
      <c r="C10" s="411">
        <f>B10/$B$11</f>
        <v>0.28292371948007045</v>
      </c>
      <c r="E10" s="50">
        <f>'DRE 2026'!D8</f>
        <v>60584.360000000008</v>
      </c>
      <c r="F10" s="51">
        <f>E10/$E$11</f>
        <v>0.29026954556154078</v>
      </c>
      <c r="I10" s="50">
        <f>$H$8*C10</f>
        <v>25575.087669004603</v>
      </c>
    </row>
    <row r="11" spans="1:14" x14ac:dyDescent="0.25">
      <c r="A11" s="9" t="str">
        <f>K5</f>
        <v>Total das Áreas</v>
      </c>
      <c r="B11" s="10">
        <f>SUM(B8:B10)</f>
        <v>218413.43</v>
      </c>
      <c r="C11" s="412">
        <f>SUM(C8:C10)</f>
        <v>1</v>
      </c>
      <c r="E11" s="50">
        <f>SUM(E8:E10)</f>
        <v>208717.59000000005</v>
      </c>
    </row>
  </sheetData>
  <sortState xmlns:xlrd2="http://schemas.microsoft.com/office/spreadsheetml/2017/richdata2" ref="A2:B4">
    <sortCondition ref="A2:A4"/>
  </sortState>
  <mergeCells count="5">
    <mergeCell ref="K1:M1"/>
    <mergeCell ref="A1:C1"/>
    <mergeCell ref="H1:I1"/>
    <mergeCell ref="E1:F1"/>
    <mergeCell ref="A7:C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5A7C-AB11-4045-BA0B-93A9B895E8D2}">
  <dimension ref="A1:P30"/>
  <sheetViews>
    <sheetView showGridLines="0" workbookViewId="0">
      <selection activeCell="P23" sqref="P23"/>
    </sheetView>
  </sheetViews>
  <sheetFormatPr defaultColWidth="8.85546875" defaultRowHeight="15" x14ac:dyDescent="0.25"/>
  <cols>
    <col min="1" max="1" width="22.28515625" style="50" bestFit="1" customWidth="1"/>
    <col min="2" max="2" width="11.7109375" style="50" customWidth="1"/>
    <col min="3" max="4" width="11.7109375" style="50" hidden="1" customWidth="1"/>
    <col min="5" max="6" width="11.7109375" style="51" hidden="1" customWidth="1"/>
    <col min="7" max="11" width="11.7109375" style="50" hidden="1" customWidth="1"/>
    <col min="12" max="12" width="13.42578125" style="50" hidden="1" customWidth="1"/>
    <col min="13" max="13" width="11.7109375" style="50" hidden="1" customWidth="1"/>
    <col min="14" max="14" width="11.7109375" style="50" customWidth="1"/>
    <col min="15" max="15" width="4.28515625" style="64" customWidth="1"/>
    <col min="16" max="16" width="15.85546875" style="61" bestFit="1" customWidth="1"/>
    <col min="17" max="17" width="12.140625" style="50" bestFit="1" customWidth="1"/>
    <col min="18" max="18" width="11.140625" style="50" customWidth="1"/>
    <col min="19" max="19" width="12.140625" style="50" bestFit="1" customWidth="1"/>
    <col min="20" max="20" width="11.140625" style="50" customWidth="1"/>
    <col min="21" max="21" width="12.140625" style="50" bestFit="1" customWidth="1"/>
    <col min="22" max="22" width="11.5703125" style="50" customWidth="1"/>
    <col min="23" max="24" width="12.5703125" style="50" bestFit="1" customWidth="1"/>
    <col min="25" max="16384" width="8.85546875" style="50"/>
  </cols>
  <sheetData>
    <row r="1" spans="1:16" x14ac:dyDescent="0.25">
      <c r="B1" s="50">
        <v>671666.67</v>
      </c>
    </row>
    <row r="2" spans="1:16" x14ac:dyDescent="0.25">
      <c r="B2" s="50" t="s">
        <v>33</v>
      </c>
      <c r="C2" s="50" t="s">
        <v>34</v>
      </c>
      <c r="D2" s="50" t="s">
        <v>35</v>
      </c>
      <c r="E2" s="50" t="s">
        <v>36</v>
      </c>
      <c r="F2" s="50" t="s">
        <v>37</v>
      </c>
      <c r="G2" s="50" t="s">
        <v>38</v>
      </c>
      <c r="H2" s="50" t="s">
        <v>39</v>
      </c>
      <c r="I2" s="50" t="s">
        <v>40</v>
      </c>
      <c r="J2" s="50" t="s">
        <v>41</v>
      </c>
      <c r="K2" s="50" t="s">
        <v>42</v>
      </c>
      <c r="L2" s="50" t="s">
        <v>43</v>
      </c>
      <c r="M2" s="50" t="s">
        <v>44</v>
      </c>
      <c r="N2" s="466">
        <v>1</v>
      </c>
    </row>
    <row r="3" spans="1:16" x14ac:dyDescent="0.25">
      <c r="A3" s="460" t="s">
        <v>216</v>
      </c>
      <c r="B3" s="461" t="s">
        <v>239</v>
      </c>
      <c r="C3" s="461" t="s">
        <v>239</v>
      </c>
      <c r="D3" s="461" t="s">
        <v>239</v>
      </c>
      <c r="E3" s="461" t="s">
        <v>239</v>
      </c>
      <c r="F3" s="461" t="s">
        <v>239</v>
      </c>
      <c r="G3" s="461" t="s">
        <v>239</v>
      </c>
      <c r="H3" s="461" t="s">
        <v>239</v>
      </c>
      <c r="I3" s="461" t="s">
        <v>239</v>
      </c>
      <c r="J3" s="461" t="s">
        <v>239</v>
      </c>
      <c r="K3" s="461" t="s">
        <v>239</v>
      </c>
      <c r="L3" s="461" t="s">
        <v>239</v>
      </c>
      <c r="M3" s="461" t="s">
        <v>239</v>
      </c>
      <c r="N3" s="462" t="s">
        <v>45</v>
      </c>
      <c r="O3" s="65"/>
    </row>
    <row r="4" spans="1:16" x14ac:dyDescent="0.25">
      <c r="A4" s="59" t="s">
        <v>13</v>
      </c>
      <c r="B4" s="60">
        <f>'Areas Sintetico atualizado'!C36</f>
        <v>72613.090702949994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>
        <f>B4+C4+D4+E4+F4+G4+H4+I4+J4+K4+L4+M4</f>
        <v>72613.090702949994</v>
      </c>
      <c r="O4" s="63"/>
      <c r="P4" s="61" t="s">
        <v>240</v>
      </c>
    </row>
    <row r="5" spans="1:16" x14ac:dyDescent="0.25">
      <c r="A5" s="59" t="s">
        <v>241</v>
      </c>
      <c r="B5" s="60">
        <f>'Areas Sintetico atualizado'!C39+'Areas Sintetico atualizado'!C40</f>
        <v>73576.315000000002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>
        <f t="shared" ref="N5:N8" si="0">B5+C5+D5+E5+F5+G5+H5+I5+J5+K5+L5+M5</f>
        <v>73576.315000000002</v>
      </c>
      <c r="O5" s="63"/>
      <c r="P5" s="61">
        <f>(N5+N6+N7+N8)/$N$2</f>
        <v>123775.80906334148</v>
      </c>
    </row>
    <row r="6" spans="1:16" x14ac:dyDescent="0.25">
      <c r="A6" s="59" t="s">
        <v>16</v>
      </c>
      <c r="B6" s="60">
        <f>'Areas Sintetico atualizado'!C41+'Areas Sintetico atualizado'!C42</f>
        <v>36485.541697227796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>
        <f t="shared" si="0"/>
        <v>36485.541697227796</v>
      </c>
      <c r="O6" s="63"/>
    </row>
    <row r="7" spans="1:16" x14ac:dyDescent="0.25">
      <c r="A7" s="59" t="s">
        <v>230</v>
      </c>
      <c r="B7" s="60">
        <f>'Areas Sintetico atualizado'!C46</f>
        <v>10891.963605442499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>
        <f t="shared" si="0"/>
        <v>10891.963605442499</v>
      </c>
      <c r="O7" s="63"/>
      <c r="P7" s="61" t="s">
        <v>242</v>
      </c>
    </row>
    <row r="8" spans="1:16" x14ac:dyDescent="0.25">
      <c r="A8" s="59" t="s">
        <v>243</v>
      </c>
      <c r="B8" s="60">
        <f>'Areas Sintetico atualizado'!C47</f>
        <v>2821.9887606711923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>
        <f t="shared" si="0"/>
        <v>2821.9887606711923</v>
      </c>
      <c r="O8" s="63"/>
    </row>
    <row r="9" spans="1:16" x14ac:dyDescent="0.25">
      <c r="A9" s="59" t="s">
        <v>232</v>
      </c>
      <c r="B9" s="60">
        <f>B4-B5-B6-B7-B8</f>
        <v>-51162.718360391496</v>
      </c>
      <c r="C9" s="60">
        <f t="shared" ref="C9:M9" si="1">C4-C5-C6-C7-C8</f>
        <v>0</v>
      </c>
      <c r="D9" s="60">
        <f t="shared" si="1"/>
        <v>0</v>
      </c>
      <c r="E9" s="60">
        <f t="shared" si="1"/>
        <v>0</v>
      </c>
      <c r="F9" s="60">
        <f t="shared" si="1"/>
        <v>0</v>
      </c>
      <c r="G9" s="60">
        <f t="shared" si="1"/>
        <v>0</v>
      </c>
      <c r="H9" s="60">
        <f t="shared" si="1"/>
        <v>0</v>
      </c>
      <c r="I9" s="60">
        <f t="shared" si="1"/>
        <v>0</v>
      </c>
      <c r="J9" s="60">
        <f t="shared" si="1"/>
        <v>0</v>
      </c>
      <c r="K9" s="60">
        <f t="shared" si="1"/>
        <v>0</v>
      </c>
      <c r="L9" s="60">
        <f t="shared" si="1"/>
        <v>0</v>
      </c>
      <c r="M9" s="60">
        <f t="shared" si="1"/>
        <v>0</v>
      </c>
      <c r="N9" s="60">
        <f>N4-N5-N6-N7-N8</f>
        <v>-51162.718360391496</v>
      </c>
      <c r="O9" s="63"/>
      <c r="P9" s="612">
        <f>N9/N4</f>
        <v>-0.70459359139099353</v>
      </c>
    </row>
    <row r="10" spans="1:16" x14ac:dyDescent="0.2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3"/>
    </row>
    <row r="11" spans="1:16" x14ac:dyDescent="0.25">
      <c r="B11" s="50" t="s">
        <v>33</v>
      </c>
      <c r="C11" s="50" t="s">
        <v>34</v>
      </c>
      <c r="D11" s="50" t="s">
        <v>35</v>
      </c>
      <c r="E11" s="50" t="s">
        <v>36</v>
      </c>
      <c r="F11" s="50" t="s">
        <v>37</v>
      </c>
      <c r="G11" s="50" t="s">
        <v>38</v>
      </c>
      <c r="H11" s="50" t="s">
        <v>39</v>
      </c>
      <c r="I11" s="50" t="s">
        <v>40</v>
      </c>
      <c r="J11" s="50" t="s">
        <v>41</v>
      </c>
      <c r="K11" s="50" t="str">
        <f>K2</f>
        <v>Outubro</v>
      </c>
      <c r="L11" s="50" t="str">
        <f>L2</f>
        <v>Novembro</v>
      </c>
      <c r="M11" s="50" t="str">
        <f>M2</f>
        <v>Dezembro</v>
      </c>
    </row>
    <row r="12" spans="1:16" x14ac:dyDescent="0.25">
      <c r="A12" s="460" t="s">
        <v>244</v>
      </c>
      <c r="B12" s="461" t="s">
        <v>239</v>
      </c>
      <c r="C12" s="461" t="s">
        <v>239</v>
      </c>
      <c r="D12" s="461" t="s">
        <v>239</v>
      </c>
      <c r="E12" s="461" t="s">
        <v>239</v>
      </c>
      <c r="F12" s="461" t="s">
        <v>239</v>
      </c>
      <c r="G12" s="461" t="s">
        <v>239</v>
      </c>
      <c r="H12" s="461" t="s">
        <v>239</v>
      </c>
      <c r="I12" s="461" t="s">
        <v>239</v>
      </c>
      <c r="J12" s="461" t="s">
        <v>239</v>
      </c>
      <c r="K12" s="461" t="s">
        <v>239</v>
      </c>
      <c r="L12" s="461" t="s">
        <v>239</v>
      </c>
      <c r="M12" s="461" t="s">
        <v>239</v>
      </c>
      <c r="N12" s="462" t="s">
        <v>45</v>
      </c>
      <c r="O12" s="65"/>
    </row>
    <row r="13" spans="1:16" x14ac:dyDescent="0.25">
      <c r="A13" s="59" t="s">
        <v>13</v>
      </c>
      <c r="B13" s="60">
        <f>'Areas Sintetico atualizado'!C54</f>
        <v>120362.57434894999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>
        <f>B13+C13+D13+E13+F13+G13+H13+I13+J13+K13+L13+M13</f>
        <v>120362.57434894999</v>
      </c>
      <c r="O13" s="63"/>
      <c r="P13" s="61" t="s">
        <v>240</v>
      </c>
    </row>
    <row r="14" spans="1:16" x14ac:dyDescent="0.25">
      <c r="A14" s="59" t="s">
        <v>241</v>
      </c>
      <c r="B14" s="60">
        <f>'Areas Sintetico atualizado'!C57</f>
        <v>76041.035000000003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>
        <f t="shared" ref="N14:N17" si="2">B14+C14+D14+E14+F14+G14+H14+I14+J14+K14+L14+M14</f>
        <v>76041.035000000003</v>
      </c>
      <c r="O14" s="63"/>
      <c r="P14" s="61">
        <f>(N14+N15+N16+N17)/$N$2</f>
        <v>135495.90570518959</v>
      </c>
    </row>
    <row r="15" spans="1:16" x14ac:dyDescent="0.25">
      <c r="A15" s="59" t="s">
        <v>16</v>
      </c>
      <c r="B15" s="60">
        <f>'Areas Sintetico atualizado'!C59+'Areas Sintetico atualizado'!C60</f>
        <v>38483.962488378333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>
        <f t="shared" si="2"/>
        <v>38483.962488378333</v>
      </c>
      <c r="O15" s="63"/>
    </row>
    <row r="16" spans="1:16" x14ac:dyDescent="0.25">
      <c r="A16" s="59" t="s">
        <v>230</v>
      </c>
      <c r="B16" s="60">
        <f>'Areas Sintetico atualizado'!C64</f>
        <v>18054.386152342497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>
        <f t="shared" si="2"/>
        <v>18054.386152342497</v>
      </c>
      <c r="O16" s="63"/>
      <c r="P16" s="62" t="s">
        <v>242</v>
      </c>
    </row>
    <row r="17" spans="1:16" x14ac:dyDescent="0.25">
      <c r="A17" s="59" t="s">
        <v>243</v>
      </c>
      <c r="B17" s="60">
        <f>'Areas Sintetico atualizado'!C65</f>
        <v>2916.5220644687734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>
        <f t="shared" si="2"/>
        <v>2916.5220644687734</v>
      </c>
      <c r="O17" s="63"/>
      <c r="P17" s="62"/>
    </row>
    <row r="18" spans="1:16" x14ac:dyDescent="0.25">
      <c r="A18" s="59" t="s">
        <v>232</v>
      </c>
      <c r="B18" s="60">
        <f>B13-B14-B15-B16-B17</f>
        <v>-15133.331356239618</v>
      </c>
      <c r="C18" s="60">
        <f t="shared" ref="C18:M18" si="3">C13-C14-C15-C16-C17</f>
        <v>0</v>
      </c>
      <c r="D18" s="60">
        <f t="shared" si="3"/>
        <v>0</v>
      </c>
      <c r="E18" s="60">
        <f t="shared" si="3"/>
        <v>0</v>
      </c>
      <c r="F18" s="60">
        <f t="shared" si="3"/>
        <v>0</v>
      </c>
      <c r="G18" s="60">
        <f t="shared" si="3"/>
        <v>0</v>
      </c>
      <c r="H18" s="60">
        <f t="shared" si="3"/>
        <v>0</v>
      </c>
      <c r="I18" s="60">
        <f t="shared" si="3"/>
        <v>0</v>
      </c>
      <c r="J18" s="60">
        <f t="shared" si="3"/>
        <v>0</v>
      </c>
      <c r="K18" s="60">
        <f t="shared" si="3"/>
        <v>0</v>
      </c>
      <c r="L18" s="60">
        <f t="shared" si="3"/>
        <v>0</v>
      </c>
      <c r="M18" s="60">
        <f t="shared" si="3"/>
        <v>0</v>
      </c>
      <c r="N18" s="60">
        <f>N13-N14-N15-N16-N17</f>
        <v>-15133.331356239618</v>
      </c>
      <c r="O18" s="63"/>
      <c r="P18" s="612">
        <f>N18/N13</f>
        <v>-0.12573120372422175</v>
      </c>
    </row>
    <row r="19" spans="1:16" x14ac:dyDescent="0.25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3"/>
    </row>
    <row r="20" spans="1:16" x14ac:dyDescent="0.25">
      <c r="B20" s="50" t="s">
        <v>33</v>
      </c>
      <c r="C20" s="50" t="s">
        <v>34</v>
      </c>
      <c r="D20" s="50" t="s">
        <v>35</v>
      </c>
      <c r="E20" s="50" t="s">
        <v>36</v>
      </c>
      <c r="F20" s="50" t="s">
        <v>37</v>
      </c>
      <c r="G20" s="50" t="s">
        <v>38</v>
      </c>
      <c r="H20" s="50" t="s">
        <v>39</v>
      </c>
      <c r="I20" s="50" t="s">
        <v>40</v>
      </c>
      <c r="J20" s="50" t="s">
        <v>41</v>
      </c>
      <c r="K20" s="50" t="str">
        <f>K2</f>
        <v>Outubro</v>
      </c>
      <c r="L20" s="50" t="str">
        <f>L2</f>
        <v>Novembro</v>
      </c>
      <c r="M20" s="50" t="str">
        <f>M2</f>
        <v>Dezembro</v>
      </c>
    </row>
    <row r="21" spans="1:16" x14ac:dyDescent="0.25">
      <c r="A21" s="460" t="s">
        <v>245</v>
      </c>
      <c r="B21" s="461" t="s">
        <v>239</v>
      </c>
      <c r="C21" s="461" t="s">
        <v>239</v>
      </c>
      <c r="D21" s="461" t="s">
        <v>239</v>
      </c>
      <c r="E21" s="461" t="s">
        <v>239</v>
      </c>
      <c r="F21" s="461" t="s">
        <v>239</v>
      </c>
      <c r="G21" s="461" t="s">
        <v>239</v>
      </c>
      <c r="H21" s="461" t="s">
        <v>239</v>
      </c>
      <c r="I21" s="461" t="s">
        <v>239</v>
      </c>
      <c r="J21" s="461" t="s">
        <v>239</v>
      </c>
      <c r="K21" s="461" t="s">
        <v>239</v>
      </c>
      <c r="L21" s="461" t="s">
        <v>239</v>
      </c>
      <c r="M21" s="461" t="s">
        <v>239</v>
      </c>
      <c r="N21" s="462" t="s">
        <v>45</v>
      </c>
      <c r="O21" s="65"/>
    </row>
    <row r="22" spans="1:16" x14ac:dyDescent="0.25">
      <c r="A22" s="59" t="s">
        <v>13</v>
      </c>
      <c r="B22" s="60">
        <f>'Areas Sintetico atualizado'!C72</f>
        <v>86846.334948100004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>
        <f>B22+C22+D22+E22+F22+G22+H22+I22+J22+K22+L22+M22</f>
        <v>86846.334948100004</v>
      </c>
      <c r="O22" s="63"/>
      <c r="P22" s="61" t="s">
        <v>240</v>
      </c>
    </row>
    <row r="23" spans="1:16" x14ac:dyDescent="0.25">
      <c r="A23" s="59" t="s">
        <v>241</v>
      </c>
      <c r="B23" s="60">
        <f>'Areas Sintetico atualizado'!C75</f>
        <v>62013.17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>
        <f t="shared" ref="N23:N26" si="4">B23+C23+D23+E23+F23+G23+H23+I23+J23+K23+L23+M23</f>
        <v>62013.17</v>
      </c>
      <c r="O23" s="63"/>
      <c r="P23" s="61">
        <f>(N23+N24+N25+N26)/$N$2</f>
        <v>107422.64523146891</v>
      </c>
    </row>
    <row r="24" spans="1:16" x14ac:dyDescent="0.25">
      <c r="A24" s="59" t="s">
        <v>16</v>
      </c>
      <c r="B24" s="60">
        <f>'Areas Sintetico atualizado'!C77+'Areas Sintetico atualizado'!C78</f>
        <v>30004.035814393879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>
        <f t="shared" si="4"/>
        <v>30004.035814393879</v>
      </c>
      <c r="O24" s="63"/>
    </row>
    <row r="25" spans="1:16" x14ac:dyDescent="0.25">
      <c r="A25" s="59" t="s">
        <v>230</v>
      </c>
      <c r="B25" s="60">
        <f>'Areas Sintetico atualizado'!C82</f>
        <v>13026.950242215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>
        <f t="shared" si="4"/>
        <v>13026.950242215</v>
      </c>
      <c r="O25" s="63"/>
      <c r="P25" s="62" t="s">
        <v>242</v>
      </c>
    </row>
    <row r="26" spans="1:16" x14ac:dyDescent="0.25">
      <c r="A26" s="59" t="s">
        <v>243</v>
      </c>
      <c r="B26" s="60">
        <f>'Areas Sintetico atualizado'!C83</f>
        <v>2378.4891748600344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>
        <f t="shared" si="4"/>
        <v>2378.4891748600344</v>
      </c>
      <c r="O26" s="63"/>
      <c r="P26" s="62"/>
    </row>
    <row r="27" spans="1:16" x14ac:dyDescent="0.25">
      <c r="A27" s="59" t="s">
        <v>232</v>
      </c>
      <c r="B27" s="60">
        <f>B22-B23-B24-B25-B26</f>
        <v>-20576.310283368908</v>
      </c>
      <c r="C27" s="60">
        <f t="shared" ref="C27:M27" si="5">C22-C23-C24-C25-C26</f>
        <v>0</v>
      </c>
      <c r="D27" s="60">
        <f t="shared" si="5"/>
        <v>0</v>
      </c>
      <c r="E27" s="60">
        <f t="shared" si="5"/>
        <v>0</v>
      </c>
      <c r="F27" s="60">
        <f t="shared" si="5"/>
        <v>0</v>
      </c>
      <c r="G27" s="60">
        <f t="shared" si="5"/>
        <v>0</v>
      </c>
      <c r="H27" s="60">
        <f t="shared" si="5"/>
        <v>0</v>
      </c>
      <c r="I27" s="60">
        <f t="shared" si="5"/>
        <v>0</v>
      </c>
      <c r="J27" s="60">
        <f t="shared" si="5"/>
        <v>0</v>
      </c>
      <c r="K27" s="60">
        <f t="shared" si="5"/>
        <v>0</v>
      </c>
      <c r="L27" s="60">
        <f t="shared" si="5"/>
        <v>0</v>
      </c>
      <c r="M27" s="60">
        <f t="shared" si="5"/>
        <v>0</v>
      </c>
      <c r="N27" s="60">
        <f>N22-N23-N24-N25-N26</f>
        <v>-20576.310283368908</v>
      </c>
      <c r="O27" s="63"/>
      <c r="P27" s="612">
        <f>N27/N22</f>
        <v>-0.23692779085801904</v>
      </c>
    </row>
    <row r="28" spans="1:16" x14ac:dyDescent="0.25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3"/>
    </row>
    <row r="30" spans="1:16" x14ac:dyDescent="0.25">
      <c r="B30" s="50">
        <f>B4+B13+B22</f>
        <v>279822</v>
      </c>
      <c r="C30" s="50">
        <f t="shared" ref="C30:M30" si="6">C4+C13+C22</f>
        <v>0</v>
      </c>
      <c r="D30" s="50">
        <f t="shared" si="6"/>
        <v>0</v>
      </c>
      <c r="E30" s="50">
        <f t="shared" si="6"/>
        <v>0</v>
      </c>
      <c r="F30" s="50">
        <f t="shared" si="6"/>
        <v>0</v>
      </c>
      <c r="G30" s="50">
        <f t="shared" si="6"/>
        <v>0</v>
      </c>
      <c r="H30" s="50">
        <f t="shared" si="6"/>
        <v>0</v>
      </c>
      <c r="I30" s="50">
        <f t="shared" si="6"/>
        <v>0</v>
      </c>
      <c r="J30" s="50">
        <f t="shared" si="6"/>
        <v>0</v>
      </c>
      <c r="K30" s="50">
        <f t="shared" si="6"/>
        <v>0</v>
      </c>
      <c r="L30" s="50">
        <f t="shared" si="6"/>
        <v>0</v>
      </c>
      <c r="M30" s="50">
        <f t="shared" si="6"/>
        <v>0</v>
      </c>
      <c r="N30" s="60">
        <f>B30+C30+D30+E30+F30+G30+H30+I30+J30+K30+L30+M30</f>
        <v>279822</v>
      </c>
    </row>
  </sheetData>
  <phoneticPr fontId="1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527-BFBC-4756-84FC-1A32DC5F064A}">
  <sheetPr>
    <tabColor rgb="FFFFC000"/>
  </sheetPr>
  <dimension ref="A1:AN168"/>
  <sheetViews>
    <sheetView showGridLines="0" zoomScale="110" zoomScaleNormal="110" workbookViewId="0">
      <selection activeCell="B9" activeCellId="1" sqref="B5 B9"/>
    </sheetView>
  </sheetViews>
  <sheetFormatPr defaultColWidth="9.140625" defaultRowHeight="15" x14ac:dyDescent="0.2"/>
  <cols>
    <col min="1" max="1" width="47.140625" style="505" bestFit="1" customWidth="1"/>
    <col min="2" max="2" width="15.7109375" style="506" customWidth="1"/>
    <col min="3" max="14" width="12.42578125" style="471" customWidth="1"/>
    <col min="15" max="16384" width="9.140625" style="471"/>
  </cols>
  <sheetData>
    <row r="1" spans="1:40" ht="21" customHeight="1" thickTop="1" thickBot="1" x14ac:dyDescent="0.3">
      <c r="A1" s="468" t="s">
        <v>220</v>
      </c>
      <c r="B1" s="469"/>
      <c r="C1" s="470" t="s">
        <v>33</v>
      </c>
      <c r="D1" s="470" t="s">
        <v>34</v>
      </c>
      <c r="E1" s="470" t="s">
        <v>35</v>
      </c>
      <c r="F1" s="470" t="s">
        <v>36</v>
      </c>
      <c r="G1" s="470" t="s">
        <v>37</v>
      </c>
      <c r="H1" s="470" t="s">
        <v>38</v>
      </c>
      <c r="I1" s="470" t="s">
        <v>39</v>
      </c>
      <c r="J1" s="470" t="s">
        <v>40</v>
      </c>
      <c r="K1" s="470" t="s">
        <v>41</v>
      </c>
      <c r="L1" s="470" t="s">
        <v>42</v>
      </c>
      <c r="M1" s="470" t="s">
        <v>43</v>
      </c>
      <c r="N1" s="470" t="s">
        <v>44</v>
      </c>
    </row>
    <row r="2" spans="1:40" s="475" customFormat="1" ht="37.5" customHeight="1" thickTop="1" thickBot="1" x14ac:dyDescent="0.25">
      <c r="A2" s="472" t="s">
        <v>221</v>
      </c>
      <c r="B2" s="473"/>
      <c r="C2" s="474" t="s">
        <v>222</v>
      </c>
      <c r="D2" s="474" t="s">
        <v>222</v>
      </c>
      <c r="E2" s="474" t="s">
        <v>222</v>
      </c>
      <c r="F2" s="474" t="s">
        <v>222</v>
      </c>
      <c r="G2" s="474" t="s">
        <v>222</v>
      </c>
      <c r="H2" s="474" t="s">
        <v>222</v>
      </c>
      <c r="I2" s="474" t="s">
        <v>222</v>
      </c>
      <c r="J2" s="474" t="s">
        <v>222</v>
      </c>
      <c r="K2" s="474" t="s">
        <v>222</v>
      </c>
      <c r="L2" s="474" t="s">
        <v>222</v>
      </c>
      <c r="M2" s="474" t="s">
        <v>222</v>
      </c>
      <c r="N2" s="470" t="s">
        <v>222</v>
      </c>
    </row>
    <row r="3" spans="1:40" s="479" customFormat="1" ht="25.15" customHeight="1" thickTop="1" thickBot="1" x14ac:dyDescent="0.3">
      <c r="A3" s="476" t="s">
        <v>223</v>
      </c>
      <c r="B3" s="477">
        <f>SUM(C3:N3)</f>
        <v>8060000.04</v>
      </c>
      <c r="C3" s="478">
        <v>671666.67</v>
      </c>
      <c r="D3" s="478">
        <v>671666.67</v>
      </c>
      <c r="E3" s="478">
        <v>671666.67</v>
      </c>
      <c r="F3" s="478">
        <v>671666.67</v>
      </c>
      <c r="G3" s="478">
        <v>671666.67</v>
      </c>
      <c r="H3" s="478">
        <v>671666.67</v>
      </c>
      <c r="I3" s="478">
        <v>671666.67</v>
      </c>
      <c r="J3" s="478">
        <v>671666.67</v>
      </c>
      <c r="K3" s="478">
        <v>671666.67</v>
      </c>
      <c r="L3" s="478">
        <v>671666.67</v>
      </c>
      <c r="M3" s="478">
        <v>671666.67</v>
      </c>
      <c r="N3" s="510">
        <v>671666.67</v>
      </c>
    </row>
    <row r="4" spans="1:40" s="479" customFormat="1" ht="25.15" customHeight="1" thickBot="1" x14ac:dyDescent="0.3">
      <c r="A4" s="480" t="s">
        <v>224</v>
      </c>
      <c r="B4" s="511"/>
      <c r="C4" s="48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</row>
    <row r="5" spans="1:40" s="482" customFormat="1" ht="25.15" customHeight="1" thickBot="1" x14ac:dyDescent="0.3">
      <c r="A5" s="483" t="s">
        <v>225</v>
      </c>
      <c r="B5" s="512">
        <f>SUM(C5:N5)</f>
        <v>2403882.6477500005</v>
      </c>
      <c r="C5" s="484">
        <f>SUM(C6:C8)</f>
        <v>213417.59000000005</v>
      </c>
      <c r="D5" s="485">
        <f>SUM(D6:D8)</f>
        <v>208717.59000000005</v>
      </c>
      <c r="E5" s="485">
        <f t="shared" ref="E5:N5" si="0">SUM(E6:E8)</f>
        <v>196100.61000000004</v>
      </c>
      <c r="F5" s="485">
        <f t="shared" si="0"/>
        <v>200900.61000000004</v>
      </c>
      <c r="G5" s="485">
        <f t="shared" si="0"/>
        <v>196100.61000000004</v>
      </c>
      <c r="H5" s="485">
        <f t="shared" si="0"/>
        <v>196100.61000000004</v>
      </c>
      <c r="I5" s="485">
        <f t="shared" si="0"/>
        <v>200900.61000000004</v>
      </c>
      <c r="J5" s="485">
        <f t="shared" si="0"/>
        <v>196100.61000000004</v>
      </c>
      <c r="K5" s="485">
        <f t="shared" si="0"/>
        <v>196100.61000000004</v>
      </c>
      <c r="L5" s="485">
        <f t="shared" si="0"/>
        <v>203186.86425000001</v>
      </c>
      <c r="M5" s="485">
        <f t="shared" si="0"/>
        <v>198127.66675</v>
      </c>
      <c r="N5" s="513">
        <f t="shared" si="0"/>
        <v>198128.66675</v>
      </c>
    </row>
    <row r="6" spans="1:40" s="488" customFormat="1" ht="25.15" customHeight="1" x14ac:dyDescent="0.25">
      <c r="A6" s="486" t="s">
        <v>50</v>
      </c>
      <c r="B6" s="487">
        <f>SUM(C6:N6)</f>
        <v>881797.73424999986</v>
      </c>
      <c r="C6" s="487">
        <f>'[2]Orçamento 2026'!D5</f>
        <v>74354.065000000002</v>
      </c>
      <c r="D6" s="487">
        <f>'[2]Orçamento 2026'!E5</f>
        <v>72754.065000000002</v>
      </c>
      <c r="E6" s="487">
        <f>'[2]Orçamento 2026'!F5</f>
        <v>72754.065000000002</v>
      </c>
      <c r="F6" s="487">
        <f>'[2]Orçamento 2026'!G5</f>
        <v>74354.065000000002</v>
      </c>
      <c r="G6" s="487">
        <f>'[2]Orçamento 2026'!H5</f>
        <v>72754.065000000002</v>
      </c>
      <c r="H6" s="487">
        <f>'[2]Orçamento 2026'!I5</f>
        <v>72754.065000000002</v>
      </c>
      <c r="I6" s="487">
        <f>'[2]Orçamento 2026'!J5</f>
        <v>74354.065000000002</v>
      </c>
      <c r="J6" s="487">
        <f>'[2]Orçamento 2026'!K5</f>
        <v>72754.065000000002</v>
      </c>
      <c r="K6" s="487">
        <f>'[2]Orçamento 2026'!L5</f>
        <v>72754.065000000002</v>
      </c>
      <c r="L6" s="487">
        <f>'[2]Orçamento 2026'!M5</f>
        <v>75309.514750000002</v>
      </c>
      <c r="M6" s="487">
        <f>'[2]Orçamento 2026'!N5</f>
        <v>73450.317250000007</v>
      </c>
      <c r="N6" s="514">
        <f>'[2]Orçamento 2026'!O5</f>
        <v>73451.317250000007</v>
      </c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</row>
    <row r="7" spans="1:40" s="491" customFormat="1" ht="25.15" customHeight="1" x14ac:dyDescent="0.25">
      <c r="A7" s="489" t="s">
        <v>73</v>
      </c>
      <c r="B7" s="487">
        <f t="shared" ref="B7:B8" si="1">SUM(C7:N7)</f>
        <v>914114.75250000018</v>
      </c>
      <c r="C7" s="490">
        <f>'[2]Orçamento 2026'!D28</f>
        <v>76879.165000000023</v>
      </c>
      <c r="D7" s="490">
        <f>'[2]Orçamento 2026'!E28</f>
        <v>75379.165000000023</v>
      </c>
      <c r="E7" s="490">
        <f>'[2]Orçamento 2026'!F28</f>
        <v>75379.165000000023</v>
      </c>
      <c r="F7" s="490">
        <f>'[2]Orçamento 2026'!G28</f>
        <v>76979.165000000023</v>
      </c>
      <c r="G7" s="490">
        <f>'[2]Orçamento 2026'!H28</f>
        <v>75379.165000000023</v>
      </c>
      <c r="H7" s="490">
        <f>'[2]Orçamento 2026'!I28</f>
        <v>75379.165000000023</v>
      </c>
      <c r="I7" s="490">
        <f>'[2]Orçamento 2026'!J28</f>
        <v>76979.165000000023</v>
      </c>
      <c r="J7" s="490">
        <f>'[2]Orçamento 2026'!K28</f>
        <v>75379.165000000023</v>
      </c>
      <c r="K7" s="490">
        <f>'[2]Orçamento 2026'!L28</f>
        <v>75379.165000000023</v>
      </c>
      <c r="L7" s="490">
        <f>'[2]Orçamento 2026'!M28</f>
        <v>78067.422500000001</v>
      </c>
      <c r="M7" s="490">
        <f>'[2]Orçamento 2026'!N28</f>
        <v>76467.422500000001</v>
      </c>
      <c r="N7" s="515">
        <f>'[2]Orçamento 2026'!O28</f>
        <v>76467.422500000001</v>
      </c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</row>
    <row r="8" spans="1:40" s="491" customFormat="1" ht="25.15" customHeight="1" thickBot="1" x14ac:dyDescent="0.3">
      <c r="A8" s="489" t="s">
        <v>91</v>
      </c>
      <c r="B8" s="487">
        <f t="shared" si="1"/>
        <v>607970.16100000008</v>
      </c>
      <c r="C8" s="490">
        <f>'[2]Orçamento 2026'!D53</f>
        <v>62184.360000000008</v>
      </c>
      <c r="D8" s="490">
        <f>'[2]Orçamento 2026'!E53</f>
        <v>60584.360000000008</v>
      </c>
      <c r="E8" s="490">
        <f>'[2]Orçamento 2026'!F53</f>
        <v>47967.380000000005</v>
      </c>
      <c r="F8" s="490">
        <f>'[2]Orçamento 2026'!G53</f>
        <v>49567.380000000005</v>
      </c>
      <c r="G8" s="490">
        <f>'[2]Orçamento 2026'!H53</f>
        <v>47967.380000000005</v>
      </c>
      <c r="H8" s="490">
        <f>'[2]Orçamento 2026'!I53</f>
        <v>47967.380000000005</v>
      </c>
      <c r="I8" s="490">
        <f>'[2]Orçamento 2026'!J53</f>
        <v>49567.380000000005</v>
      </c>
      <c r="J8" s="490">
        <f>'[2]Orçamento 2026'!K53</f>
        <v>47967.380000000005</v>
      </c>
      <c r="K8" s="490">
        <f>'[2]Orçamento 2026'!L53</f>
        <v>47967.380000000005</v>
      </c>
      <c r="L8" s="490">
        <f>'[2]Orçamento 2026'!M53</f>
        <v>49809.927000000003</v>
      </c>
      <c r="M8" s="490">
        <f>'[2]Orçamento 2026'!N53</f>
        <v>48209.927000000003</v>
      </c>
      <c r="N8" s="515">
        <f>'[2]Orçamento 2026'!O53</f>
        <v>48209.927000000003</v>
      </c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</row>
    <row r="9" spans="1:40" s="482" customFormat="1" ht="25.15" customHeight="1" thickBot="1" x14ac:dyDescent="0.3">
      <c r="A9" s="492" t="s">
        <v>226</v>
      </c>
      <c r="B9" s="512">
        <f>SUM(C9:N9)</f>
        <v>1331793.8110333334</v>
      </c>
      <c r="C9" s="493">
        <f t="shared" ref="C9:N9" si="2">SUM(C10:C20)</f>
        <v>102906.66333333333</v>
      </c>
      <c r="D9" s="493">
        <f t="shared" si="2"/>
        <v>100790.32713333333</v>
      </c>
      <c r="E9" s="493">
        <f t="shared" si="2"/>
        <v>128651.11546666667</v>
      </c>
      <c r="F9" s="493">
        <f t="shared" si="2"/>
        <v>118391.11546666667</v>
      </c>
      <c r="G9" s="493">
        <f t="shared" si="2"/>
        <v>108896.06546666667</v>
      </c>
      <c r="H9" s="493">
        <f t="shared" si="2"/>
        <v>100270.32546666668</v>
      </c>
      <c r="I9" s="493">
        <f t="shared" si="2"/>
        <v>108849.43736666668</v>
      </c>
      <c r="J9" s="493">
        <f t="shared" si="2"/>
        <v>102160.57146666668</v>
      </c>
      <c r="K9" s="493">
        <f t="shared" si="2"/>
        <v>100910.57146666668</v>
      </c>
      <c r="L9" s="493">
        <f t="shared" si="2"/>
        <v>114919.23946666668</v>
      </c>
      <c r="M9" s="493">
        <f t="shared" si="2"/>
        <v>108424.18946666668</v>
      </c>
      <c r="N9" s="516">
        <f t="shared" si="2"/>
        <v>136624.18946666666</v>
      </c>
    </row>
    <row r="10" spans="1:40" s="482" customFormat="1" ht="25.15" customHeight="1" x14ac:dyDescent="0.25">
      <c r="A10" s="494" t="s">
        <v>104</v>
      </c>
      <c r="B10" s="487">
        <f>SUM(C10:N10)</f>
        <v>410635.67999999993</v>
      </c>
      <c r="C10" s="495">
        <f>'[2]Orçamento 2026'!D73</f>
        <v>27197.48</v>
      </c>
      <c r="D10" s="495">
        <f>'[2]Orçamento 2026'!E73</f>
        <v>34236.379999999997</v>
      </c>
      <c r="E10" s="495">
        <f>'[2]Orçamento 2026'!F73</f>
        <v>34236.379999999997</v>
      </c>
      <c r="F10" s="495">
        <f>'[2]Orçamento 2026'!G73</f>
        <v>34236.379999999997</v>
      </c>
      <c r="G10" s="495">
        <f>'[2]Orçamento 2026'!H73</f>
        <v>34236.379999999997</v>
      </c>
      <c r="H10" s="495">
        <f>'[2]Orçamento 2026'!I73</f>
        <v>35213.24</v>
      </c>
      <c r="I10" s="495">
        <f>'[2]Orçamento 2026'!J73</f>
        <v>35213.24</v>
      </c>
      <c r="J10" s="495">
        <f>'[2]Orçamento 2026'!K73</f>
        <v>35213.24</v>
      </c>
      <c r="K10" s="495">
        <f>'[2]Orçamento 2026'!L73</f>
        <v>35213.24</v>
      </c>
      <c r="L10" s="495">
        <f>'[2]Orçamento 2026'!M73</f>
        <v>35213.24</v>
      </c>
      <c r="M10" s="495">
        <f>'[2]Orçamento 2026'!N73</f>
        <v>35213.24</v>
      </c>
      <c r="N10" s="517">
        <f>'[2]Orçamento 2026'!O73</f>
        <v>35213.24</v>
      </c>
    </row>
    <row r="11" spans="1:40" s="482" customFormat="1" ht="25.15" customHeight="1" x14ac:dyDescent="0.25">
      <c r="A11" s="494" t="s">
        <v>111</v>
      </c>
      <c r="B11" s="487">
        <f t="shared" ref="B11:B20" si="3">SUM(C11:N11)</f>
        <v>10127.401800000001</v>
      </c>
      <c r="C11" s="495">
        <f>'[2]Orçamento 2026'!D80</f>
        <v>890</v>
      </c>
      <c r="D11" s="495">
        <f>'[2]Orçamento 2026'!E80</f>
        <v>839.76380000000006</v>
      </c>
      <c r="E11" s="495">
        <f>'[2]Orçamento 2026'!F80</f>
        <v>839.76380000000006</v>
      </c>
      <c r="F11" s="495">
        <f>'[2]Orçamento 2026'!G80</f>
        <v>839.76380000000006</v>
      </c>
      <c r="G11" s="495">
        <f>'[2]Orçamento 2026'!H80</f>
        <v>839.76380000000006</v>
      </c>
      <c r="H11" s="495">
        <f>'[2]Orçamento 2026'!I80</f>
        <v>839.76380000000006</v>
      </c>
      <c r="I11" s="495">
        <f>'[2]Orçamento 2026'!J80</f>
        <v>839.76380000000006</v>
      </c>
      <c r="J11" s="495">
        <f>'[2]Orçamento 2026'!K80</f>
        <v>839.76380000000006</v>
      </c>
      <c r="K11" s="495">
        <f>'[2]Orçamento 2026'!L80</f>
        <v>839.76380000000006</v>
      </c>
      <c r="L11" s="495">
        <f>'[2]Orçamento 2026'!M80</f>
        <v>839.76380000000006</v>
      </c>
      <c r="M11" s="495">
        <f>'[2]Orçamento 2026'!N80</f>
        <v>839.76380000000006</v>
      </c>
      <c r="N11" s="517">
        <f>'[2]Orçamento 2026'!O80</f>
        <v>839.76380000000006</v>
      </c>
    </row>
    <row r="12" spans="1:40" s="482" customFormat="1" ht="25.15" customHeight="1" x14ac:dyDescent="0.25">
      <c r="A12" s="494" t="s">
        <v>114</v>
      </c>
      <c r="B12" s="487">
        <f t="shared" si="3"/>
        <v>74921.849999999977</v>
      </c>
      <c r="C12" s="495">
        <f>'[2]Orçamento 2026'!D83</f>
        <v>7255</v>
      </c>
      <c r="D12" s="495">
        <f>'[2]Orçamento 2026'!E83</f>
        <v>5505</v>
      </c>
      <c r="E12" s="495">
        <f>'[2]Orçamento 2026'!F83</f>
        <v>5742.2049999999999</v>
      </c>
      <c r="F12" s="495">
        <f>'[2]Orçamento 2026'!G83</f>
        <v>7292.2049999999999</v>
      </c>
      <c r="G12" s="495">
        <f>'[2]Orçamento 2026'!H83</f>
        <v>5742.2049999999999</v>
      </c>
      <c r="H12" s="495">
        <f>'[2]Orçamento 2026'!I83</f>
        <v>5683.6049999999996</v>
      </c>
      <c r="I12" s="495">
        <f>'[2]Orçamento 2026'!J83</f>
        <v>7333.6049999999996</v>
      </c>
      <c r="J12" s="495">
        <f>'[2]Orçamento 2026'!K83</f>
        <v>5683.6049999999996</v>
      </c>
      <c r="K12" s="495">
        <f>'[2]Orçamento 2026'!L83</f>
        <v>5783.6049999999996</v>
      </c>
      <c r="L12" s="495">
        <f>'[2]Orçamento 2026'!M83</f>
        <v>7333.6049999999996</v>
      </c>
      <c r="M12" s="495">
        <f>'[2]Orçamento 2026'!N83</f>
        <v>5783.6049999999996</v>
      </c>
      <c r="N12" s="517">
        <f>'[2]Orçamento 2026'!O83</f>
        <v>5783.6049999999996</v>
      </c>
    </row>
    <row r="13" spans="1:40" s="482" customFormat="1" ht="25.15" customHeight="1" x14ac:dyDescent="0.25">
      <c r="A13" s="494" t="s">
        <v>128</v>
      </c>
      <c r="B13" s="487">
        <f t="shared" si="3"/>
        <v>244264.88299999997</v>
      </c>
      <c r="C13" s="495">
        <f>'[2]Orçamento 2026'!D97</f>
        <v>23240.799999999999</v>
      </c>
      <c r="D13" s="495">
        <f>'[2]Orçamento 2026'!E97</f>
        <v>23035.8</v>
      </c>
      <c r="E13" s="495">
        <f>'[2]Orçamento 2026'!F97</f>
        <v>22815.8</v>
      </c>
      <c r="F13" s="495">
        <f>'[2]Orçamento 2026'!G97</f>
        <v>18355.8</v>
      </c>
      <c r="G13" s="495">
        <f>'[2]Orçamento 2026'!H97</f>
        <v>18055.8</v>
      </c>
      <c r="H13" s="495">
        <f>'[2]Orçamento 2026'!I97</f>
        <v>18705.8</v>
      </c>
      <c r="I13" s="495">
        <f>'[2]Orçamento 2026'!J97</f>
        <v>18480.8</v>
      </c>
      <c r="J13" s="495">
        <f>'[2]Orçamento 2026'!K97</f>
        <v>19255.8</v>
      </c>
      <c r="K13" s="495">
        <f>'[2]Orçamento 2026'!L97</f>
        <v>18055.8</v>
      </c>
      <c r="L13" s="495">
        <f>'[2]Orçamento 2026'!M97</f>
        <v>18717.561000000002</v>
      </c>
      <c r="M13" s="495">
        <f>'[2]Orçamento 2026'!N97</f>
        <v>22772.561000000002</v>
      </c>
      <c r="N13" s="517">
        <f>'[2]Orçamento 2026'!O97</f>
        <v>22772.561000000002</v>
      </c>
    </row>
    <row r="14" spans="1:40" s="482" customFormat="1" ht="25.15" customHeight="1" x14ac:dyDescent="0.25">
      <c r="A14" s="494" t="s">
        <v>134</v>
      </c>
      <c r="B14" s="487">
        <f t="shared" si="3"/>
        <v>82659.531000000017</v>
      </c>
      <c r="C14" s="495">
        <f>'[2]Orçamento 2026'!D103</f>
        <v>6426.58</v>
      </c>
      <c r="D14" s="495">
        <f>'[2]Orçamento 2026'!E103</f>
        <v>6776.58</v>
      </c>
      <c r="E14" s="495">
        <f>'[2]Orçamento 2026'!F103</f>
        <v>6426.58</v>
      </c>
      <c r="F14" s="495">
        <f>'[2]Orçamento 2026'!G103</f>
        <v>6426.58</v>
      </c>
      <c r="G14" s="495">
        <f>'[2]Orçamento 2026'!H103</f>
        <v>6426.58</v>
      </c>
      <c r="H14" s="495">
        <f>'[2]Orçamento 2026'!I103</f>
        <v>6426.58</v>
      </c>
      <c r="I14" s="495">
        <f>'[2]Orçamento 2026'!J103</f>
        <v>6426.58</v>
      </c>
      <c r="J14" s="495">
        <f>'[2]Orçamento 2026'!K103</f>
        <v>6426.58</v>
      </c>
      <c r="K14" s="495">
        <f>'[2]Orçamento 2026'!L103</f>
        <v>6426.58</v>
      </c>
      <c r="L14" s="495">
        <f>'[2]Orçamento 2026'!M103</f>
        <v>6623.4369999999999</v>
      </c>
      <c r="M14" s="495">
        <f>'[2]Orçamento 2026'!N103</f>
        <v>8923.4369999999999</v>
      </c>
      <c r="N14" s="517">
        <f>'[2]Orçamento 2026'!O103</f>
        <v>8923.4369999999999</v>
      </c>
    </row>
    <row r="15" spans="1:40" s="482" customFormat="1" ht="25.15" customHeight="1" x14ac:dyDescent="0.25">
      <c r="A15" s="496" t="s">
        <v>227</v>
      </c>
      <c r="B15" s="487">
        <f t="shared" si="3"/>
        <v>91084.465233333336</v>
      </c>
      <c r="C15" s="495">
        <f>'[2]Orçamento 2026'!D111</f>
        <v>2996.8033333333333</v>
      </c>
      <c r="D15" s="495">
        <f>'[2]Orçamento 2026'!E111</f>
        <v>2996.8033333333333</v>
      </c>
      <c r="E15" s="495">
        <f>'[2]Orçamento 2026'!F111</f>
        <v>14690.386666666667</v>
      </c>
      <c r="F15" s="495">
        <f>'[2]Orçamento 2026'!G111</f>
        <v>14690.386666666667</v>
      </c>
      <c r="G15" s="495">
        <f>'[2]Orçamento 2026'!H111</f>
        <v>14695.336666666666</v>
      </c>
      <c r="H15" s="495">
        <f>'[2]Orçamento 2026'!I111</f>
        <v>3001.336666666667</v>
      </c>
      <c r="I15" s="495">
        <f>'[2]Orçamento 2026'!J111</f>
        <v>5655.4485666666678</v>
      </c>
      <c r="J15" s="495">
        <f>'[2]Orçamento 2026'!K111</f>
        <v>5691.5826666666671</v>
      </c>
      <c r="K15" s="495">
        <f>'[2]Orçamento 2026'!L111</f>
        <v>5691.5826666666671</v>
      </c>
      <c r="L15" s="495">
        <f>'[2]Orçamento 2026'!M111</f>
        <v>9791.6326666666664</v>
      </c>
      <c r="M15" s="495">
        <f>'[2]Orçamento 2026'!N111</f>
        <v>5491.5826666666671</v>
      </c>
      <c r="N15" s="517">
        <f>'[2]Orçamento 2026'!O111</f>
        <v>5691.5826666666671</v>
      </c>
    </row>
    <row r="16" spans="1:40" s="482" customFormat="1" ht="25.15" customHeight="1" x14ac:dyDescent="0.25">
      <c r="A16" s="496" t="s">
        <v>151</v>
      </c>
      <c r="B16" s="487">
        <f t="shared" si="3"/>
        <v>0</v>
      </c>
      <c r="C16" s="495"/>
      <c r="D16" s="495"/>
      <c r="E16" s="495"/>
      <c r="F16" s="495"/>
      <c r="G16" s="495"/>
      <c r="H16" s="495"/>
      <c r="I16" s="495"/>
      <c r="J16" s="495"/>
      <c r="K16" s="495"/>
      <c r="L16" s="495"/>
      <c r="M16" s="495"/>
      <c r="N16" s="517"/>
    </row>
    <row r="17" spans="1:40" s="482" customFormat="1" ht="25.15" customHeight="1" x14ac:dyDescent="0.25">
      <c r="A17" s="496" t="s">
        <v>154</v>
      </c>
      <c r="B17" s="487">
        <f t="shared" si="3"/>
        <v>96000</v>
      </c>
      <c r="C17" s="495">
        <f>'[2]Orçamento 2026'!D124</f>
        <v>4500</v>
      </c>
      <c r="D17" s="495">
        <f>'[2]Orçamento 2026'!E124</f>
        <v>4500</v>
      </c>
      <c r="E17" s="495">
        <f>'[2]Orçamento 2026'!F124</f>
        <v>6000</v>
      </c>
      <c r="F17" s="495">
        <f>'[2]Orçamento 2026'!G124</f>
        <v>6000</v>
      </c>
      <c r="G17" s="495">
        <f>'[2]Orçamento 2026'!H124</f>
        <v>6000</v>
      </c>
      <c r="H17" s="495">
        <f>'[2]Orçamento 2026'!I124</f>
        <v>7500</v>
      </c>
      <c r="I17" s="495">
        <f>'[2]Orçamento 2026'!J124</f>
        <v>4500</v>
      </c>
      <c r="J17" s="495">
        <f>'[2]Orçamento 2026'!K124</f>
        <v>6000</v>
      </c>
      <c r="K17" s="495">
        <f>'[2]Orçamento 2026'!L124</f>
        <v>6000</v>
      </c>
      <c r="L17" s="495">
        <f>'[2]Orçamento 2026'!M124</f>
        <v>6000</v>
      </c>
      <c r="M17" s="495">
        <f>'[2]Orçamento 2026'!N124</f>
        <v>4500</v>
      </c>
      <c r="N17" s="517">
        <f>'[2]Orçamento 2026'!O124</f>
        <v>34500</v>
      </c>
    </row>
    <row r="18" spans="1:40" s="482" customFormat="1" ht="25.15" customHeight="1" x14ac:dyDescent="0.25">
      <c r="A18" s="496" t="s">
        <v>181</v>
      </c>
      <c r="B18" s="487">
        <f t="shared" si="3"/>
        <v>1200</v>
      </c>
      <c r="C18" s="495">
        <f>'[2]Orçamento 2026'!D151</f>
        <v>100</v>
      </c>
      <c r="D18" s="495">
        <f>'[2]Orçamento 2026'!E151</f>
        <v>100</v>
      </c>
      <c r="E18" s="495">
        <f>'[2]Orçamento 2026'!F151</f>
        <v>100</v>
      </c>
      <c r="F18" s="495">
        <f>'[2]Orçamento 2026'!G151</f>
        <v>100</v>
      </c>
      <c r="G18" s="495">
        <f>'[2]Orçamento 2026'!H151</f>
        <v>100</v>
      </c>
      <c r="H18" s="495">
        <f>'[2]Orçamento 2026'!I151</f>
        <v>100</v>
      </c>
      <c r="I18" s="495">
        <f>'[2]Orçamento 2026'!J151</f>
        <v>100</v>
      </c>
      <c r="J18" s="495">
        <f>'[2]Orçamento 2026'!K151</f>
        <v>100</v>
      </c>
      <c r="K18" s="495">
        <f>'[2]Orçamento 2026'!L151</f>
        <v>100</v>
      </c>
      <c r="L18" s="495">
        <f>'[2]Orçamento 2026'!M151</f>
        <v>100</v>
      </c>
      <c r="M18" s="495">
        <f>'[2]Orçamento 2026'!N151</f>
        <v>100</v>
      </c>
      <c r="N18" s="517">
        <f>'[2]Orçamento 2026'!O151</f>
        <v>100</v>
      </c>
    </row>
    <row r="19" spans="1:40" s="482" customFormat="1" ht="25.15" customHeight="1" x14ac:dyDescent="0.25">
      <c r="A19" s="496" t="str">
        <f>'[3]Areas Sintetico atualizado'!A21</f>
        <v>Gestão do Conhecimento</v>
      </c>
      <c r="B19" s="487">
        <f t="shared" si="3"/>
        <v>2300</v>
      </c>
      <c r="C19" s="495">
        <f>'[2]Orçamento 2026'!D145</f>
        <v>0</v>
      </c>
      <c r="D19" s="495">
        <f>'[2]Orçamento 2026'!E145</f>
        <v>0</v>
      </c>
      <c r="E19" s="495">
        <f>'[2]Orçamento 2026'!F145</f>
        <v>0</v>
      </c>
      <c r="F19" s="495">
        <f>'[2]Orçamento 2026'!G145</f>
        <v>150</v>
      </c>
      <c r="G19" s="495">
        <f>'[2]Orçamento 2026'!H145</f>
        <v>0</v>
      </c>
      <c r="H19" s="495">
        <f>'[2]Orçamento 2026'!I145</f>
        <v>0</v>
      </c>
      <c r="I19" s="495">
        <f>'[2]Orçamento 2026'!J145</f>
        <v>0</v>
      </c>
      <c r="J19" s="495">
        <f>'[2]Orçamento 2026'!K145</f>
        <v>150</v>
      </c>
      <c r="K19" s="495">
        <f>'[2]Orçamento 2026'!L145</f>
        <v>0</v>
      </c>
      <c r="L19" s="495">
        <f>'[2]Orçamento 2026'!M145</f>
        <v>0</v>
      </c>
      <c r="M19" s="495">
        <f>'[2]Orçamento 2026'!N145</f>
        <v>2000</v>
      </c>
      <c r="N19" s="517">
        <f>'[2]Orçamento 2026'!O145</f>
        <v>0</v>
      </c>
    </row>
    <row r="20" spans="1:40" s="482" customFormat="1" ht="25.15" customHeight="1" thickBot="1" x14ac:dyDescent="0.3">
      <c r="A20" s="496" t="s">
        <v>191</v>
      </c>
      <c r="B20" s="487">
        <f t="shared" si="3"/>
        <v>318600</v>
      </c>
      <c r="C20" s="495">
        <f>'[2]Orçamento 2026'!D161</f>
        <v>30300</v>
      </c>
      <c r="D20" s="495">
        <f>'[2]Orçamento 2026'!E161</f>
        <v>22800</v>
      </c>
      <c r="E20" s="495">
        <f>'[2]Orçamento 2026'!F161</f>
        <v>37800</v>
      </c>
      <c r="F20" s="495">
        <f>'[2]Orçamento 2026'!G161</f>
        <v>30300</v>
      </c>
      <c r="G20" s="495">
        <f>'[2]Orçamento 2026'!H161</f>
        <v>22800</v>
      </c>
      <c r="H20" s="495">
        <f>'[2]Orçamento 2026'!I161</f>
        <v>22800</v>
      </c>
      <c r="I20" s="495">
        <f>'[2]Orçamento 2026'!J161</f>
        <v>30300</v>
      </c>
      <c r="J20" s="495">
        <f>'[2]Orçamento 2026'!K161</f>
        <v>22800</v>
      </c>
      <c r="K20" s="495">
        <f>'[2]Orçamento 2026'!L161</f>
        <v>22800</v>
      </c>
      <c r="L20" s="495">
        <f>'[2]Orçamento 2026'!M161</f>
        <v>30300</v>
      </c>
      <c r="M20" s="495">
        <f>'[2]Orçamento 2026'!N161</f>
        <v>22800</v>
      </c>
      <c r="N20" s="517">
        <f>'[2]Orçamento 2026'!O161</f>
        <v>22800</v>
      </c>
    </row>
    <row r="21" spans="1:40" s="499" customFormat="1" ht="25.15" customHeight="1" thickBot="1" x14ac:dyDescent="0.3">
      <c r="A21" s="497" t="s">
        <v>228</v>
      </c>
      <c r="B21" s="498">
        <f>B3-B5-B9</f>
        <v>4324323.5812166659</v>
      </c>
      <c r="C21" s="498">
        <f t="shared" ref="C21:N21" si="4">C3-C5-C9</f>
        <v>355342.41666666663</v>
      </c>
      <c r="D21" s="498">
        <f t="shared" si="4"/>
        <v>362158.75286666665</v>
      </c>
      <c r="E21" s="498">
        <f t="shared" si="4"/>
        <v>346914.9445333333</v>
      </c>
      <c r="F21" s="498">
        <f t="shared" si="4"/>
        <v>352374.9445333333</v>
      </c>
      <c r="G21" s="498">
        <f t="shared" si="4"/>
        <v>366669.99453333335</v>
      </c>
      <c r="H21" s="498">
        <f t="shared" si="4"/>
        <v>375295.73453333334</v>
      </c>
      <c r="I21" s="498">
        <f t="shared" si="4"/>
        <v>361916.62263333332</v>
      </c>
      <c r="J21" s="498">
        <f t="shared" si="4"/>
        <v>373405.48853333329</v>
      </c>
      <c r="K21" s="498">
        <f t="shared" si="4"/>
        <v>374655.48853333329</v>
      </c>
      <c r="L21" s="498">
        <f t="shared" si="4"/>
        <v>353560.56628333335</v>
      </c>
      <c r="M21" s="498">
        <f t="shared" si="4"/>
        <v>365114.8137833334</v>
      </c>
      <c r="N21" s="518">
        <f t="shared" si="4"/>
        <v>336913.8137833334</v>
      </c>
    </row>
    <row r="22" spans="1:40" s="499" customFormat="1" ht="25.15" customHeight="1" thickBot="1" x14ac:dyDescent="0.3">
      <c r="A22" s="500" t="s">
        <v>229</v>
      </c>
      <c r="B22" s="519">
        <f>B21/B3</f>
        <v>0.53651657068933045</v>
      </c>
      <c r="C22" s="501">
        <f t="shared" ref="C22:N22" si="5">C21/C3</f>
        <v>0.52904577901217964</v>
      </c>
      <c r="D22" s="501">
        <f t="shared" si="5"/>
        <v>0.53919417032657979</v>
      </c>
      <c r="E22" s="501">
        <f t="shared" si="5"/>
        <v>0.5164986741612968</v>
      </c>
      <c r="F22" s="501">
        <f t="shared" si="5"/>
        <v>0.52462770637901879</v>
      </c>
      <c r="G22" s="501">
        <f t="shared" si="5"/>
        <v>0.54591065912699421</v>
      </c>
      <c r="H22" s="501">
        <f t="shared" si="5"/>
        <v>0.55875295186723095</v>
      </c>
      <c r="I22" s="501">
        <f t="shared" si="5"/>
        <v>0.53883367866583776</v>
      </c>
      <c r="J22" s="501">
        <f t="shared" si="5"/>
        <v>0.555938689846458</v>
      </c>
      <c r="K22" s="501">
        <f t="shared" si="5"/>
        <v>0.55779973202084487</v>
      </c>
      <c r="L22" s="501">
        <f t="shared" si="5"/>
        <v>0.52639290004271511</v>
      </c>
      <c r="M22" s="501">
        <f t="shared" si="5"/>
        <v>0.54359525355535865</v>
      </c>
      <c r="N22" s="501">
        <f t="shared" si="5"/>
        <v>0.50160865326745097</v>
      </c>
    </row>
    <row r="23" spans="1:40" s="504" customFormat="1" ht="25.15" customHeight="1" thickBot="1" x14ac:dyDescent="0.3">
      <c r="A23" s="497" t="s">
        <v>230</v>
      </c>
      <c r="B23" s="487">
        <f>C23+D23+E23+F23+G23+H23+I23+J23+K23+L23+M23+N23</f>
        <v>1809000.0060000008</v>
      </c>
      <c r="C23" s="502">
        <f>(C3*15%)+50000</f>
        <v>150750.00050000002</v>
      </c>
      <c r="D23" s="502">
        <f t="shared" ref="D23:N23" si="6">(D3*15%)+50000</f>
        <v>150750.00050000002</v>
      </c>
      <c r="E23" s="502">
        <f t="shared" si="6"/>
        <v>150750.00050000002</v>
      </c>
      <c r="F23" s="502">
        <f t="shared" si="6"/>
        <v>150750.00050000002</v>
      </c>
      <c r="G23" s="502">
        <f t="shared" si="6"/>
        <v>150750.00050000002</v>
      </c>
      <c r="H23" s="502">
        <f t="shared" si="6"/>
        <v>150750.00050000002</v>
      </c>
      <c r="I23" s="502">
        <f t="shared" si="6"/>
        <v>150750.00050000002</v>
      </c>
      <c r="J23" s="502">
        <f t="shared" si="6"/>
        <v>150750.00050000002</v>
      </c>
      <c r="K23" s="502">
        <f t="shared" si="6"/>
        <v>150750.00050000002</v>
      </c>
      <c r="L23" s="502">
        <f t="shared" si="6"/>
        <v>150750.00050000002</v>
      </c>
      <c r="M23" s="502">
        <f t="shared" si="6"/>
        <v>150750.00050000002</v>
      </c>
      <c r="N23" s="502">
        <f t="shared" si="6"/>
        <v>150750.00050000002</v>
      </c>
    </row>
    <row r="24" spans="1:40" s="504" customFormat="1" ht="25.15" customHeight="1" thickBot="1" x14ac:dyDescent="0.3">
      <c r="A24" s="497" t="s">
        <v>71</v>
      </c>
      <c r="B24" s="487">
        <f>SUM(C24:N24)</f>
        <v>97404</v>
      </c>
      <c r="C24" s="503">
        <v>8117</v>
      </c>
      <c r="D24" s="503">
        <v>8117</v>
      </c>
      <c r="E24" s="503">
        <v>8117</v>
      </c>
      <c r="F24" s="503">
        <v>8117</v>
      </c>
      <c r="G24" s="503">
        <v>8117</v>
      </c>
      <c r="H24" s="503">
        <v>8117</v>
      </c>
      <c r="I24" s="503">
        <v>8117</v>
      </c>
      <c r="J24" s="503">
        <v>8117</v>
      </c>
      <c r="K24" s="503">
        <v>8117</v>
      </c>
      <c r="L24" s="503">
        <v>8117</v>
      </c>
      <c r="M24" s="503">
        <v>8117</v>
      </c>
      <c r="N24" s="520">
        <v>8117</v>
      </c>
    </row>
    <row r="25" spans="1:40" s="499" customFormat="1" ht="25.15" customHeight="1" thickBot="1" x14ac:dyDescent="0.3">
      <c r="A25" s="497" t="s">
        <v>231</v>
      </c>
      <c r="B25" s="521">
        <f>B21-B23-B24</f>
        <v>2417919.5752166649</v>
      </c>
      <c r="C25" s="498">
        <f t="shared" ref="C25:N25" si="7">C21-C23-C24</f>
        <v>196475.4161666666</v>
      </c>
      <c r="D25" s="498">
        <f t="shared" si="7"/>
        <v>203291.75236666662</v>
      </c>
      <c r="E25" s="498">
        <f t="shared" si="7"/>
        <v>188047.94403333328</v>
      </c>
      <c r="F25" s="498">
        <f t="shared" si="7"/>
        <v>193507.94403333328</v>
      </c>
      <c r="G25" s="498">
        <f t="shared" si="7"/>
        <v>207802.99403333332</v>
      </c>
      <c r="H25" s="498">
        <f t="shared" si="7"/>
        <v>216428.73403333331</v>
      </c>
      <c r="I25" s="498">
        <f t="shared" si="7"/>
        <v>203049.62213333329</v>
      </c>
      <c r="J25" s="498">
        <f t="shared" si="7"/>
        <v>214538.48803333327</v>
      </c>
      <c r="K25" s="498">
        <f t="shared" si="7"/>
        <v>215788.48803333327</v>
      </c>
      <c r="L25" s="498">
        <f t="shared" si="7"/>
        <v>194693.56578333332</v>
      </c>
      <c r="M25" s="498">
        <f t="shared" si="7"/>
        <v>206247.81328333338</v>
      </c>
      <c r="N25" s="518">
        <f t="shared" si="7"/>
        <v>178046.81328333338</v>
      </c>
    </row>
    <row r="26" spans="1:40" s="499" customFormat="1" ht="25.15" customHeight="1" thickBot="1" x14ac:dyDescent="0.3">
      <c r="A26" s="500" t="s">
        <v>232</v>
      </c>
      <c r="B26" s="522">
        <f t="shared" ref="B26:N26" si="8">B25/B3</f>
        <v>0.29999002025025612</v>
      </c>
      <c r="C26" s="501">
        <f t="shared" si="8"/>
        <v>0.29251922857310547</v>
      </c>
      <c r="D26" s="501">
        <f t="shared" si="8"/>
        <v>0.30266761988750551</v>
      </c>
      <c r="E26" s="501">
        <f t="shared" si="8"/>
        <v>0.27997212372222263</v>
      </c>
      <c r="F26" s="501">
        <f t="shared" si="8"/>
        <v>0.28810115593994451</v>
      </c>
      <c r="G26" s="501">
        <f t="shared" si="8"/>
        <v>0.30938410868792005</v>
      </c>
      <c r="H26" s="501">
        <f t="shared" si="8"/>
        <v>0.32222640142815678</v>
      </c>
      <c r="I26" s="501">
        <f t="shared" si="8"/>
        <v>0.30230712822676353</v>
      </c>
      <c r="J26" s="501">
        <f t="shared" si="8"/>
        <v>0.31941213940738383</v>
      </c>
      <c r="K26" s="501">
        <f t="shared" si="8"/>
        <v>0.32127318158177071</v>
      </c>
      <c r="L26" s="501">
        <f t="shared" si="8"/>
        <v>0.28986634960364094</v>
      </c>
      <c r="M26" s="501">
        <f t="shared" si="8"/>
        <v>0.30706870311628442</v>
      </c>
      <c r="N26" s="501">
        <f t="shared" si="8"/>
        <v>0.26508210282837669</v>
      </c>
    </row>
    <row r="27" spans="1:40" s="595" customFormat="1" ht="25.15" customHeight="1" x14ac:dyDescent="0.25">
      <c r="A27" s="591" t="s">
        <v>233</v>
      </c>
      <c r="B27" s="590">
        <f t="shared" ref="B27:N27" si="9">B25*10%</f>
        <v>241791.95752166651</v>
      </c>
      <c r="C27" s="592">
        <f t="shared" si="9"/>
        <v>19647.541616666662</v>
      </c>
      <c r="D27" s="592">
        <f t="shared" si="9"/>
        <v>20329.175236666662</v>
      </c>
      <c r="E27" s="592">
        <f t="shared" si="9"/>
        <v>18804.79440333333</v>
      </c>
      <c r="F27" s="592">
        <f t="shared" si="9"/>
        <v>19350.79440333333</v>
      </c>
      <c r="G27" s="592">
        <f t="shared" si="9"/>
        <v>20780.299403333334</v>
      </c>
      <c r="H27" s="592">
        <f t="shared" si="9"/>
        <v>21642.873403333331</v>
      </c>
      <c r="I27" s="592">
        <f t="shared" si="9"/>
        <v>20304.962213333332</v>
      </c>
      <c r="J27" s="592">
        <f t="shared" si="9"/>
        <v>21453.848803333327</v>
      </c>
      <c r="K27" s="592">
        <f t="shared" si="9"/>
        <v>21578.848803333327</v>
      </c>
      <c r="L27" s="592">
        <f t="shared" si="9"/>
        <v>19469.356578333332</v>
      </c>
      <c r="M27" s="592">
        <f t="shared" si="9"/>
        <v>20624.781328333338</v>
      </c>
      <c r="N27" s="593">
        <f t="shared" si="9"/>
        <v>17804.681328333339</v>
      </c>
      <c r="O27" s="594"/>
      <c r="P27" s="594"/>
      <c r="Q27" s="594"/>
      <c r="R27" s="594"/>
      <c r="S27" s="594"/>
      <c r="T27" s="594"/>
      <c r="U27" s="594"/>
      <c r="V27" s="594"/>
      <c r="W27" s="594"/>
      <c r="X27" s="594"/>
      <c r="Y27" s="594"/>
      <c r="Z27" s="594"/>
      <c r="AA27" s="594"/>
      <c r="AB27" s="594"/>
      <c r="AC27" s="594"/>
      <c r="AD27" s="594"/>
      <c r="AE27" s="594"/>
      <c r="AF27" s="594"/>
      <c r="AG27" s="594"/>
      <c r="AH27" s="594"/>
      <c r="AI27" s="594"/>
      <c r="AJ27" s="594"/>
      <c r="AK27" s="594"/>
      <c r="AL27" s="594"/>
      <c r="AM27" s="594"/>
      <c r="AN27" s="594"/>
    </row>
    <row r="29" spans="1:40" x14ac:dyDescent="0.2">
      <c r="A29" s="650" t="s">
        <v>234</v>
      </c>
      <c r="B29" s="596">
        <f>B6+B7+B8</f>
        <v>2403882.6477500005</v>
      </c>
      <c r="C29" s="596">
        <f t="shared" ref="C29:N29" si="10">C6+C7+C8</f>
        <v>213417.59000000005</v>
      </c>
      <c r="D29" s="596">
        <f t="shared" si="10"/>
        <v>208717.59000000005</v>
      </c>
      <c r="E29" s="596">
        <f t="shared" si="10"/>
        <v>196100.61000000004</v>
      </c>
      <c r="F29" s="596">
        <f t="shared" si="10"/>
        <v>200900.61000000004</v>
      </c>
      <c r="G29" s="596">
        <f t="shared" si="10"/>
        <v>196100.61000000004</v>
      </c>
      <c r="H29" s="596">
        <f t="shared" si="10"/>
        <v>196100.61000000004</v>
      </c>
      <c r="I29" s="596">
        <f t="shared" si="10"/>
        <v>200900.61000000004</v>
      </c>
      <c r="J29" s="596">
        <f t="shared" si="10"/>
        <v>196100.61000000004</v>
      </c>
      <c r="K29" s="596">
        <f t="shared" si="10"/>
        <v>196100.61000000004</v>
      </c>
      <c r="L29" s="596">
        <f t="shared" si="10"/>
        <v>203186.86425000001</v>
      </c>
      <c r="M29" s="596">
        <f t="shared" si="10"/>
        <v>198127.66675</v>
      </c>
      <c r="N29" s="596">
        <f t="shared" si="10"/>
        <v>198128.66675</v>
      </c>
    </row>
    <row r="30" spans="1:40" x14ac:dyDescent="0.2">
      <c r="A30" s="650"/>
      <c r="B30" s="596">
        <f>B9</f>
        <v>1331793.8110333334</v>
      </c>
      <c r="C30" s="596">
        <f t="shared" ref="C30:N30" si="11">C9</f>
        <v>102906.66333333333</v>
      </c>
      <c r="D30" s="596">
        <f t="shared" si="11"/>
        <v>100790.32713333333</v>
      </c>
      <c r="E30" s="596">
        <f t="shared" si="11"/>
        <v>128651.11546666667</v>
      </c>
      <c r="F30" s="596">
        <f t="shared" si="11"/>
        <v>118391.11546666667</v>
      </c>
      <c r="G30" s="596">
        <f t="shared" si="11"/>
        <v>108896.06546666667</v>
      </c>
      <c r="H30" s="596">
        <f t="shared" si="11"/>
        <v>100270.32546666668</v>
      </c>
      <c r="I30" s="596">
        <f t="shared" si="11"/>
        <v>108849.43736666668</v>
      </c>
      <c r="J30" s="596">
        <f t="shared" si="11"/>
        <v>102160.57146666668</v>
      </c>
      <c r="K30" s="596">
        <f t="shared" si="11"/>
        <v>100910.57146666668</v>
      </c>
      <c r="L30" s="596">
        <f t="shared" si="11"/>
        <v>114919.23946666668</v>
      </c>
      <c r="M30" s="596">
        <f t="shared" si="11"/>
        <v>108424.18946666668</v>
      </c>
      <c r="N30" s="596">
        <f t="shared" si="11"/>
        <v>136624.18946666666</v>
      </c>
    </row>
    <row r="31" spans="1:40" x14ac:dyDescent="0.2">
      <c r="A31" s="650"/>
      <c r="B31" s="596">
        <f>B29-B30</f>
        <v>1072088.8367166671</v>
      </c>
      <c r="C31" s="596">
        <f t="shared" ref="C31:N31" si="12">C29-C30</f>
        <v>110510.92666666672</v>
      </c>
      <c r="D31" s="596">
        <f t="shared" si="12"/>
        <v>107927.26286666673</v>
      </c>
      <c r="E31" s="596">
        <f t="shared" si="12"/>
        <v>67449.494533333374</v>
      </c>
      <c r="F31" s="596">
        <f t="shared" si="12"/>
        <v>82509.494533333374</v>
      </c>
      <c r="G31" s="596">
        <f t="shared" si="12"/>
        <v>87204.544533333377</v>
      </c>
      <c r="H31" s="596">
        <f t="shared" si="12"/>
        <v>95830.284533333368</v>
      </c>
      <c r="I31" s="596">
        <f t="shared" si="12"/>
        <v>92051.172633333365</v>
      </c>
      <c r="J31" s="596">
        <f t="shared" si="12"/>
        <v>93940.038533333369</v>
      </c>
      <c r="K31" s="596">
        <f t="shared" si="12"/>
        <v>95190.038533333369</v>
      </c>
      <c r="L31" s="596">
        <f t="shared" si="12"/>
        <v>88267.624783333333</v>
      </c>
      <c r="M31" s="596">
        <f t="shared" si="12"/>
        <v>89703.477283333326</v>
      </c>
      <c r="N31" s="596">
        <f t="shared" si="12"/>
        <v>61504.477283333341</v>
      </c>
    </row>
    <row r="32" spans="1:40" x14ac:dyDescent="0.2">
      <c r="A32" s="650"/>
      <c r="B32" s="597">
        <f>B31/B3</f>
        <v>0.13301350265460632</v>
      </c>
      <c r="C32" s="597">
        <f t="shared" ref="C32:N32" si="13">C31/C3</f>
        <v>0.16453239620579463</v>
      </c>
      <c r="D32" s="597">
        <f t="shared" si="13"/>
        <v>0.16068575036880528</v>
      </c>
      <c r="E32" s="597">
        <f t="shared" si="13"/>
        <v>0.10042108317408897</v>
      </c>
      <c r="F32" s="597">
        <f t="shared" si="13"/>
        <v>0.12284291929110219</v>
      </c>
      <c r="G32" s="597">
        <f t="shared" si="13"/>
        <v>0.12983306813978632</v>
      </c>
      <c r="H32" s="597">
        <f t="shared" si="13"/>
        <v>0.14267536088002306</v>
      </c>
      <c r="I32" s="597">
        <f t="shared" si="13"/>
        <v>0.13704889157792116</v>
      </c>
      <c r="J32" s="597">
        <f t="shared" si="13"/>
        <v>0.13986109885925016</v>
      </c>
      <c r="K32" s="597">
        <f t="shared" si="13"/>
        <v>0.14172214103363706</v>
      </c>
      <c r="L32" s="597">
        <f t="shared" si="13"/>
        <v>0.13141581788379245</v>
      </c>
      <c r="M32" s="597">
        <f t="shared" si="13"/>
        <v>0.13355356353075154</v>
      </c>
      <c r="N32" s="597">
        <f t="shared" si="13"/>
        <v>9.1569940910322875E-2</v>
      </c>
    </row>
    <row r="95" spans="2:14" x14ac:dyDescent="0.2">
      <c r="M95" s="523"/>
    </row>
    <row r="96" spans="2:14" x14ac:dyDescent="0.2">
      <c r="B96" s="506">
        <f>SUM(B97:B102)</f>
        <v>0</v>
      </c>
      <c r="D96" s="471">
        <f>SUM(D97:D102)</f>
        <v>0</v>
      </c>
      <c r="E96" s="471">
        <f t="shared" ref="E96:N96" si="14">SUM(E97:E102)</f>
        <v>0</v>
      </c>
      <c r="F96" s="471">
        <f t="shared" si="14"/>
        <v>0</v>
      </c>
      <c r="G96" s="471">
        <f t="shared" si="14"/>
        <v>0</v>
      </c>
      <c r="H96" s="471">
        <f t="shared" si="14"/>
        <v>0</v>
      </c>
      <c r="I96" s="471">
        <f t="shared" si="14"/>
        <v>0</v>
      </c>
      <c r="J96" s="471">
        <f t="shared" si="14"/>
        <v>0</v>
      </c>
      <c r="K96" s="471">
        <f t="shared" si="14"/>
        <v>0</v>
      </c>
      <c r="L96" s="471">
        <f t="shared" si="14"/>
        <v>0</v>
      </c>
      <c r="M96" s="471">
        <f t="shared" si="14"/>
        <v>0</v>
      </c>
      <c r="N96" s="471">
        <f t="shared" si="14"/>
        <v>0</v>
      </c>
    </row>
    <row r="103" spans="1:1" x14ac:dyDescent="0.2">
      <c r="A103" s="505" t="s">
        <v>141</v>
      </c>
    </row>
    <row r="137" spans="2:14" x14ac:dyDescent="0.2">
      <c r="B137" s="506">
        <f>SUM(B138:B141)</f>
        <v>0</v>
      </c>
      <c r="D137" s="471">
        <f>SUM(D138:D141)</f>
        <v>0</v>
      </c>
      <c r="E137" s="471">
        <f t="shared" ref="E137:N137" si="15">SUM(E138:E141)</f>
        <v>0</v>
      </c>
      <c r="F137" s="471">
        <f t="shared" si="15"/>
        <v>0</v>
      </c>
      <c r="G137" s="471">
        <f t="shared" si="15"/>
        <v>0</v>
      </c>
      <c r="H137" s="471">
        <f t="shared" si="15"/>
        <v>0</v>
      </c>
      <c r="I137" s="471">
        <f t="shared" si="15"/>
        <v>0</v>
      </c>
      <c r="J137" s="471">
        <f t="shared" si="15"/>
        <v>0</v>
      </c>
      <c r="K137" s="471">
        <f t="shared" si="15"/>
        <v>0</v>
      </c>
      <c r="L137" s="471">
        <f t="shared" si="15"/>
        <v>0</v>
      </c>
      <c r="M137" s="471">
        <f t="shared" si="15"/>
        <v>0</v>
      </c>
      <c r="N137" s="471">
        <f t="shared" si="15"/>
        <v>0</v>
      </c>
    </row>
    <row r="168" spans="2:14" x14ac:dyDescent="0.2">
      <c r="B168" s="508">
        <f>B4+B26+B51+B67+B73+B76+B90+B96+B103+B142+B152+B116+B137</f>
        <v>0.29999002025025612</v>
      </c>
      <c r="D168" s="509">
        <f t="shared" ref="D168:N168" si="16">D4+D26+D51+D67+D73+D76+D90+D96+D103+D142+D152+D116+D137</f>
        <v>0.30266761988750551</v>
      </c>
      <c r="E168" s="509">
        <f t="shared" si="16"/>
        <v>0.27997212372222263</v>
      </c>
      <c r="F168" s="509">
        <f t="shared" si="16"/>
        <v>0.28810115593994451</v>
      </c>
      <c r="G168" s="509">
        <f t="shared" si="16"/>
        <v>0.30938410868792005</v>
      </c>
      <c r="H168" s="509">
        <f t="shared" si="16"/>
        <v>0.32222640142815678</v>
      </c>
      <c r="I168" s="509">
        <f t="shared" si="16"/>
        <v>0.30230712822676353</v>
      </c>
      <c r="J168" s="509">
        <f t="shared" si="16"/>
        <v>0.31941213940738383</v>
      </c>
      <c r="K168" s="509">
        <f t="shared" si="16"/>
        <v>0.32127318158177071</v>
      </c>
      <c r="L168" s="509">
        <f t="shared" si="16"/>
        <v>0.28986634960364094</v>
      </c>
      <c r="M168" s="509">
        <f t="shared" si="16"/>
        <v>0.30706870311628442</v>
      </c>
      <c r="N168" s="509">
        <f t="shared" si="16"/>
        <v>0.26508210282837669</v>
      </c>
    </row>
  </sheetData>
  <mergeCells count="1">
    <mergeCell ref="A29:A32"/>
  </mergeCells>
  <pageMargins left="0.25" right="0.25" top="0.75" bottom="0.75" header="0.3" footer="0.3"/>
  <pageSetup paperSize="9" fitToWidth="0" orientation="landscape" r:id="rId1"/>
  <colBreaks count="1" manualBreakCount="1">
    <brk id="11" max="7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D6D8-3A1C-490C-A732-17239E83018E}">
  <sheetPr>
    <tabColor rgb="FFFFFF00"/>
  </sheetPr>
  <dimension ref="A1:O198"/>
  <sheetViews>
    <sheetView zoomScaleNormal="100" workbookViewId="0">
      <pane ySplit="2" topLeftCell="A3" activePane="bottomLeft" state="frozen"/>
      <selection activeCell="A60" sqref="A60:XFD62"/>
      <selection pane="bottomLeft" activeCell="E6" sqref="E6:E8"/>
    </sheetView>
  </sheetViews>
  <sheetFormatPr defaultColWidth="9.140625" defaultRowHeight="15" x14ac:dyDescent="0.25"/>
  <cols>
    <col min="1" max="1" width="68.85546875" style="524" customWidth="1"/>
    <col min="2" max="2" width="16.7109375" style="524" customWidth="1"/>
    <col min="3" max="3" width="10.28515625" style="524" bestFit="1" customWidth="1"/>
    <col min="4" max="7" width="16.7109375" style="524" customWidth="1"/>
    <col min="8" max="15" width="16.7109375" style="525" customWidth="1"/>
    <col min="16" max="16" width="13.28515625" style="526" customWidth="1"/>
    <col min="17" max="20" width="9.140625" style="526"/>
    <col min="21" max="23" width="9.42578125" style="526" customWidth="1"/>
    <col min="24" max="24" width="4.42578125" style="526" customWidth="1"/>
    <col min="25" max="25" width="9.42578125" style="526" customWidth="1"/>
    <col min="26" max="16384" width="9.140625" style="526"/>
  </cols>
  <sheetData>
    <row r="1" spans="1:15" ht="15.75" thickBot="1" x14ac:dyDescent="0.3">
      <c r="C1" s="507">
        <v>4.4999999999999998E-2</v>
      </c>
    </row>
    <row r="2" spans="1:15" s="529" customFormat="1" ht="39" thickTop="1" thickBot="1" x14ac:dyDescent="0.3">
      <c r="A2" s="527" t="s">
        <v>46</v>
      </c>
      <c r="B2" s="528" t="s">
        <v>47</v>
      </c>
      <c r="C2" s="528"/>
      <c r="D2" s="528" t="s">
        <v>33</v>
      </c>
      <c r="E2" s="528" t="s">
        <v>34</v>
      </c>
      <c r="F2" s="528" t="s">
        <v>35</v>
      </c>
      <c r="G2" s="528" t="s">
        <v>36</v>
      </c>
      <c r="H2" s="528" t="s">
        <v>37</v>
      </c>
      <c r="I2" s="528" t="s">
        <v>38</v>
      </c>
      <c r="J2" s="528" t="s">
        <v>39</v>
      </c>
      <c r="K2" s="528" t="s">
        <v>40</v>
      </c>
      <c r="L2" s="528" t="s">
        <v>41</v>
      </c>
      <c r="M2" s="528" t="s">
        <v>42</v>
      </c>
      <c r="N2" s="528" t="s">
        <v>43</v>
      </c>
      <c r="O2" s="528" t="s">
        <v>44</v>
      </c>
    </row>
    <row r="3" spans="1:15" s="532" customFormat="1" ht="15.75" thickTop="1" x14ac:dyDescent="0.25">
      <c r="A3" s="530" t="s">
        <v>48</v>
      </c>
      <c r="B3" s="531">
        <f>SUM(C3:O3)</f>
        <v>8060000.04</v>
      </c>
      <c r="C3" s="531"/>
      <c r="D3" s="531">
        <v>671666.67</v>
      </c>
      <c r="E3" s="531">
        <v>671666.67</v>
      </c>
      <c r="F3" s="531">
        <v>671666.67</v>
      </c>
      <c r="G3" s="531">
        <v>671666.67</v>
      </c>
      <c r="H3" s="531">
        <v>671666.67</v>
      </c>
      <c r="I3" s="531">
        <v>671666.67</v>
      </c>
      <c r="J3" s="531">
        <v>671666.67</v>
      </c>
      <c r="K3" s="531">
        <v>671666.67</v>
      </c>
      <c r="L3" s="531">
        <v>671666.67</v>
      </c>
      <c r="M3" s="531">
        <v>671666.67</v>
      </c>
      <c r="N3" s="531">
        <v>671666.67</v>
      </c>
      <c r="O3" s="531">
        <v>671666.67</v>
      </c>
    </row>
    <row r="4" spans="1:15" s="535" customFormat="1" x14ac:dyDescent="0.25">
      <c r="A4" s="533" t="s">
        <v>49</v>
      </c>
      <c r="B4" s="534">
        <f>SUM(D4:O4)</f>
        <v>0</v>
      </c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</row>
    <row r="5" spans="1:15" s="538" customFormat="1" x14ac:dyDescent="0.25">
      <c r="A5" s="530" t="s">
        <v>50</v>
      </c>
      <c r="B5" s="536">
        <f>SUM(D5:O5)</f>
        <v>881797.73424999986</v>
      </c>
      <c r="C5" s="537"/>
      <c r="D5" s="537">
        <f>SUM(D6:D27)</f>
        <v>74354.065000000002</v>
      </c>
      <c r="E5" s="537">
        <f t="shared" ref="E5:O5" si="0">SUM(E6:E27)</f>
        <v>72754.065000000002</v>
      </c>
      <c r="F5" s="537">
        <f t="shared" si="0"/>
        <v>72754.065000000002</v>
      </c>
      <c r="G5" s="537">
        <f t="shared" si="0"/>
        <v>74354.065000000002</v>
      </c>
      <c r="H5" s="537">
        <f t="shared" si="0"/>
        <v>72754.065000000002</v>
      </c>
      <c r="I5" s="537">
        <f t="shared" si="0"/>
        <v>72754.065000000002</v>
      </c>
      <c r="J5" s="537">
        <f t="shared" si="0"/>
        <v>74354.065000000002</v>
      </c>
      <c r="K5" s="537">
        <f t="shared" si="0"/>
        <v>72754.065000000002</v>
      </c>
      <c r="L5" s="537">
        <f t="shared" si="0"/>
        <v>72754.065000000002</v>
      </c>
      <c r="M5" s="537">
        <f t="shared" si="0"/>
        <v>75309.514750000002</v>
      </c>
      <c r="N5" s="537">
        <f t="shared" si="0"/>
        <v>73450.317250000007</v>
      </c>
      <c r="O5" s="537">
        <f t="shared" si="0"/>
        <v>73451.317250000007</v>
      </c>
    </row>
    <row r="6" spans="1:15" x14ac:dyDescent="0.25">
      <c r="A6" s="533" t="s">
        <v>51</v>
      </c>
      <c r="B6" s="540">
        <f>SUM(D6:O6)</f>
        <v>280548</v>
      </c>
      <c r="C6" s="540"/>
      <c r="D6" s="540">
        <f>'[2]Tabela 2025 2026'!Q13</f>
        <v>23379</v>
      </c>
      <c r="E6" s="540">
        <f>D6</f>
        <v>23379</v>
      </c>
      <c r="F6" s="540">
        <f t="shared" ref="F6:L6" si="1">E6</f>
        <v>23379</v>
      </c>
      <c r="G6" s="540">
        <f t="shared" si="1"/>
        <v>23379</v>
      </c>
      <c r="H6" s="540">
        <f t="shared" si="1"/>
        <v>23379</v>
      </c>
      <c r="I6" s="540">
        <f t="shared" si="1"/>
        <v>23379</v>
      </c>
      <c r="J6" s="540">
        <f t="shared" si="1"/>
        <v>23379</v>
      </c>
      <c r="K6" s="540">
        <f t="shared" si="1"/>
        <v>23379</v>
      </c>
      <c r="L6" s="540">
        <f t="shared" si="1"/>
        <v>23379</v>
      </c>
      <c r="M6" s="540">
        <f>L6</f>
        <v>23379</v>
      </c>
      <c r="N6" s="540">
        <f t="shared" ref="N6:O7" si="2">M6</f>
        <v>23379</v>
      </c>
      <c r="O6" s="540">
        <f t="shared" si="2"/>
        <v>23379</v>
      </c>
    </row>
    <row r="7" spans="1:15" x14ac:dyDescent="0.25">
      <c r="A7" s="533" t="s">
        <v>52</v>
      </c>
      <c r="B7" s="540">
        <f t="shared" ref="B7:B27" si="3">SUM(D7:O7)</f>
        <v>19452</v>
      </c>
      <c r="C7" s="540"/>
      <c r="D7" s="540">
        <f>'[2]Tabela 2025 2026'!M14</f>
        <v>1621</v>
      </c>
      <c r="E7" s="540">
        <f t="shared" ref="E7:O14" si="4">D7</f>
        <v>1621</v>
      </c>
      <c r="F7" s="540">
        <f t="shared" si="4"/>
        <v>1621</v>
      </c>
      <c r="G7" s="540">
        <f t="shared" si="4"/>
        <v>1621</v>
      </c>
      <c r="H7" s="540">
        <f t="shared" si="4"/>
        <v>1621</v>
      </c>
      <c r="I7" s="540">
        <f t="shared" si="4"/>
        <v>1621</v>
      </c>
      <c r="J7" s="540">
        <f t="shared" si="4"/>
        <v>1621</v>
      </c>
      <c r="K7" s="540">
        <f t="shared" si="4"/>
        <v>1621</v>
      </c>
      <c r="L7" s="540">
        <f t="shared" si="4"/>
        <v>1621</v>
      </c>
      <c r="M7" s="540">
        <f>L7</f>
        <v>1621</v>
      </c>
      <c r="N7" s="540">
        <f t="shared" si="2"/>
        <v>1621</v>
      </c>
      <c r="O7" s="540">
        <f t="shared" si="2"/>
        <v>1621</v>
      </c>
    </row>
    <row r="8" spans="1:15" x14ac:dyDescent="0.25">
      <c r="A8" s="533" t="s">
        <v>53</v>
      </c>
      <c r="B8" s="540">
        <f t="shared" si="3"/>
        <v>21825.997500000001</v>
      </c>
      <c r="C8" s="540"/>
      <c r="D8" s="540">
        <v>1794.65</v>
      </c>
      <c r="E8" s="540">
        <f t="shared" si="4"/>
        <v>1794.65</v>
      </c>
      <c r="F8" s="540">
        <f t="shared" si="4"/>
        <v>1794.65</v>
      </c>
      <c r="G8" s="540">
        <f t="shared" si="4"/>
        <v>1794.65</v>
      </c>
      <c r="H8" s="540">
        <f t="shared" si="4"/>
        <v>1794.65</v>
      </c>
      <c r="I8" s="540">
        <f t="shared" si="4"/>
        <v>1794.65</v>
      </c>
      <c r="J8" s="540">
        <f t="shared" si="4"/>
        <v>1794.65</v>
      </c>
      <c r="K8" s="540">
        <f t="shared" si="4"/>
        <v>1794.65</v>
      </c>
      <c r="L8" s="540">
        <f t="shared" si="4"/>
        <v>1794.65</v>
      </c>
      <c r="M8" s="541">
        <f>L8+(L8*[2]Premissas!B4)</f>
        <v>2063.8474999999999</v>
      </c>
      <c r="N8" s="540">
        <v>1804.65</v>
      </c>
      <c r="O8" s="540">
        <v>1805.65</v>
      </c>
    </row>
    <row r="9" spans="1:15" x14ac:dyDescent="0.25">
      <c r="A9" s="533" t="s">
        <v>54</v>
      </c>
      <c r="B9" s="540">
        <f t="shared" si="3"/>
        <v>140274</v>
      </c>
      <c r="C9" s="540"/>
      <c r="D9" s="540">
        <f>'[2]Tabela 2025 2026'!Q13/2</f>
        <v>11689.5</v>
      </c>
      <c r="E9" s="540">
        <f t="shared" si="4"/>
        <v>11689.5</v>
      </c>
      <c r="F9" s="540">
        <f t="shared" si="4"/>
        <v>11689.5</v>
      </c>
      <c r="G9" s="540">
        <f t="shared" si="4"/>
        <v>11689.5</v>
      </c>
      <c r="H9" s="540">
        <f t="shared" si="4"/>
        <v>11689.5</v>
      </c>
      <c r="I9" s="540">
        <f t="shared" si="4"/>
        <v>11689.5</v>
      </c>
      <c r="J9" s="540">
        <f t="shared" si="4"/>
        <v>11689.5</v>
      </c>
      <c r="K9" s="540">
        <f t="shared" si="4"/>
        <v>11689.5</v>
      </c>
      <c r="L9" s="540">
        <f t="shared" si="4"/>
        <v>11689.5</v>
      </c>
      <c r="M9" s="540">
        <f t="shared" si="4"/>
        <v>11689.5</v>
      </c>
      <c r="N9" s="540">
        <f t="shared" si="4"/>
        <v>11689.5</v>
      </c>
      <c r="O9" s="540">
        <f t="shared" si="4"/>
        <v>11689.5</v>
      </c>
    </row>
    <row r="10" spans="1:15" x14ac:dyDescent="0.25">
      <c r="A10" s="533" t="s">
        <v>55</v>
      </c>
      <c r="B10" s="540">
        <f t="shared" si="3"/>
        <v>9726</v>
      </c>
      <c r="C10" s="540"/>
      <c r="D10" s="540">
        <f>'[2]Tabela 2025 2026'!M13/2</f>
        <v>810.5</v>
      </c>
      <c r="E10" s="540">
        <f t="shared" si="4"/>
        <v>810.5</v>
      </c>
      <c r="F10" s="540">
        <f t="shared" si="4"/>
        <v>810.5</v>
      </c>
      <c r="G10" s="540">
        <f t="shared" si="4"/>
        <v>810.5</v>
      </c>
      <c r="H10" s="540">
        <f t="shared" si="4"/>
        <v>810.5</v>
      </c>
      <c r="I10" s="540">
        <f t="shared" si="4"/>
        <v>810.5</v>
      </c>
      <c r="J10" s="540">
        <f t="shared" si="4"/>
        <v>810.5</v>
      </c>
      <c r="K10" s="540">
        <f t="shared" si="4"/>
        <v>810.5</v>
      </c>
      <c r="L10" s="540">
        <f t="shared" si="4"/>
        <v>810.5</v>
      </c>
      <c r="M10" s="540">
        <f t="shared" si="4"/>
        <v>810.5</v>
      </c>
      <c r="N10" s="540">
        <f t="shared" si="4"/>
        <v>810.5</v>
      </c>
      <c r="O10" s="540">
        <f t="shared" si="4"/>
        <v>810.5</v>
      </c>
    </row>
    <row r="11" spans="1:15" x14ac:dyDescent="0.25">
      <c r="A11" s="533" t="s">
        <v>56</v>
      </c>
      <c r="B11" s="540">
        <f t="shared" si="3"/>
        <v>20483.175750000006</v>
      </c>
      <c r="C11" s="540"/>
      <c r="D11" s="540">
        <f>(3290.47/2)</f>
        <v>1645.2349999999999</v>
      </c>
      <c r="E11" s="540">
        <f t="shared" si="4"/>
        <v>1645.2349999999999</v>
      </c>
      <c r="F11" s="540">
        <f t="shared" si="4"/>
        <v>1645.2349999999999</v>
      </c>
      <c r="G11" s="540">
        <f t="shared" si="4"/>
        <v>1645.2349999999999</v>
      </c>
      <c r="H11" s="540">
        <f t="shared" si="4"/>
        <v>1645.2349999999999</v>
      </c>
      <c r="I11" s="540">
        <f t="shared" si="4"/>
        <v>1645.2349999999999</v>
      </c>
      <c r="J11" s="540">
        <f t="shared" si="4"/>
        <v>1645.2349999999999</v>
      </c>
      <c r="K11" s="540">
        <f t="shared" si="4"/>
        <v>1645.2349999999999</v>
      </c>
      <c r="L11" s="540">
        <f t="shared" si="4"/>
        <v>1645.2349999999999</v>
      </c>
      <c r="M11" s="541">
        <f>(3290.47/2)*[2]Premissas!B4+'Orçamento 2026'!L11</f>
        <v>1892.0202499999998</v>
      </c>
      <c r="N11" s="540">
        <f>M11</f>
        <v>1892.0202499999998</v>
      </c>
      <c r="O11" s="540">
        <f>N11</f>
        <v>1892.0202499999998</v>
      </c>
    </row>
    <row r="12" spans="1:15" x14ac:dyDescent="0.25">
      <c r="A12" s="533" t="s">
        <v>57</v>
      </c>
      <c r="B12" s="540">
        <f t="shared" si="3"/>
        <v>90448.799999999988</v>
      </c>
      <c r="C12" s="540"/>
      <c r="D12" s="540">
        <f>'[2]Tabela 2025 2026'!Q4</f>
        <v>7537.4</v>
      </c>
      <c r="E12" s="540">
        <f t="shared" si="4"/>
        <v>7537.4</v>
      </c>
      <c r="F12" s="540">
        <f t="shared" si="4"/>
        <v>7537.4</v>
      </c>
      <c r="G12" s="540">
        <f t="shared" si="4"/>
        <v>7537.4</v>
      </c>
      <c r="H12" s="540">
        <f t="shared" si="4"/>
        <v>7537.4</v>
      </c>
      <c r="I12" s="540">
        <f t="shared" si="4"/>
        <v>7537.4</v>
      </c>
      <c r="J12" s="540">
        <f t="shared" si="4"/>
        <v>7537.4</v>
      </c>
      <c r="K12" s="540">
        <f t="shared" si="4"/>
        <v>7537.4</v>
      </c>
      <c r="L12" s="540">
        <f t="shared" si="4"/>
        <v>7537.4</v>
      </c>
      <c r="M12" s="542">
        <f t="shared" si="4"/>
        <v>7537.4</v>
      </c>
      <c r="N12" s="542">
        <f t="shared" si="4"/>
        <v>7537.4</v>
      </c>
      <c r="O12" s="542">
        <f t="shared" si="4"/>
        <v>7537.4</v>
      </c>
    </row>
    <row r="13" spans="1:15" x14ac:dyDescent="0.25">
      <c r="A13" s="533" t="s">
        <v>58</v>
      </c>
      <c r="B13" s="540">
        <f t="shared" si="3"/>
        <v>19452</v>
      </c>
      <c r="C13" s="540"/>
      <c r="D13" s="540">
        <f>'[2]Tabela 2025 2026'!M4</f>
        <v>1621</v>
      </c>
      <c r="E13" s="540">
        <f t="shared" si="4"/>
        <v>1621</v>
      </c>
      <c r="F13" s="540">
        <f t="shared" si="4"/>
        <v>1621</v>
      </c>
      <c r="G13" s="540">
        <f t="shared" si="4"/>
        <v>1621</v>
      </c>
      <c r="H13" s="540">
        <f t="shared" si="4"/>
        <v>1621</v>
      </c>
      <c r="I13" s="540">
        <f t="shared" si="4"/>
        <v>1621</v>
      </c>
      <c r="J13" s="540">
        <f t="shared" si="4"/>
        <v>1621</v>
      </c>
      <c r="K13" s="540">
        <f t="shared" si="4"/>
        <v>1621</v>
      </c>
      <c r="L13" s="540">
        <f t="shared" si="4"/>
        <v>1621</v>
      </c>
      <c r="M13" s="542">
        <f t="shared" si="4"/>
        <v>1621</v>
      </c>
      <c r="N13" s="542">
        <f t="shared" si="4"/>
        <v>1621</v>
      </c>
      <c r="O13" s="542">
        <f t="shared" si="4"/>
        <v>1621</v>
      </c>
    </row>
    <row r="14" spans="1:15" x14ac:dyDescent="0.25">
      <c r="A14" s="533" t="s">
        <v>59</v>
      </c>
      <c r="B14" s="540">
        <f t="shared" si="3"/>
        <v>16344.359999999997</v>
      </c>
      <c r="C14" s="540"/>
      <c r="D14" s="540">
        <v>1312.8</v>
      </c>
      <c r="E14" s="540">
        <f t="shared" si="4"/>
        <v>1312.8</v>
      </c>
      <c r="F14" s="540">
        <f t="shared" si="4"/>
        <v>1312.8</v>
      </c>
      <c r="G14" s="540">
        <f t="shared" si="4"/>
        <v>1312.8</v>
      </c>
      <c r="H14" s="540">
        <f t="shared" si="4"/>
        <v>1312.8</v>
      </c>
      <c r="I14" s="540">
        <f t="shared" si="4"/>
        <v>1312.8</v>
      </c>
      <c r="J14" s="540">
        <f t="shared" si="4"/>
        <v>1312.8</v>
      </c>
      <c r="K14" s="540">
        <f t="shared" si="4"/>
        <v>1312.8</v>
      </c>
      <c r="L14" s="540">
        <f t="shared" si="4"/>
        <v>1312.8</v>
      </c>
      <c r="M14" s="541">
        <f>1312.8*[2]Premissas!B4+'Orçamento 2026'!L14</f>
        <v>1509.72</v>
      </c>
      <c r="N14" s="540">
        <f>M14</f>
        <v>1509.72</v>
      </c>
      <c r="O14" s="540">
        <f>N14</f>
        <v>1509.72</v>
      </c>
    </row>
    <row r="15" spans="1:15" x14ac:dyDescent="0.25">
      <c r="A15" s="533" t="s">
        <v>60</v>
      </c>
      <c r="B15" s="540">
        <f t="shared" si="3"/>
        <v>0</v>
      </c>
      <c r="C15" s="540"/>
      <c r="D15" s="540"/>
      <c r="E15" s="542"/>
      <c r="F15" s="542"/>
      <c r="G15" s="542"/>
      <c r="H15" s="543"/>
      <c r="I15" s="543"/>
      <c r="J15" s="543"/>
      <c r="K15" s="543"/>
      <c r="L15" s="543"/>
      <c r="M15" s="543"/>
      <c r="N15" s="543"/>
      <c r="O15" s="543"/>
    </row>
    <row r="16" spans="1:15" x14ac:dyDescent="0.25">
      <c r="A16" s="533" t="s">
        <v>61</v>
      </c>
      <c r="B16" s="540">
        <f t="shared" si="3"/>
        <v>0</v>
      </c>
      <c r="C16" s="540"/>
      <c r="D16" s="540"/>
      <c r="E16" s="542"/>
      <c r="F16" s="542"/>
      <c r="G16" s="542"/>
      <c r="H16" s="543"/>
      <c r="I16" s="543"/>
      <c r="J16" s="543"/>
      <c r="K16" s="543"/>
      <c r="L16" s="543"/>
      <c r="M16" s="543"/>
      <c r="N16" s="543"/>
      <c r="O16" s="543"/>
    </row>
    <row r="17" spans="1:15" x14ac:dyDescent="0.25">
      <c r="A17" s="533" t="s">
        <v>62</v>
      </c>
      <c r="B17" s="540">
        <f t="shared" si="3"/>
        <v>187260</v>
      </c>
      <c r="C17" s="540"/>
      <c r="D17" s="540">
        <f>'[2]Tabela 2025 2026'!Q9</f>
        <v>15605</v>
      </c>
      <c r="E17" s="540">
        <f>D17</f>
        <v>15605</v>
      </c>
      <c r="F17" s="540">
        <f t="shared" ref="F17:O18" si="5">E17</f>
        <v>15605</v>
      </c>
      <c r="G17" s="540">
        <f t="shared" si="5"/>
        <v>15605</v>
      </c>
      <c r="H17" s="540">
        <f t="shared" si="5"/>
        <v>15605</v>
      </c>
      <c r="I17" s="540">
        <f t="shared" si="5"/>
        <v>15605</v>
      </c>
      <c r="J17" s="540">
        <f t="shared" si="5"/>
        <v>15605</v>
      </c>
      <c r="K17" s="540">
        <f t="shared" si="5"/>
        <v>15605</v>
      </c>
      <c r="L17" s="540">
        <f t="shared" si="5"/>
        <v>15605</v>
      </c>
      <c r="M17" s="540">
        <f t="shared" si="5"/>
        <v>15605</v>
      </c>
      <c r="N17" s="540">
        <f t="shared" si="5"/>
        <v>15605</v>
      </c>
      <c r="O17" s="540">
        <f t="shared" si="5"/>
        <v>15605</v>
      </c>
    </row>
    <row r="18" spans="1:15" x14ac:dyDescent="0.25">
      <c r="A18" s="533" t="s">
        <v>63</v>
      </c>
      <c r="B18" s="540">
        <f t="shared" si="3"/>
        <v>19452</v>
      </c>
      <c r="C18" s="540"/>
      <c r="D18" s="540">
        <f>'[2]Tabela 2025 2026'!M9</f>
        <v>1621</v>
      </c>
      <c r="E18" s="542">
        <f>D18</f>
        <v>1621</v>
      </c>
      <c r="F18" s="542">
        <f t="shared" si="5"/>
        <v>1621</v>
      </c>
      <c r="G18" s="542">
        <f t="shared" si="5"/>
        <v>1621</v>
      </c>
      <c r="H18" s="542">
        <f t="shared" si="5"/>
        <v>1621</v>
      </c>
      <c r="I18" s="542">
        <f t="shared" si="5"/>
        <v>1621</v>
      </c>
      <c r="J18" s="542">
        <f t="shared" si="5"/>
        <v>1621</v>
      </c>
      <c r="K18" s="542">
        <f t="shared" si="5"/>
        <v>1621</v>
      </c>
      <c r="L18" s="542">
        <f t="shared" si="5"/>
        <v>1621</v>
      </c>
      <c r="M18" s="542">
        <f t="shared" si="5"/>
        <v>1621</v>
      </c>
      <c r="N18" s="542">
        <f t="shared" si="5"/>
        <v>1621</v>
      </c>
      <c r="O18" s="542">
        <f t="shared" si="5"/>
        <v>1621</v>
      </c>
    </row>
    <row r="19" spans="1:15" x14ac:dyDescent="0.25">
      <c r="A19" s="533" t="s">
        <v>64</v>
      </c>
      <c r="B19" s="540">
        <f t="shared" si="3"/>
        <v>20131.400999999998</v>
      </c>
      <c r="C19" s="540"/>
      <c r="D19" s="540">
        <v>1616.98</v>
      </c>
      <c r="E19" s="540">
        <v>1616.98</v>
      </c>
      <c r="F19" s="540">
        <v>1616.98</v>
      </c>
      <c r="G19" s="540">
        <v>1616.98</v>
      </c>
      <c r="H19" s="540">
        <v>1616.98</v>
      </c>
      <c r="I19" s="540">
        <v>1616.98</v>
      </c>
      <c r="J19" s="540">
        <v>1616.98</v>
      </c>
      <c r="K19" s="540">
        <v>1616.98</v>
      </c>
      <c r="L19" s="540">
        <v>1616.98</v>
      </c>
      <c r="M19" s="541">
        <f>1616.98*[2]Premissas!B4+'Orçamento 2026'!L19</f>
        <v>1859.527</v>
      </c>
      <c r="N19" s="540">
        <f>M19</f>
        <v>1859.527</v>
      </c>
      <c r="O19" s="540">
        <f>N19</f>
        <v>1859.527</v>
      </c>
    </row>
    <row r="20" spans="1:15" x14ac:dyDescent="0.25">
      <c r="A20" s="533" t="s">
        <v>65</v>
      </c>
      <c r="B20" s="540">
        <f t="shared" si="3"/>
        <v>0</v>
      </c>
      <c r="C20" s="540"/>
      <c r="D20" s="540"/>
      <c r="E20" s="542"/>
      <c r="F20" s="542"/>
      <c r="G20" s="542"/>
      <c r="H20" s="543"/>
      <c r="I20" s="543"/>
      <c r="J20" s="543"/>
      <c r="K20" s="543"/>
      <c r="L20" s="543"/>
      <c r="M20" s="543"/>
      <c r="N20" s="543"/>
      <c r="O20" s="543"/>
    </row>
    <row r="21" spans="1:15" x14ac:dyDescent="0.25">
      <c r="A21" s="533" t="s">
        <v>66</v>
      </c>
      <c r="B21" s="540">
        <f t="shared" si="3"/>
        <v>26400</v>
      </c>
      <c r="C21" s="540"/>
      <c r="D21" s="540">
        <v>2200</v>
      </c>
      <c r="E21" s="540">
        <v>2200</v>
      </c>
      <c r="F21" s="540">
        <v>2200</v>
      </c>
      <c r="G21" s="540">
        <v>2200</v>
      </c>
      <c r="H21" s="540">
        <v>2200</v>
      </c>
      <c r="I21" s="540">
        <v>2200</v>
      </c>
      <c r="J21" s="540">
        <v>2200</v>
      </c>
      <c r="K21" s="540">
        <v>2200</v>
      </c>
      <c r="L21" s="540">
        <v>2200</v>
      </c>
      <c r="M21" s="540">
        <v>2200</v>
      </c>
      <c r="N21" s="540">
        <v>2200</v>
      </c>
      <c r="O21" s="540">
        <v>2200</v>
      </c>
    </row>
    <row r="22" spans="1:15" x14ac:dyDescent="0.25">
      <c r="A22" s="533" t="s">
        <v>67</v>
      </c>
      <c r="B22" s="540">
        <f t="shared" si="3"/>
        <v>3600</v>
      </c>
      <c r="C22" s="540"/>
      <c r="D22" s="542">
        <v>300</v>
      </c>
      <c r="E22" s="542">
        <v>300</v>
      </c>
      <c r="F22" s="542">
        <v>300</v>
      </c>
      <c r="G22" s="542">
        <v>300</v>
      </c>
      <c r="H22" s="542">
        <v>300</v>
      </c>
      <c r="I22" s="542">
        <v>300</v>
      </c>
      <c r="J22" s="542">
        <v>300</v>
      </c>
      <c r="K22" s="542">
        <v>300</v>
      </c>
      <c r="L22" s="542">
        <v>300</v>
      </c>
      <c r="M22" s="542">
        <v>300</v>
      </c>
      <c r="N22" s="542">
        <v>300</v>
      </c>
      <c r="O22" s="542">
        <v>300</v>
      </c>
    </row>
    <row r="23" spans="1:15" x14ac:dyDescent="0.25">
      <c r="A23" s="533" t="s">
        <v>68</v>
      </c>
      <c r="B23" s="540">
        <f t="shared" si="3"/>
        <v>6400</v>
      </c>
      <c r="C23" s="540"/>
      <c r="D23" s="540">
        <v>1600</v>
      </c>
      <c r="E23" s="542"/>
      <c r="F23" s="542"/>
      <c r="G23" s="540">
        <v>1600</v>
      </c>
      <c r="H23" s="543"/>
      <c r="I23" s="543"/>
      <c r="J23" s="542">
        <v>1600</v>
      </c>
      <c r="K23" s="542"/>
      <c r="L23" s="542"/>
      <c r="M23" s="542">
        <v>1600</v>
      </c>
      <c r="N23" s="542"/>
      <c r="O23" s="543"/>
    </row>
    <row r="24" spans="1:15" x14ac:dyDescent="0.25">
      <c r="A24" s="533" t="s">
        <v>69</v>
      </c>
      <c r="B24" s="540">
        <f t="shared" si="3"/>
        <v>0</v>
      </c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</row>
    <row r="25" spans="1:15" x14ac:dyDescent="0.25">
      <c r="A25" s="533" t="s">
        <v>70</v>
      </c>
      <c r="B25" s="540">
        <f t="shared" si="3"/>
        <v>0</v>
      </c>
      <c r="C25" s="540"/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0"/>
    </row>
    <row r="26" spans="1:15" x14ac:dyDescent="0.25">
      <c r="A26" s="533" t="s">
        <v>71</v>
      </c>
      <c r="B26" s="540">
        <f t="shared" si="3"/>
        <v>0</v>
      </c>
      <c r="C26" s="540"/>
      <c r="D26" s="540"/>
      <c r="E26" s="542"/>
      <c r="F26" s="542"/>
      <c r="G26" s="542"/>
      <c r="H26" s="543"/>
      <c r="I26" s="543"/>
      <c r="J26" s="542"/>
      <c r="K26" s="542"/>
      <c r="L26" s="542"/>
      <c r="M26" s="542"/>
      <c r="N26" s="542"/>
      <c r="O26" s="543"/>
    </row>
    <row r="27" spans="1:15" x14ac:dyDescent="0.25">
      <c r="A27" s="533" t="s">
        <v>72</v>
      </c>
      <c r="B27" s="540">
        <f t="shared" si="3"/>
        <v>0</v>
      </c>
      <c r="C27" s="540"/>
      <c r="D27" s="540"/>
      <c r="E27" s="542"/>
      <c r="F27" s="542"/>
      <c r="G27" s="542"/>
      <c r="H27" s="543"/>
      <c r="I27" s="543"/>
      <c r="J27" s="543"/>
      <c r="K27" s="543"/>
      <c r="L27" s="543"/>
      <c r="M27" s="543"/>
      <c r="N27" s="543"/>
      <c r="O27" s="543"/>
    </row>
    <row r="28" spans="1:15" s="532" customFormat="1" x14ac:dyDescent="0.25">
      <c r="A28" s="530" t="s">
        <v>73</v>
      </c>
      <c r="B28" s="537">
        <f>SUM(D28:O28)</f>
        <v>914114.75250000018</v>
      </c>
      <c r="C28" s="537"/>
      <c r="D28" s="537">
        <f t="shared" ref="D28:O28" si="6">SUM(D29:D51)</f>
        <v>76879.165000000023</v>
      </c>
      <c r="E28" s="537">
        <f t="shared" si="6"/>
        <v>75379.165000000023</v>
      </c>
      <c r="F28" s="537">
        <f t="shared" si="6"/>
        <v>75379.165000000023</v>
      </c>
      <c r="G28" s="537">
        <f t="shared" si="6"/>
        <v>76979.165000000023</v>
      </c>
      <c r="H28" s="537">
        <f t="shared" si="6"/>
        <v>75379.165000000023</v>
      </c>
      <c r="I28" s="537">
        <f t="shared" si="6"/>
        <v>75379.165000000023</v>
      </c>
      <c r="J28" s="537">
        <f t="shared" si="6"/>
        <v>76979.165000000023</v>
      </c>
      <c r="K28" s="537">
        <f t="shared" si="6"/>
        <v>75379.165000000023</v>
      </c>
      <c r="L28" s="537">
        <f t="shared" si="6"/>
        <v>75379.165000000023</v>
      </c>
      <c r="M28" s="537">
        <f t="shared" si="6"/>
        <v>78067.422500000001</v>
      </c>
      <c r="N28" s="537">
        <f t="shared" si="6"/>
        <v>76467.422500000001</v>
      </c>
      <c r="O28" s="537">
        <f t="shared" si="6"/>
        <v>76467.422500000001</v>
      </c>
    </row>
    <row r="29" spans="1:15" s="532" customFormat="1" x14ac:dyDescent="0.25">
      <c r="A29" s="533" t="s">
        <v>74</v>
      </c>
      <c r="B29" s="540">
        <f t="shared" ref="B29:B52" si="7">SUM(D29:O29)</f>
        <v>280548</v>
      </c>
      <c r="C29" s="540"/>
      <c r="D29" s="540">
        <f>'[2]Tabela 2025 2026'!Q16</f>
        <v>23379</v>
      </c>
      <c r="E29" s="540">
        <f>D29</f>
        <v>23379</v>
      </c>
      <c r="F29" s="540">
        <f t="shared" ref="F29:O30" si="8">E29</f>
        <v>23379</v>
      </c>
      <c r="G29" s="540">
        <f t="shared" si="8"/>
        <v>23379</v>
      </c>
      <c r="H29" s="540">
        <f t="shared" si="8"/>
        <v>23379</v>
      </c>
      <c r="I29" s="540">
        <f t="shared" si="8"/>
        <v>23379</v>
      </c>
      <c r="J29" s="540">
        <f t="shared" si="8"/>
        <v>23379</v>
      </c>
      <c r="K29" s="540">
        <f t="shared" si="8"/>
        <v>23379</v>
      </c>
      <c r="L29" s="540">
        <f t="shared" si="8"/>
        <v>23379</v>
      </c>
      <c r="M29" s="540">
        <f t="shared" si="8"/>
        <v>23379</v>
      </c>
      <c r="N29" s="540">
        <f t="shared" si="8"/>
        <v>23379</v>
      </c>
      <c r="O29" s="540">
        <f t="shared" si="8"/>
        <v>23379</v>
      </c>
    </row>
    <row r="30" spans="1:15" s="532" customFormat="1" x14ac:dyDescent="0.25">
      <c r="A30" s="533" t="s">
        <v>75</v>
      </c>
      <c r="B30" s="540">
        <f t="shared" si="7"/>
        <v>19452</v>
      </c>
      <c r="C30" s="540"/>
      <c r="D30" s="540">
        <f>'[2]Tabela 2025 2026'!M16</f>
        <v>1621</v>
      </c>
      <c r="E30" s="540">
        <f>D30</f>
        <v>1621</v>
      </c>
      <c r="F30" s="540">
        <f t="shared" si="8"/>
        <v>1621</v>
      </c>
      <c r="G30" s="540">
        <f t="shared" si="8"/>
        <v>1621</v>
      </c>
      <c r="H30" s="540">
        <f t="shared" si="8"/>
        <v>1621</v>
      </c>
      <c r="I30" s="540">
        <f t="shared" si="8"/>
        <v>1621</v>
      </c>
      <c r="J30" s="540">
        <f t="shared" si="8"/>
        <v>1621</v>
      </c>
      <c r="K30" s="540">
        <f t="shared" si="8"/>
        <v>1621</v>
      </c>
      <c r="L30" s="540">
        <f t="shared" si="8"/>
        <v>1621</v>
      </c>
      <c r="M30" s="540">
        <f t="shared" si="8"/>
        <v>1621</v>
      </c>
      <c r="N30" s="540">
        <f t="shared" si="8"/>
        <v>1621</v>
      </c>
      <c r="O30" s="540">
        <f t="shared" si="8"/>
        <v>1621</v>
      </c>
    </row>
    <row r="31" spans="1:15" s="532" customFormat="1" x14ac:dyDescent="0.25">
      <c r="A31" s="533" t="s">
        <v>76</v>
      </c>
      <c r="B31" s="540">
        <f t="shared" si="7"/>
        <v>30320.481</v>
      </c>
      <c r="C31" s="540"/>
      <c r="D31" s="540">
        <v>2435.38</v>
      </c>
      <c r="E31" s="540">
        <v>2435.38</v>
      </c>
      <c r="F31" s="540">
        <v>2435.38</v>
      </c>
      <c r="G31" s="540">
        <v>2435.38</v>
      </c>
      <c r="H31" s="540">
        <v>2435.38</v>
      </c>
      <c r="I31" s="540">
        <v>2435.38</v>
      </c>
      <c r="J31" s="540">
        <v>2435.38</v>
      </c>
      <c r="K31" s="540">
        <v>2435.38</v>
      </c>
      <c r="L31" s="540">
        <v>2435.38</v>
      </c>
      <c r="M31" s="541">
        <f>2435.38*[2]Premissas!B4+'Orçamento 2026'!L31</f>
        <v>2800.6869999999999</v>
      </c>
      <c r="N31" s="540">
        <f>M31</f>
        <v>2800.6869999999999</v>
      </c>
      <c r="O31" s="540">
        <f>N31</f>
        <v>2800.6869999999999</v>
      </c>
    </row>
    <row r="32" spans="1:15" s="532" customFormat="1" x14ac:dyDescent="0.25">
      <c r="A32" s="533" t="s">
        <v>54</v>
      </c>
      <c r="B32" s="540">
        <f t="shared" si="7"/>
        <v>140274</v>
      </c>
      <c r="C32" s="540"/>
      <c r="D32" s="540">
        <f>'[2]Tabela 2025 2026'!Q13/2</f>
        <v>11689.5</v>
      </c>
      <c r="E32" s="540">
        <f>D32</f>
        <v>11689.5</v>
      </c>
      <c r="F32" s="540">
        <f t="shared" ref="F32:O33" si="9">E32</f>
        <v>11689.5</v>
      </c>
      <c r="G32" s="540">
        <f t="shared" si="9"/>
        <v>11689.5</v>
      </c>
      <c r="H32" s="540">
        <f t="shared" si="9"/>
        <v>11689.5</v>
      </c>
      <c r="I32" s="540">
        <f t="shared" si="9"/>
        <v>11689.5</v>
      </c>
      <c r="J32" s="540">
        <f t="shared" si="9"/>
        <v>11689.5</v>
      </c>
      <c r="K32" s="540">
        <f t="shared" si="9"/>
        <v>11689.5</v>
      </c>
      <c r="L32" s="540">
        <f t="shared" si="9"/>
        <v>11689.5</v>
      </c>
      <c r="M32" s="540">
        <f t="shared" si="9"/>
        <v>11689.5</v>
      </c>
      <c r="N32" s="540">
        <f t="shared" si="9"/>
        <v>11689.5</v>
      </c>
      <c r="O32" s="540">
        <f t="shared" si="9"/>
        <v>11689.5</v>
      </c>
    </row>
    <row r="33" spans="1:15" s="532" customFormat="1" x14ac:dyDescent="0.25">
      <c r="A33" s="533" t="s">
        <v>55</v>
      </c>
      <c r="B33" s="540">
        <f t="shared" si="7"/>
        <v>9726</v>
      </c>
      <c r="C33" s="540"/>
      <c r="D33" s="540">
        <f>'[2]Tabela 2025 2026'!M13/2</f>
        <v>810.5</v>
      </c>
      <c r="E33" s="540">
        <f>D33</f>
        <v>810.5</v>
      </c>
      <c r="F33" s="540">
        <f t="shared" si="9"/>
        <v>810.5</v>
      </c>
      <c r="G33" s="540">
        <f t="shared" si="9"/>
        <v>810.5</v>
      </c>
      <c r="H33" s="540">
        <f t="shared" si="9"/>
        <v>810.5</v>
      </c>
      <c r="I33" s="540">
        <f t="shared" si="9"/>
        <v>810.5</v>
      </c>
      <c r="J33" s="540">
        <f t="shared" si="9"/>
        <v>810.5</v>
      </c>
      <c r="K33" s="540">
        <f t="shared" si="9"/>
        <v>810.5</v>
      </c>
      <c r="L33" s="540">
        <f t="shared" si="9"/>
        <v>810.5</v>
      </c>
      <c r="M33" s="540">
        <f t="shared" si="9"/>
        <v>810.5</v>
      </c>
      <c r="N33" s="540">
        <f t="shared" si="9"/>
        <v>810.5</v>
      </c>
      <c r="O33" s="540">
        <f t="shared" si="9"/>
        <v>810.5</v>
      </c>
    </row>
    <row r="34" spans="1:15" s="532" customFormat="1" x14ac:dyDescent="0.25">
      <c r="A34" s="533" t="s">
        <v>56</v>
      </c>
      <c r="B34" s="540">
        <f t="shared" si="7"/>
        <v>19742.820000000003</v>
      </c>
      <c r="C34" s="540"/>
      <c r="D34" s="540">
        <f>(3290.47/2)</f>
        <v>1645.2349999999999</v>
      </c>
      <c r="E34" s="540">
        <f t="shared" ref="E34:L34" si="10">(3290.47/2)</f>
        <v>1645.2349999999999</v>
      </c>
      <c r="F34" s="540">
        <f t="shared" si="10"/>
        <v>1645.2349999999999</v>
      </c>
      <c r="G34" s="540">
        <f t="shared" si="10"/>
        <v>1645.2349999999999</v>
      </c>
      <c r="H34" s="540">
        <f t="shared" si="10"/>
        <v>1645.2349999999999</v>
      </c>
      <c r="I34" s="540">
        <f t="shared" si="10"/>
        <v>1645.2349999999999</v>
      </c>
      <c r="J34" s="540">
        <f t="shared" si="10"/>
        <v>1645.2349999999999</v>
      </c>
      <c r="K34" s="540">
        <f t="shared" si="10"/>
        <v>1645.2349999999999</v>
      </c>
      <c r="L34" s="540">
        <f t="shared" si="10"/>
        <v>1645.2349999999999</v>
      </c>
      <c r="M34" s="541">
        <f>(3290.47/2)*[2]Premissas!B30+'Orçamento 2026'!L34</f>
        <v>1645.2349999999999</v>
      </c>
      <c r="N34" s="540">
        <f>M34</f>
        <v>1645.2349999999999</v>
      </c>
      <c r="O34" s="540">
        <f>N34</f>
        <v>1645.2349999999999</v>
      </c>
    </row>
    <row r="35" spans="1:15" s="532" customFormat="1" x14ac:dyDescent="0.25">
      <c r="A35" s="533" t="s">
        <v>77</v>
      </c>
      <c r="B35" s="540">
        <f t="shared" si="7"/>
        <v>1100</v>
      </c>
      <c r="C35" s="540"/>
      <c r="D35" s="540"/>
      <c r="E35" s="540">
        <v>100</v>
      </c>
      <c r="F35" s="540">
        <v>100</v>
      </c>
      <c r="G35" s="540">
        <v>100</v>
      </c>
      <c r="H35" s="540">
        <v>100</v>
      </c>
      <c r="I35" s="540">
        <v>100</v>
      </c>
      <c r="J35" s="540">
        <v>100</v>
      </c>
      <c r="K35" s="540">
        <v>100</v>
      </c>
      <c r="L35" s="540">
        <v>100</v>
      </c>
      <c r="M35" s="540">
        <v>100</v>
      </c>
      <c r="N35" s="540">
        <v>100</v>
      </c>
      <c r="O35" s="540">
        <v>100</v>
      </c>
    </row>
    <row r="36" spans="1:15" s="532" customFormat="1" x14ac:dyDescent="0.25">
      <c r="A36" s="533" t="s">
        <v>78</v>
      </c>
      <c r="B36" s="540">
        <f t="shared" si="7"/>
        <v>96454.56</v>
      </c>
      <c r="C36" s="540"/>
      <c r="D36" s="540">
        <f>'[2]Tabela 2025 2026'!Q5</f>
        <v>8037.8799999999992</v>
      </c>
      <c r="E36" s="540">
        <f>D36</f>
        <v>8037.8799999999992</v>
      </c>
      <c r="F36" s="540">
        <f t="shared" ref="F36:O37" si="11">E36</f>
        <v>8037.8799999999992</v>
      </c>
      <c r="G36" s="540">
        <f t="shared" si="11"/>
        <v>8037.8799999999992</v>
      </c>
      <c r="H36" s="540">
        <f t="shared" si="11"/>
        <v>8037.8799999999992</v>
      </c>
      <c r="I36" s="540">
        <f t="shared" si="11"/>
        <v>8037.8799999999992</v>
      </c>
      <c r="J36" s="540">
        <f t="shared" si="11"/>
        <v>8037.8799999999992</v>
      </c>
      <c r="K36" s="540">
        <f t="shared" si="11"/>
        <v>8037.8799999999992</v>
      </c>
      <c r="L36" s="540">
        <f t="shared" si="11"/>
        <v>8037.8799999999992</v>
      </c>
      <c r="M36" s="540">
        <f t="shared" si="11"/>
        <v>8037.8799999999992</v>
      </c>
      <c r="N36" s="540">
        <f t="shared" si="11"/>
        <v>8037.8799999999992</v>
      </c>
      <c r="O36" s="540">
        <f t="shared" si="11"/>
        <v>8037.8799999999992</v>
      </c>
    </row>
    <row r="37" spans="1:15" s="532" customFormat="1" x14ac:dyDescent="0.25">
      <c r="A37" s="533" t="s">
        <v>79</v>
      </c>
      <c r="B37" s="540">
        <f t="shared" si="7"/>
        <v>19452</v>
      </c>
      <c r="C37" s="540"/>
      <c r="D37" s="540">
        <f>'[2]Tabela 2025 2026'!M5</f>
        <v>1621</v>
      </c>
      <c r="E37" s="540">
        <f>D37</f>
        <v>1621</v>
      </c>
      <c r="F37" s="540">
        <f t="shared" si="11"/>
        <v>1621</v>
      </c>
      <c r="G37" s="540">
        <f t="shared" si="11"/>
        <v>1621</v>
      </c>
      <c r="H37" s="540">
        <f t="shared" si="11"/>
        <v>1621</v>
      </c>
      <c r="I37" s="540">
        <f t="shared" si="11"/>
        <v>1621</v>
      </c>
      <c r="J37" s="540">
        <f t="shared" si="11"/>
        <v>1621</v>
      </c>
      <c r="K37" s="540">
        <f t="shared" si="11"/>
        <v>1621</v>
      </c>
      <c r="L37" s="540">
        <f t="shared" si="11"/>
        <v>1621</v>
      </c>
      <c r="M37" s="540">
        <f t="shared" si="11"/>
        <v>1621</v>
      </c>
      <c r="N37" s="540">
        <f t="shared" si="11"/>
        <v>1621</v>
      </c>
      <c r="O37" s="540">
        <f t="shared" si="11"/>
        <v>1621</v>
      </c>
    </row>
    <row r="38" spans="1:15" s="532" customFormat="1" x14ac:dyDescent="0.25">
      <c r="A38" s="533" t="s">
        <v>80</v>
      </c>
      <c r="B38" s="540">
        <f t="shared" si="7"/>
        <v>16344.359999999997</v>
      </c>
      <c r="C38" s="540"/>
      <c r="D38" s="540">
        <v>1312.8</v>
      </c>
      <c r="E38" s="540">
        <v>1312.8</v>
      </c>
      <c r="F38" s="540">
        <v>1312.8</v>
      </c>
      <c r="G38" s="540">
        <v>1312.8</v>
      </c>
      <c r="H38" s="540">
        <v>1312.8</v>
      </c>
      <c r="I38" s="540">
        <v>1312.8</v>
      </c>
      <c r="J38" s="540">
        <v>1312.8</v>
      </c>
      <c r="K38" s="540">
        <v>1312.8</v>
      </c>
      <c r="L38" s="540">
        <v>1312.8</v>
      </c>
      <c r="M38" s="541">
        <f>1312.8*[2]Premissas!$B$4+'Orçamento 2026'!L38</f>
        <v>1509.72</v>
      </c>
      <c r="N38" s="540">
        <f>M38</f>
        <v>1509.72</v>
      </c>
      <c r="O38" s="540">
        <f>N38</f>
        <v>1509.72</v>
      </c>
    </row>
    <row r="39" spans="1:15" s="532" customFormat="1" x14ac:dyDescent="0.25">
      <c r="A39" s="533" t="s">
        <v>81</v>
      </c>
      <c r="B39" s="540">
        <f t="shared" si="7"/>
        <v>0</v>
      </c>
      <c r="C39" s="540"/>
      <c r="D39" s="540"/>
      <c r="E39" s="542"/>
      <c r="F39" s="542"/>
      <c r="G39" s="542"/>
      <c r="H39" s="543"/>
      <c r="I39" s="543"/>
      <c r="J39" s="543"/>
      <c r="K39" s="543"/>
      <c r="L39" s="543"/>
      <c r="M39" s="543"/>
      <c r="N39" s="543"/>
      <c r="O39" s="543"/>
    </row>
    <row r="40" spans="1:15" s="532" customFormat="1" x14ac:dyDescent="0.25">
      <c r="A40" s="533" t="s">
        <v>82</v>
      </c>
      <c r="B40" s="540">
        <f t="shared" si="7"/>
        <v>142548</v>
      </c>
      <c r="C40" s="540"/>
      <c r="D40" s="540">
        <f>'[2]Tabela 2025 2026'!Q7</f>
        <v>11879</v>
      </c>
      <c r="E40" s="540">
        <f>D40</f>
        <v>11879</v>
      </c>
      <c r="F40" s="540">
        <f t="shared" ref="F40:O41" si="12">E40</f>
        <v>11879</v>
      </c>
      <c r="G40" s="540">
        <f t="shared" si="12"/>
        <v>11879</v>
      </c>
      <c r="H40" s="540">
        <f t="shared" si="12"/>
        <v>11879</v>
      </c>
      <c r="I40" s="540">
        <f t="shared" si="12"/>
        <v>11879</v>
      </c>
      <c r="J40" s="540">
        <f t="shared" si="12"/>
        <v>11879</v>
      </c>
      <c r="K40" s="540">
        <f t="shared" si="12"/>
        <v>11879</v>
      </c>
      <c r="L40" s="540">
        <f t="shared" si="12"/>
        <v>11879</v>
      </c>
      <c r="M40" s="540">
        <f t="shared" si="12"/>
        <v>11879</v>
      </c>
      <c r="N40" s="540">
        <f t="shared" si="12"/>
        <v>11879</v>
      </c>
      <c r="O40" s="540">
        <f t="shared" si="12"/>
        <v>11879</v>
      </c>
    </row>
    <row r="41" spans="1:15" s="532" customFormat="1" x14ac:dyDescent="0.25">
      <c r="A41" s="533" t="s">
        <v>83</v>
      </c>
      <c r="B41" s="540">
        <f t="shared" si="7"/>
        <v>19452</v>
      </c>
      <c r="C41" s="540"/>
      <c r="D41" s="540">
        <f>'[2]Tabela 2025 2026'!M7</f>
        <v>1621</v>
      </c>
      <c r="E41" s="540">
        <f>D41</f>
        <v>1621</v>
      </c>
      <c r="F41" s="540">
        <f t="shared" si="12"/>
        <v>1621</v>
      </c>
      <c r="G41" s="540">
        <f t="shared" si="12"/>
        <v>1621</v>
      </c>
      <c r="H41" s="540">
        <f t="shared" si="12"/>
        <v>1621</v>
      </c>
      <c r="I41" s="540">
        <f t="shared" si="12"/>
        <v>1621</v>
      </c>
      <c r="J41" s="540">
        <f t="shared" si="12"/>
        <v>1621</v>
      </c>
      <c r="K41" s="540">
        <f t="shared" si="12"/>
        <v>1621</v>
      </c>
      <c r="L41" s="540">
        <f t="shared" si="12"/>
        <v>1621</v>
      </c>
      <c r="M41" s="540">
        <f t="shared" si="12"/>
        <v>1621</v>
      </c>
      <c r="N41" s="540">
        <f t="shared" si="12"/>
        <v>1621</v>
      </c>
      <c r="O41" s="540">
        <f t="shared" si="12"/>
        <v>1621</v>
      </c>
    </row>
    <row r="42" spans="1:15" s="532" customFormat="1" x14ac:dyDescent="0.25">
      <c r="A42" s="533" t="s">
        <v>84</v>
      </c>
      <c r="B42" s="540">
        <f t="shared" si="7"/>
        <v>27316.171500000004</v>
      </c>
      <c r="C42" s="540"/>
      <c r="D42" s="540">
        <f>2194.07</f>
        <v>2194.0700000000002</v>
      </c>
      <c r="E42" s="540">
        <f t="shared" ref="E42:L42" si="13">2194.07</f>
        <v>2194.0700000000002</v>
      </c>
      <c r="F42" s="540">
        <f t="shared" si="13"/>
        <v>2194.0700000000002</v>
      </c>
      <c r="G42" s="540">
        <f t="shared" si="13"/>
        <v>2194.0700000000002</v>
      </c>
      <c r="H42" s="540">
        <f t="shared" si="13"/>
        <v>2194.0700000000002</v>
      </c>
      <c r="I42" s="540">
        <f t="shared" si="13"/>
        <v>2194.0700000000002</v>
      </c>
      <c r="J42" s="540">
        <f t="shared" si="13"/>
        <v>2194.0700000000002</v>
      </c>
      <c r="K42" s="540">
        <f t="shared" si="13"/>
        <v>2194.0700000000002</v>
      </c>
      <c r="L42" s="540">
        <f t="shared" si="13"/>
        <v>2194.0700000000002</v>
      </c>
      <c r="M42" s="541">
        <f>2194.07*[2]Premissas!B4+'Orçamento 2026'!L42</f>
        <v>2523.1805000000004</v>
      </c>
      <c r="N42" s="540">
        <f>M42</f>
        <v>2523.1805000000004</v>
      </c>
      <c r="O42" s="540">
        <f>N42</f>
        <v>2523.1805000000004</v>
      </c>
    </row>
    <row r="43" spans="1:15" s="532" customFormat="1" x14ac:dyDescent="0.25">
      <c r="A43" s="533" t="s">
        <v>85</v>
      </c>
      <c r="B43" s="540">
        <f t="shared" si="7"/>
        <v>0</v>
      </c>
      <c r="C43" s="540"/>
      <c r="D43" s="540"/>
      <c r="E43" s="542"/>
      <c r="F43" s="542"/>
      <c r="G43" s="542"/>
      <c r="H43" s="543"/>
      <c r="I43" s="543"/>
      <c r="J43" s="543"/>
      <c r="K43" s="543"/>
      <c r="L43" s="543"/>
      <c r="M43" s="543"/>
      <c r="N43" s="543"/>
      <c r="O43" s="543"/>
    </row>
    <row r="44" spans="1:15" s="532" customFormat="1" x14ac:dyDescent="0.25">
      <c r="A44" s="533" t="s">
        <v>84</v>
      </c>
      <c r="B44" s="540">
        <f t="shared" si="7"/>
        <v>0</v>
      </c>
      <c r="C44" s="540"/>
      <c r="D44" s="540"/>
      <c r="E44" s="542"/>
      <c r="F44" s="542"/>
      <c r="G44" s="542"/>
      <c r="H44" s="543"/>
      <c r="I44" s="543"/>
      <c r="J44" s="543"/>
      <c r="K44" s="543"/>
      <c r="L44" s="543"/>
      <c r="M44" s="543"/>
      <c r="N44" s="543"/>
      <c r="O44" s="543"/>
    </row>
    <row r="45" spans="1:15" s="532" customFormat="1" x14ac:dyDescent="0.25">
      <c r="A45" s="533" t="s">
        <v>86</v>
      </c>
      <c r="B45" s="540">
        <f t="shared" si="7"/>
        <v>49188</v>
      </c>
      <c r="C45" s="540"/>
      <c r="D45" s="540">
        <f>'[2]Tabela 2025 2026'!Q3</f>
        <v>4099</v>
      </c>
      <c r="E45" s="542">
        <f>D45</f>
        <v>4099</v>
      </c>
      <c r="F45" s="542">
        <f t="shared" ref="F45:O46" si="14">E45</f>
        <v>4099</v>
      </c>
      <c r="G45" s="542">
        <f t="shared" si="14"/>
        <v>4099</v>
      </c>
      <c r="H45" s="542">
        <f t="shared" si="14"/>
        <v>4099</v>
      </c>
      <c r="I45" s="542">
        <f t="shared" si="14"/>
        <v>4099</v>
      </c>
      <c r="J45" s="542">
        <f t="shared" si="14"/>
        <v>4099</v>
      </c>
      <c r="K45" s="542">
        <f t="shared" si="14"/>
        <v>4099</v>
      </c>
      <c r="L45" s="542">
        <f t="shared" si="14"/>
        <v>4099</v>
      </c>
      <c r="M45" s="542">
        <f t="shared" si="14"/>
        <v>4099</v>
      </c>
      <c r="N45" s="542">
        <f t="shared" si="14"/>
        <v>4099</v>
      </c>
      <c r="O45" s="542">
        <f t="shared" si="14"/>
        <v>4099</v>
      </c>
    </row>
    <row r="46" spans="1:15" s="532" customFormat="1" x14ac:dyDescent="0.25">
      <c r="A46" s="533" t="s">
        <v>87</v>
      </c>
      <c r="B46" s="540">
        <f t="shared" si="7"/>
        <v>19452</v>
      </c>
      <c r="C46" s="540"/>
      <c r="D46" s="540">
        <f>'[2]Tabela 2025 2026'!M3</f>
        <v>1621</v>
      </c>
      <c r="E46" s="542">
        <f>D46</f>
        <v>1621</v>
      </c>
      <c r="F46" s="542">
        <f t="shared" si="14"/>
        <v>1621</v>
      </c>
      <c r="G46" s="542">
        <f t="shared" si="14"/>
        <v>1621</v>
      </c>
      <c r="H46" s="542">
        <f t="shared" si="14"/>
        <v>1621</v>
      </c>
      <c r="I46" s="542">
        <f t="shared" si="14"/>
        <v>1621</v>
      </c>
      <c r="J46" s="542">
        <f t="shared" si="14"/>
        <v>1621</v>
      </c>
      <c r="K46" s="542">
        <f t="shared" si="14"/>
        <v>1621</v>
      </c>
      <c r="L46" s="542">
        <f t="shared" si="14"/>
        <v>1621</v>
      </c>
      <c r="M46" s="542">
        <f t="shared" si="14"/>
        <v>1621</v>
      </c>
      <c r="N46" s="542">
        <f t="shared" si="14"/>
        <v>1621</v>
      </c>
      <c r="O46" s="542">
        <f t="shared" si="14"/>
        <v>1621</v>
      </c>
    </row>
    <row r="47" spans="1:15" s="532" customFormat="1" x14ac:dyDescent="0.25">
      <c r="A47" s="533" t="s">
        <v>88</v>
      </c>
      <c r="B47" s="540">
        <f t="shared" si="7"/>
        <v>16344.359999999997</v>
      </c>
      <c r="C47" s="540"/>
      <c r="D47" s="540">
        <v>1312.8</v>
      </c>
      <c r="E47" s="540">
        <v>1312.8</v>
      </c>
      <c r="F47" s="540">
        <v>1312.8</v>
      </c>
      <c r="G47" s="540">
        <v>1312.8</v>
      </c>
      <c r="H47" s="540">
        <v>1312.8</v>
      </c>
      <c r="I47" s="540">
        <v>1312.8</v>
      </c>
      <c r="J47" s="540">
        <v>1312.8</v>
      </c>
      <c r="K47" s="540">
        <v>1312.8</v>
      </c>
      <c r="L47" s="540">
        <v>1312.8</v>
      </c>
      <c r="M47" s="541">
        <f>1312.8*[2]Premissas!B4+'Orçamento 2026'!L47</f>
        <v>1509.72</v>
      </c>
      <c r="N47" s="540">
        <f>M47</f>
        <v>1509.72</v>
      </c>
      <c r="O47" s="540">
        <f>N47</f>
        <v>1509.72</v>
      </c>
    </row>
    <row r="48" spans="1:15" s="532" customFormat="1" x14ac:dyDescent="0.25">
      <c r="A48" s="533" t="s">
        <v>68</v>
      </c>
      <c r="B48" s="540">
        <f t="shared" si="7"/>
        <v>6400</v>
      </c>
      <c r="C48" s="540"/>
      <c r="D48" s="540">
        <v>1600</v>
      </c>
      <c r="E48" s="542"/>
      <c r="F48" s="542"/>
      <c r="G48" s="540">
        <v>1600</v>
      </c>
      <c r="H48" s="543"/>
      <c r="I48" s="543"/>
      <c r="J48" s="540">
        <v>1600</v>
      </c>
      <c r="L48" s="543"/>
      <c r="M48" s="540">
        <v>1600</v>
      </c>
      <c r="O48" s="543"/>
    </row>
    <row r="49" spans="1:15" s="532" customFormat="1" x14ac:dyDescent="0.25">
      <c r="A49" s="533" t="s">
        <v>69</v>
      </c>
      <c r="B49" s="540">
        <f t="shared" si="7"/>
        <v>0</v>
      </c>
      <c r="C49" s="540"/>
      <c r="D49" s="540"/>
      <c r="E49" s="542"/>
      <c r="F49" s="542"/>
      <c r="G49" s="542"/>
      <c r="H49" s="543"/>
      <c r="I49" s="543"/>
      <c r="J49" s="543"/>
      <c r="K49" s="543"/>
      <c r="L49" s="543"/>
      <c r="M49" s="543"/>
      <c r="N49" s="543"/>
      <c r="O49" s="543"/>
    </row>
    <row r="50" spans="1:15" s="532" customFormat="1" x14ac:dyDescent="0.25">
      <c r="A50" s="533" t="s">
        <v>70</v>
      </c>
      <c r="B50" s="540">
        <f t="shared" si="7"/>
        <v>0</v>
      </c>
      <c r="C50" s="540"/>
      <c r="D50" s="540"/>
      <c r="E50" s="542"/>
      <c r="F50" s="542"/>
      <c r="G50" s="542"/>
      <c r="H50" s="543"/>
      <c r="I50" s="543"/>
      <c r="J50" s="543"/>
      <c r="K50" s="543"/>
      <c r="L50" s="543"/>
      <c r="M50" s="543"/>
      <c r="N50" s="543"/>
      <c r="O50" s="543"/>
    </row>
    <row r="51" spans="1:15" s="532" customFormat="1" x14ac:dyDescent="0.25">
      <c r="A51" s="533" t="s">
        <v>89</v>
      </c>
      <c r="B51" s="540">
        <f t="shared" si="7"/>
        <v>0</v>
      </c>
      <c r="C51" s="540"/>
      <c r="D51" s="540"/>
      <c r="E51" s="542"/>
      <c r="F51" s="542"/>
      <c r="G51" s="542"/>
      <c r="H51" s="543"/>
      <c r="I51" s="543"/>
      <c r="J51" s="543"/>
      <c r="K51" s="543"/>
      <c r="L51" s="543"/>
      <c r="M51" s="543"/>
      <c r="N51" s="543"/>
      <c r="O51" s="543"/>
    </row>
    <row r="52" spans="1:15" s="532" customFormat="1" x14ac:dyDescent="0.25">
      <c r="A52" s="533" t="s">
        <v>90</v>
      </c>
      <c r="B52" s="540">
        <f t="shared" si="7"/>
        <v>0</v>
      </c>
      <c r="C52" s="540"/>
      <c r="D52" s="540"/>
      <c r="E52" s="542"/>
      <c r="F52" s="542"/>
      <c r="G52" s="542"/>
      <c r="H52" s="543"/>
      <c r="I52" s="543"/>
      <c r="J52" s="543"/>
      <c r="K52" s="543"/>
      <c r="L52" s="543"/>
      <c r="M52" s="543"/>
      <c r="N52" s="543"/>
      <c r="O52" s="543"/>
    </row>
    <row r="53" spans="1:15" s="532" customFormat="1" x14ac:dyDescent="0.25">
      <c r="A53" s="530" t="s">
        <v>91</v>
      </c>
      <c r="B53" s="537">
        <f>D53+E53+F53+G53+H53+I53+J53+K53+L53+M53+N53+O53</f>
        <v>607970.16100000008</v>
      </c>
      <c r="C53" s="537"/>
      <c r="D53" s="537">
        <f t="shared" ref="D53:O53" si="15">SUM(D54:D68)</f>
        <v>62184.360000000008</v>
      </c>
      <c r="E53" s="544">
        <f t="shared" si="15"/>
        <v>60584.360000000008</v>
      </c>
      <c r="F53" s="544">
        <f t="shared" si="15"/>
        <v>47967.380000000005</v>
      </c>
      <c r="G53" s="544">
        <f t="shared" si="15"/>
        <v>49567.380000000005</v>
      </c>
      <c r="H53" s="544">
        <f t="shared" si="15"/>
        <v>47967.380000000005</v>
      </c>
      <c r="I53" s="544">
        <f t="shared" si="15"/>
        <v>47967.380000000005</v>
      </c>
      <c r="J53" s="544">
        <f t="shared" si="15"/>
        <v>49567.380000000005</v>
      </c>
      <c r="K53" s="544">
        <f t="shared" si="15"/>
        <v>47967.380000000005</v>
      </c>
      <c r="L53" s="544">
        <f t="shared" si="15"/>
        <v>47967.380000000005</v>
      </c>
      <c r="M53" s="544">
        <f t="shared" si="15"/>
        <v>49809.927000000003</v>
      </c>
      <c r="N53" s="544">
        <f t="shared" si="15"/>
        <v>48209.927000000003</v>
      </c>
      <c r="O53" s="544">
        <f t="shared" si="15"/>
        <v>48209.927000000003</v>
      </c>
    </row>
    <row r="54" spans="1:15" x14ac:dyDescent="0.25">
      <c r="A54" s="533" t="s">
        <v>92</v>
      </c>
      <c r="B54" s="540">
        <f>SUM(D54:O54)</f>
        <v>280548</v>
      </c>
      <c r="C54" s="540"/>
      <c r="D54" s="540">
        <f>'[2]Tabela 2025 2026'!Q15</f>
        <v>23379</v>
      </c>
      <c r="E54" s="540">
        <f>D54</f>
        <v>23379</v>
      </c>
      <c r="F54" s="540">
        <f t="shared" ref="F54:O57" si="16">E54</f>
        <v>23379</v>
      </c>
      <c r="G54" s="540">
        <f t="shared" si="16"/>
        <v>23379</v>
      </c>
      <c r="H54" s="540">
        <f t="shared" si="16"/>
        <v>23379</v>
      </c>
      <c r="I54" s="540">
        <f t="shared" si="16"/>
        <v>23379</v>
      </c>
      <c r="J54" s="540">
        <f t="shared" si="16"/>
        <v>23379</v>
      </c>
      <c r="K54" s="540">
        <f t="shared" si="16"/>
        <v>23379</v>
      </c>
      <c r="L54" s="540">
        <f t="shared" si="16"/>
        <v>23379</v>
      </c>
      <c r="M54" s="540">
        <f t="shared" si="16"/>
        <v>23379</v>
      </c>
      <c r="N54" s="540">
        <f t="shared" si="16"/>
        <v>23379</v>
      </c>
      <c r="O54" s="540">
        <f t="shared" si="16"/>
        <v>23379</v>
      </c>
    </row>
    <row r="55" spans="1:15" x14ac:dyDescent="0.25">
      <c r="A55" s="533" t="s">
        <v>93</v>
      </c>
      <c r="B55" s="540">
        <f t="shared" ref="B55:B69" si="17">SUM(D55:O55)</f>
        <v>19452</v>
      </c>
      <c r="C55" s="540"/>
      <c r="D55" s="540">
        <f>'[2]Tabela 2025 2026'!M15</f>
        <v>1621</v>
      </c>
      <c r="E55" s="540">
        <f>D55</f>
        <v>1621</v>
      </c>
      <c r="F55" s="540">
        <f t="shared" si="16"/>
        <v>1621</v>
      </c>
      <c r="G55" s="540">
        <f t="shared" si="16"/>
        <v>1621</v>
      </c>
      <c r="H55" s="540">
        <f t="shared" si="16"/>
        <v>1621</v>
      </c>
      <c r="I55" s="540">
        <f t="shared" si="16"/>
        <v>1621</v>
      </c>
      <c r="J55" s="540">
        <f t="shared" si="16"/>
        <v>1621</v>
      </c>
      <c r="K55" s="540">
        <f t="shared" si="16"/>
        <v>1621</v>
      </c>
      <c r="L55" s="540">
        <f t="shared" si="16"/>
        <v>1621</v>
      </c>
      <c r="M55" s="540">
        <f t="shared" si="16"/>
        <v>1621</v>
      </c>
      <c r="N55" s="540">
        <f t="shared" si="16"/>
        <v>1621</v>
      </c>
      <c r="O55" s="540">
        <f t="shared" si="16"/>
        <v>1621</v>
      </c>
    </row>
    <row r="56" spans="1:15" x14ac:dyDescent="0.25">
      <c r="A56" s="533" t="s">
        <v>94</v>
      </c>
      <c r="B56" s="540">
        <f t="shared" si="17"/>
        <v>160912.79999999996</v>
      </c>
      <c r="C56" s="540"/>
      <c r="D56" s="540">
        <f>'[2]Tabela 2025 2026'!Q8</f>
        <v>13409.4</v>
      </c>
      <c r="E56" s="540">
        <f>D56</f>
        <v>13409.4</v>
      </c>
      <c r="F56" s="540">
        <f t="shared" si="16"/>
        <v>13409.4</v>
      </c>
      <c r="G56" s="540">
        <f t="shared" si="16"/>
        <v>13409.4</v>
      </c>
      <c r="H56" s="540">
        <f t="shared" si="16"/>
        <v>13409.4</v>
      </c>
      <c r="I56" s="540">
        <f t="shared" si="16"/>
        <v>13409.4</v>
      </c>
      <c r="J56" s="540">
        <f t="shared" si="16"/>
        <v>13409.4</v>
      </c>
      <c r="K56" s="540">
        <f t="shared" si="16"/>
        <v>13409.4</v>
      </c>
      <c r="L56" s="540">
        <f t="shared" si="16"/>
        <v>13409.4</v>
      </c>
      <c r="M56" s="540">
        <f t="shared" si="16"/>
        <v>13409.4</v>
      </c>
      <c r="N56" s="540">
        <f t="shared" si="16"/>
        <v>13409.4</v>
      </c>
      <c r="O56" s="540">
        <f t="shared" si="16"/>
        <v>13409.4</v>
      </c>
    </row>
    <row r="57" spans="1:15" x14ac:dyDescent="0.25">
      <c r="A57" s="533" t="s">
        <v>95</v>
      </c>
      <c r="B57" s="540">
        <f t="shared" si="17"/>
        <v>19452</v>
      </c>
      <c r="C57" s="540"/>
      <c r="D57" s="540">
        <f>'[2]Tabela 2025 2026'!M8</f>
        <v>1621</v>
      </c>
      <c r="E57" s="540">
        <f>D57</f>
        <v>1621</v>
      </c>
      <c r="F57" s="540">
        <f t="shared" si="16"/>
        <v>1621</v>
      </c>
      <c r="G57" s="540">
        <f t="shared" si="16"/>
        <v>1621</v>
      </c>
      <c r="H57" s="540">
        <f t="shared" si="16"/>
        <v>1621</v>
      </c>
      <c r="I57" s="540">
        <f t="shared" si="16"/>
        <v>1621</v>
      </c>
      <c r="J57" s="540">
        <f t="shared" si="16"/>
        <v>1621</v>
      </c>
      <c r="K57" s="540">
        <f t="shared" si="16"/>
        <v>1621</v>
      </c>
      <c r="L57" s="540">
        <f t="shared" si="16"/>
        <v>1621</v>
      </c>
      <c r="M57" s="540">
        <f t="shared" si="16"/>
        <v>1621</v>
      </c>
      <c r="N57" s="540">
        <f t="shared" si="16"/>
        <v>1621</v>
      </c>
      <c r="O57" s="540">
        <f t="shared" si="16"/>
        <v>1621</v>
      </c>
    </row>
    <row r="58" spans="1:15" x14ac:dyDescent="0.25">
      <c r="A58" s="533" t="s">
        <v>96</v>
      </c>
      <c r="B58" s="540">
        <f t="shared" si="17"/>
        <v>20131.400999999998</v>
      </c>
      <c r="C58" s="540"/>
      <c r="D58" s="540">
        <v>1616.98</v>
      </c>
      <c r="E58" s="540">
        <v>1616.98</v>
      </c>
      <c r="F58" s="540">
        <v>1616.98</v>
      </c>
      <c r="G58" s="540">
        <v>1616.98</v>
      </c>
      <c r="H58" s="540">
        <v>1616.98</v>
      </c>
      <c r="I58" s="540">
        <v>1616.98</v>
      </c>
      <c r="J58" s="540">
        <v>1616.98</v>
      </c>
      <c r="K58" s="540">
        <v>1616.98</v>
      </c>
      <c r="L58" s="540">
        <v>1616.98</v>
      </c>
      <c r="M58" s="541">
        <f>1616.98*[2]Premissas!B4+'Orçamento 2026'!L58</f>
        <v>1859.527</v>
      </c>
      <c r="N58" s="540">
        <f>M58</f>
        <v>1859.527</v>
      </c>
      <c r="O58" s="540">
        <f>N58</f>
        <v>1859.527</v>
      </c>
    </row>
    <row r="59" spans="1:15" x14ac:dyDescent="0.25">
      <c r="A59" s="533" t="s">
        <v>97</v>
      </c>
      <c r="B59" s="540">
        <f t="shared" si="17"/>
        <v>0</v>
      </c>
      <c r="C59" s="540"/>
      <c r="D59" s="540"/>
      <c r="E59" s="542"/>
      <c r="F59" s="542"/>
      <c r="G59" s="542"/>
      <c r="H59" s="543"/>
      <c r="I59" s="543"/>
      <c r="J59" s="543"/>
      <c r="K59" s="543"/>
      <c r="L59" s="543"/>
      <c r="M59" s="543"/>
      <c r="N59" s="543"/>
      <c r="O59" s="543"/>
    </row>
    <row r="60" spans="1:15" x14ac:dyDescent="0.25">
      <c r="A60" s="533" t="s">
        <v>98</v>
      </c>
      <c r="B60" s="540">
        <f t="shared" si="17"/>
        <v>18758</v>
      </c>
      <c r="C60" s="540"/>
      <c r="D60" s="540">
        <f>11000-D61</f>
        <v>9379</v>
      </c>
      <c r="E60" s="540">
        <f>D60</f>
        <v>9379</v>
      </c>
      <c r="F60" s="540"/>
      <c r="G60" s="540"/>
      <c r="H60" s="540"/>
      <c r="I60" s="540"/>
      <c r="J60" s="540"/>
      <c r="K60" s="540"/>
      <c r="L60" s="540"/>
      <c r="M60" s="540"/>
      <c r="N60" s="540"/>
      <c r="O60" s="540"/>
    </row>
    <row r="61" spans="1:15" x14ac:dyDescent="0.25">
      <c r="A61" s="533" t="s">
        <v>98</v>
      </c>
      <c r="B61" s="540">
        <f t="shared" si="17"/>
        <v>3242</v>
      </c>
      <c r="C61" s="540"/>
      <c r="D61" s="540">
        <v>1621</v>
      </c>
      <c r="E61" s="540">
        <f>D61</f>
        <v>1621</v>
      </c>
      <c r="F61" s="540"/>
      <c r="G61" s="540"/>
      <c r="H61" s="540"/>
      <c r="I61" s="540"/>
      <c r="J61" s="540"/>
      <c r="K61" s="540"/>
      <c r="L61" s="540"/>
      <c r="M61" s="540"/>
      <c r="N61" s="540"/>
      <c r="O61" s="540"/>
    </row>
    <row r="62" spans="1:15" x14ac:dyDescent="0.25">
      <c r="A62" s="533" t="s">
        <v>98</v>
      </c>
      <c r="B62" s="540">
        <f t="shared" si="17"/>
        <v>3233.96</v>
      </c>
      <c r="C62" s="540"/>
      <c r="D62" s="540">
        <v>1616.98</v>
      </c>
      <c r="E62" s="540">
        <v>1616.98</v>
      </c>
      <c r="F62" s="540"/>
      <c r="G62" s="540"/>
      <c r="H62" s="540"/>
      <c r="I62" s="540"/>
      <c r="J62" s="540"/>
      <c r="K62" s="540"/>
      <c r="L62" s="540"/>
      <c r="M62" s="541"/>
      <c r="N62" s="540"/>
      <c r="O62" s="540"/>
    </row>
    <row r="63" spans="1:15" x14ac:dyDescent="0.25">
      <c r="A63" s="533" t="s">
        <v>99</v>
      </c>
      <c r="B63" s="540">
        <f t="shared" si="17"/>
        <v>56322</v>
      </c>
      <c r="C63" s="540"/>
      <c r="D63" s="540">
        <f>6320-D64</f>
        <v>4699</v>
      </c>
      <c r="E63" s="540">
        <f t="shared" ref="E63:O63" si="18">6320-E64</f>
        <v>4698</v>
      </c>
      <c r="F63" s="540">
        <f t="shared" si="18"/>
        <v>4697</v>
      </c>
      <c r="G63" s="540">
        <f t="shared" si="18"/>
        <v>4696</v>
      </c>
      <c r="H63" s="540">
        <f t="shared" si="18"/>
        <v>4695</v>
      </c>
      <c r="I63" s="540">
        <f t="shared" si="18"/>
        <v>4694</v>
      </c>
      <c r="J63" s="540">
        <f t="shared" si="18"/>
        <v>4693</v>
      </c>
      <c r="K63" s="540">
        <f t="shared" si="18"/>
        <v>4692</v>
      </c>
      <c r="L63" s="540">
        <f t="shared" si="18"/>
        <v>4691</v>
      </c>
      <c r="M63" s="540">
        <f t="shared" si="18"/>
        <v>4690</v>
      </c>
      <c r="N63" s="540">
        <f t="shared" si="18"/>
        <v>4689</v>
      </c>
      <c r="O63" s="540">
        <f t="shared" si="18"/>
        <v>4688</v>
      </c>
    </row>
    <row r="64" spans="1:15" x14ac:dyDescent="0.25">
      <c r="A64" s="533" t="s">
        <v>99</v>
      </c>
      <c r="B64" s="540">
        <f t="shared" si="17"/>
        <v>19518</v>
      </c>
      <c r="C64" s="540"/>
      <c r="D64" s="540">
        <v>1621</v>
      </c>
      <c r="E64" s="540">
        <v>1622</v>
      </c>
      <c r="F64" s="540">
        <v>1623</v>
      </c>
      <c r="G64" s="540">
        <v>1624</v>
      </c>
      <c r="H64" s="540">
        <v>1625</v>
      </c>
      <c r="I64" s="540">
        <v>1626</v>
      </c>
      <c r="J64" s="540">
        <v>1627</v>
      </c>
      <c r="K64" s="540">
        <v>1628</v>
      </c>
      <c r="L64" s="540">
        <v>1629</v>
      </c>
      <c r="M64" s="540">
        <v>1630</v>
      </c>
      <c r="N64" s="540">
        <v>1631</v>
      </c>
      <c r="O64" s="540">
        <v>1632</v>
      </c>
    </row>
    <row r="65" spans="1:15" x14ac:dyDescent="0.25">
      <c r="A65" s="533" t="s">
        <v>68</v>
      </c>
      <c r="B65" s="540">
        <f t="shared" si="17"/>
        <v>6400</v>
      </c>
      <c r="C65" s="540"/>
      <c r="D65" s="540">
        <v>1600</v>
      </c>
      <c r="E65" s="542"/>
      <c r="F65" s="542"/>
      <c r="G65" s="540">
        <v>1600</v>
      </c>
      <c r="H65" s="543"/>
      <c r="I65" s="543"/>
      <c r="J65" s="540">
        <v>1600</v>
      </c>
      <c r="K65" s="543"/>
      <c r="L65" s="543"/>
      <c r="M65" s="540">
        <v>1600</v>
      </c>
      <c r="N65" s="543"/>
      <c r="O65" s="543"/>
    </row>
    <row r="66" spans="1:15" s="545" customFormat="1" x14ac:dyDescent="0.25">
      <c r="A66" s="533" t="s">
        <v>69</v>
      </c>
      <c r="B66" s="540">
        <f t="shared" si="17"/>
        <v>0</v>
      </c>
      <c r="C66" s="540"/>
      <c r="D66" s="540"/>
      <c r="E66" s="542"/>
      <c r="F66" s="542"/>
      <c r="G66" s="540"/>
      <c r="H66" s="543"/>
      <c r="I66" s="543"/>
      <c r="J66" s="543"/>
      <c r="K66" s="543"/>
      <c r="L66" s="543"/>
      <c r="M66" s="543"/>
      <c r="N66" s="543"/>
      <c r="O66" s="543"/>
    </row>
    <row r="67" spans="1:15" x14ac:dyDescent="0.25">
      <c r="A67" s="533" t="s">
        <v>70</v>
      </c>
      <c r="B67" s="540">
        <f t="shared" si="17"/>
        <v>0</v>
      </c>
      <c r="C67" s="540"/>
      <c r="D67" s="540"/>
      <c r="E67" s="542"/>
      <c r="F67" s="542"/>
      <c r="G67" s="542"/>
      <c r="H67" s="543"/>
      <c r="I67" s="543"/>
      <c r="J67" s="543"/>
      <c r="K67" s="543"/>
      <c r="L67" s="543"/>
      <c r="M67" s="543"/>
      <c r="N67" s="543"/>
      <c r="O67" s="543"/>
    </row>
    <row r="68" spans="1:15" x14ac:dyDescent="0.25">
      <c r="A68" s="533" t="s">
        <v>89</v>
      </c>
      <c r="B68" s="540">
        <f t="shared" si="17"/>
        <v>0</v>
      </c>
      <c r="C68" s="540"/>
      <c r="D68" s="540"/>
      <c r="E68" s="542"/>
      <c r="F68" s="542"/>
      <c r="G68" s="542"/>
      <c r="H68" s="543"/>
      <c r="I68" s="543"/>
      <c r="J68" s="543"/>
      <c r="K68" s="543"/>
      <c r="L68" s="543"/>
      <c r="M68" s="543"/>
      <c r="N68" s="543"/>
      <c r="O68" s="543"/>
    </row>
    <row r="69" spans="1:15" x14ac:dyDescent="0.25">
      <c r="A69" s="533" t="s">
        <v>100</v>
      </c>
      <c r="B69" s="540">
        <f t="shared" si="17"/>
        <v>0</v>
      </c>
      <c r="C69" s="540"/>
      <c r="D69" s="540"/>
      <c r="E69" s="542"/>
      <c r="F69" s="542"/>
      <c r="G69" s="542"/>
      <c r="H69" s="543"/>
      <c r="I69" s="543"/>
      <c r="J69" s="543"/>
      <c r="K69" s="543"/>
      <c r="L69" s="543"/>
      <c r="M69" s="543"/>
      <c r="N69" s="543"/>
      <c r="O69" s="543"/>
    </row>
    <row r="70" spans="1:15" s="532" customFormat="1" x14ac:dyDescent="0.25">
      <c r="A70" s="530" t="s">
        <v>101</v>
      </c>
      <c r="B70" s="537">
        <f>D70+E70+F70+G70+H70+I70+J70+K70+L70+M70+N70+O70</f>
        <v>0</v>
      </c>
      <c r="C70" s="537"/>
      <c r="D70" s="537">
        <f>SUM(D71:D72)</f>
        <v>0</v>
      </c>
      <c r="E70" s="544">
        <f>SUM(E71:E72)</f>
        <v>0</v>
      </c>
      <c r="F70" s="544">
        <f t="shared" ref="F70:O70" si="19">SUM(F71:F72)</f>
        <v>0</v>
      </c>
      <c r="G70" s="544">
        <f t="shared" si="19"/>
        <v>0</v>
      </c>
      <c r="H70" s="544">
        <f t="shared" si="19"/>
        <v>0</v>
      </c>
      <c r="I70" s="544">
        <f t="shared" si="19"/>
        <v>0</v>
      </c>
      <c r="J70" s="544">
        <f t="shared" si="19"/>
        <v>0</v>
      </c>
      <c r="K70" s="544">
        <f t="shared" si="19"/>
        <v>0</v>
      </c>
      <c r="L70" s="544">
        <f t="shared" si="19"/>
        <v>0</v>
      </c>
      <c r="M70" s="544">
        <f t="shared" si="19"/>
        <v>0</v>
      </c>
      <c r="N70" s="544">
        <f t="shared" si="19"/>
        <v>0</v>
      </c>
      <c r="O70" s="544">
        <f t="shared" si="19"/>
        <v>0</v>
      </c>
    </row>
    <row r="71" spans="1:15" s="532" customFormat="1" x14ac:dyDescent="0.25">
      <c r="A71" s="533" t="s">
        <v>102</v>
      </c>
      <c r="B71" s="540">
        <f>SUM(D71:O71)</f>
        <v>0</v>
      </c>
      <c r="C71" s="540"/>
      <c r="D71" s="540"/>
      <c r="E71" s="542"/>
      <c r="F71" s="542"/>
      <c r="G71" s="542"/>
      <c r="H71" s="543"/>
      <c r="I71" s="543"/>
      <c r="J71" s="543"/>
      <c r="K71" s="543"/>
      <c r="L71" s="543"/>
      <c r="M71" s="543"/>
      <c r="N71" s="543"/>
      <c r="O71" s="543"/>
    </row>
    <row r="72" spans="1:15" s="532" customFormat="1" x14ac:dyDescent="0.25">
      <c r="A72" s="533" t="s">
        <v>103</v>
      </c>
      <c r="B72" s="540">
        <f>SUM(D72:O72)</f>
        <v>0</v>
      </c>
      <c r="C72" s="540"/>
      <c r="D72" s="540"/>
      <c r="E72" s="542"/>
      <c r="F72" s="542"/>
      <c r="G72" s="542"/>
      <c r="H72" s="543"/>
      <c r="I72" s="543"/>
      <c r="J72" s="543"/>
      <c r="K72" s="543"/>
      <c r="L72" s="543"/>
      <c r="M72" s="543"/>
      <c r="N72" s="543"/>
      <c r="O72" s="543"/>
    </row>
    <row r="73" spans="1:15" s="532" customFormat="1" x14ac:dyDescent="0.25">
      <c r="A73" s="530" t="s">
        <v>104</v>
      </c>
      <c r="B73" s="537">
        <f>D73+E73+F73+G73+H73+I73+J73+K73+L73+M73+N73+O73</f>
        <v>410635.67999999993</v>
      </c>
      <c r="C73" s="537"/>
      <c r="D73" s="537">
        <f t="shared" ref="D73:O73" si="20">SUM(D74:D79)</f>
        <v>27197.48</v>
      </c>
      <c r="E73" s="544">
        <f t="shared" si="20"/>
        <v>34236.379999999997</v>
      </c>
      <c r="F73" s="544">
        <f t="shared" si="20"/>
        <v>34236.379999999997</v>
      </c>
      <c r="G73" s="544">
        <f t="shared" si="20"/>
        <v>34236.379999999997</v>
      </c>
      <c r="H73" s="544">
        <f t="shared" si="20"/>
        <v>34236.379999999997</v>
      </c>
      <c r="I73" s="544">
        <f t="shared" si="20"/>
        <v>35213.24</v>
      </c>
      <c r="J73" s="544">
        <f t="shared" si="20"/>
        <v>35213.24</v>
      </c>
      <c r="K73" s="544">
        <f t="shared" si="20"/>
        <v>35213.24</v>
      </c>
      <c r="L73" s="544">
        <f t="shared" si="20"/>
        <v>35213.24</v>
      </c>
      <c r="M73" s="544">
        <f t="shared" si="20"/>
        <v>35213.24</v>
      </c>
      <c r="N73" s="544">
        <f t="shared" si="20"/>
        <v>35213.24</v>
      </c>
      <c r="O73" s="544">
        <f t="shared" si="20"/>
        <v>35213.24</v>
      </c>
    </row>
    <row r="74" spans="1:15" x14ac:dyDescent="0.25">
      <c r="A74" s="533" t="s">
        <v>105</v>
      </c>
      <c r="B74" s="540">
        <f>SUM(D74:O74)</f>
        <v>267334.0199999999</v>
      </c>
      <c r="C74" s="540"/>
      <c r="D74" s="540">
        <f>26385-4677</f>
        <v>21708</v>
      </c>
      <c r="E74" s="540">
        <f t="shared" ref="E74:H74" si="21">26385-4677</f>
        <v>21708</v>
      </c>
      <c r="F74" s="540">
        <f t="shared" si="21"/>
        <v>21708</v>
      </c>
      <c r="G74" s="540">
        <f t="shared" si="21"/>
        <v>21708</v>
      </c>
      <c r="H74" s="540">
        <f t="shared" si="21"/>
        <v>21708</v>
      </c>
      <c r="I74" s="541">
        <f>H74*[2]Premissas!B3+H74</f>
        <v>22684.86</v>
      </c>
      <c r="J74" s="540">
        <f>I74</f>
        <v>22684.86</v>
      </c>
      <c r="K74" s="540">
        <f>I74</f>
        <v>22684.86</v>
      </c>
      <c r="L74" s="540">
        <f>K74</f>
        <v>22684.86</v>
      </c>
      <c r="M74" s="540">
        <f>L74</f>
        <v>22684.86</v>
      </c>
      <c r="N74" s="540">
        <f>M74</f>
        <v>22684.86</v>
      </c>
      <c r="O74" s="540">
        <f>N74</f>
        <v>22684.86</v>
      </c>
    </row>
    <row r="75" spans="1:15" x14ac:dyDescent="0.25">
      <c r="A75" s="533" t="s">
        <v>106</v>
      </c>
      <c r="B75" s="540">
        <f t="shared" ref="B75:B79" si="22">SUM(D75:O75)</f>
        <v>54473.75999999998</v>
      </c>
      <c r="C75" s="540"/>
      <c r="D75" s="540">
        <f>4344*[2]Premissas!B3+4344</f>
        <v>4539.4799999999996</v>
      </c>
      <c r="E75" s="540">
        <f>D75</f>
        <v>4539.4799999999996</v>
      </c>
      <c r="F75" s="540">
        <f t="shared" ref="F75:O75" si="23">E75</f>
        <v>4539.4799999999996</v>
      </c>
      <c r="G75" s="540">
        <f t="shared" si="23"/>
        <v>4539.4799999999996</v>
      </c>
      <c r="H75" s="540">
        <f t="shared" si="23"/>
        <v>4539.4799999999996</v>
      </c>
      <c r="I75" s="540">
        <f t="shared" si="23"/>
        <v>4539.4799999999996</v>
      </c>
      <c r="J75" s="540">
        <f t="shared" si="23"/>
        <v>4539.4799999999996</v>
      </c>
      <c r="K75" s="540">
        <f t="shared" si="23"/>
        <v>4539.4799999999996</v>
      </c>
      <c r="L75" s="540">
        <f t="shared" si="23"/>
        <v>4539.4799999999996</v>
      </c>
      <c r="M75" s="540">
        <f t="shared" si="23"/>
        <v>4539.4799999999996</v>
      </c>
      <c r="N75" s="540">
        <f t="shared" si="23"/>
        <v>4539.4799999999996</v>
      </c>
      <c r="O75" s="540">
        <f t="shared" si="23"/>
        <v>4539.4799999999996</v>
      </c>
    </row>
    <row r="76" spans="1:15" x14ac:dyDescent="0.25">
      <c r="A76" s="533" t="s">
        <v>107</v>
      </c>
      <c r="B76" s="540">
        <f t="shared" ref="B76" si="24">SUM(D76:O76)</f>
        <v>0</v>
      </c>
      <c r="C76" s="540"/>
      <c r="D76" s="540"/>
      <c r="E76" s="540"/>
      <c r="F76" s="540"/>
      <c r="G76" s="540"/>
      <c r="H76" s="540"/>
      <c r="I76" s="540"/>
      <c r="J76" s="540"/>
      <c r="K76" s="540"/>
      <c r="L76" s="540"/>
      <c r="M76" s="540"/>
      <c r="N76" s="540"/>
      <c r="O76" s="540"/>
    </row>
    <row r="77" spans="1:15" x14ac:dyDescent="0.25">
      <c r="A77" s="533" t="s">
        <v>108</v>
      </c>
      <c r="B77" s="540">
        <f t="shared" si="22"/>
        <v>11400</v>
      </c>
      <c r="C77" s="540"/>
      <c r="D77" s="540">
        <v>950</v>
      </c>
      <c r="E77" s="540">
        <v>950</v>
      </c>
      <c r="F77" s="540">
        <v>950</v>
      </c>
      <c r="G77" s="540">
        <v>950</v>
      </c>
      <c r="H77" s="540">
        <v>950</v>
      </c>
      <c r="I77" s="540">
        <v>950</v>
      </c>
      <c r="J77" s="540">
        <v>950</v>
      </c>
      <c r="K77" s="540">
        <v>950</v>
      </c>
      <c r="L77" s="540">
        <v>950</v>
      </c>
      <c r="M77" s="540">
        <v>950</v>
      </c>
      <c r="N77" s="540">
        <v>950</v>
      </c>
      <c r="O77" s="540">
        <v>950</v>
      </c>
    </row>
    <row r="78" spans="1:15" s="532" customFormat="1" x14ac:dyDescent="0.25">
      <c r="A78" s="533" t="s">
        <v>109</v>
      </c>
      <c r="B78" s="540">
        <f t="shared" si="22"/>
        <v>77427.899999999994</v>
      </c>
      <c r="C78" s="540"/>
      <c r="D78" s="540"/>
      <c r="E78" s="540">
        <f>6399*[2]Premissas!B5+6399</f>
        <v>7038.9</v>
      </c>
      <c r="F78" s="540">
        <f t="shared" ref="F78:O78" si="25">E78</f>
        <v>7038.9</v>
      </c>
      <c r="G78" s="540">
        <f t="shared" si="25"/>
        <v>7038.9</v>
      </c>
      <c r="H78" s="540">
        <f t="shared" si="25"/>
        <v>7038.9</v>
      </c>
      <c r="I78" s="540">
        <f t="shared" si="25"/>
        <v>7038.9</v>
      </c>
      <c r="J78" s="540">
        <f t="shared" si="25"/>
        <v>7038.9</v>
      </c>
      <c r="K78" s="540">
        <f t="shared" si="25"/>
        <v>7038.9</v>
      </c>
      <c r="L78" s="540">
        <f t="shared" si="25"/>
        <v>7038.9</v>
      </c>
      <c r="M78" s="540">
        <f t="shared" si="25"/>
        <v>7038.9</v>
      </c>
      <c r="N78" s="540">
        <f t="shared" si="25"/>
        <v>7038.9</v>
      </c>
      <c r="O78" s="540">
        <f t="shared" si="25"/>
        <v>7038.9</v>
      </c>
    </row>
    <row r="79" spans="1:15" s="532" customFormat="1" x14ac:dyDescent="0.25">
      <c r="A79" s="533" t="s">
        <v>110</v>
      </c>
      <c r="B79" s="540">
        <f t="shared" si="22"/>
        <v>0</v>
      </c>
      <c r="C79" s="540"/>
      <c r="D79" s="540"/>
      <c r="E79" s="542"/>
      <c r="F79" s="542"/>
      <c r="G79" s="542"/>
      <c r="H79" s="543"/>
      <c r="I79" s="543"/>
      <c r="J79" s="543"/>
      <c r="K79" s="543"/>
      <c r="L79" s="543"/>
      <c r="M79" s="543"/>
      <c r="N79" s="543"/>
      <c r="O79" s="543"/>
    </row>
    <row r="80" spans="1:15" s="532" customFormat="1" x14ac:dyDescent="0.25">
      <c r="A80" s="530" t="s">
        <v>111</v>
      </c>
      <c r="B80" s="537">
        <f>D80+E80+F80+G80+H80+I80+J80+K80+L80+M80+N80+O80</f>
        <v>10127.401800000001</v>
      </c>
      <c r="C80" s="537"/>
      <c r="D80" s="537">
        <f>SUM(D81:D82)</f>
        <v>890</v>
      </c>
      <c r="E80" s="544">
        <f t="shared" ref="E80:O80" si="26">SUM(E81:E82)</f>
        <v>839.76380000000006</v>
      </c>
      <c r="F80" s="544">
        <f t="shared" si="26"/>
        <v>839.76380000000006</v>
      </c>
      <c r="G80" s="544">
        <f t="shared" si="26"/>
        <v>839.76380000000006</v>
      </c>
      <c r="H80" s="544">
        <f t="shared" si="26"/>
        <v>839.76380000000006</v>
      </c>
      <c r="I80" s="544">
        <f t="shared" si="26"/>
        <v>839.76380000000006</v>
      </c>
      <c r="J80" s="544">
        <f t="shared" si="26"/>
        <v>839.76380000000006</v>
      </c>
      <c r="K80" s="544">
        <f t="shared" si="26"/>
        <v>839.76380000000006</v>
      </c>
      <c r="L80" s="544">
        <f t="shared" si="26"/>
        <v>839.76380000000006</v>
      </c>
      <c r="M80" s="544">
        <f t="shared" si="26"/>
        <v>839.76380000000006</v>
      </c>
      <c r="N80" s="544">
        <f t="shared" si="26"/>
        <v>839.76380000000006</v>
      </c>
      <c r="O80" s="544">
        <f t="shared" si="26"/>
        <v>839.76380000000006</v>
      </c>
    </row>
    <row r="81" spans="1:15" x14ac:dyDescent="0.25">
      <c r="A81" s="533" t="s">
        <v>112</v>
      </c>
      <c r="B81" s="540">
        <f>SUM(D81:O81)</f>
        <v>9286.1204000000016</v>
      </c>
      <c r="C81" s="540"/>
      <c r="D81" s="540">
        <v>810</v>
      </c>
      <c r="E81" s="540">
        <v>770.55640000000005</v>
      </c>
      <c r="F81" s="540">
        <v>770.55640000000005</v>
      </c>
      <c r="G81" s="540">
        <v>770.55640000000005</v>
      </c>
      <c r="H81" s="540">
        <v>770.55640000000005</v>
      </c>
      <c r="I81" s="540">
        <v>770.55640000000005</v>
      </c>
      <c r="J81" s="540">
        <v>770.55640000000005</v>
      </c>
      <c r="K81" s="540">
        <v>770.55640000000005</v>
      </c>
      <c r="L81" s="540">
        <v>770.55640000000005</v>
      </c>
      <c r="M81" s="540">
        <v>770.55640000000005</v>
      </c>
      <c r="N81" s="540">
        <v>770.55640000000005</v>
      </c>
      <c r="O81" s="540">
        <v>770.55640000000005</v>
      </c>
    </row>
    <row r="82" spans="1:15" x14ac:dyDescent="0.25">
      <c r="A82" s="533" t="s">
        <v>113</v>
      </c>
      <c r="B82" s="540">
        <f>SUM(D82:O82)</f>
        <v>841.28140000000008</v>
      </c>
      <c r="C82" s="540"/>
      <c r="D82" s="540">
        <v>80</v>
      </c>
      <c r="E82" s="540">
        <v>69.207400000000007</v>
      </c>
      <c r="F82" s="540">
        <v>69.207400000000007</v>
      </c>
      <c r="G82" s="540">
        <v>69.207400000000007</v>
      </c>
      <c r="H82" s="540">
        <v>69.207400000000007</v>
      </c>
      <c r="I82" s="540">
        <v>69.207400000000007</v>
      </c>
      <c r="J82" s="540">
        <v>69.207400000000007</v>
      </c>
      <c r="K82" s="540">
        <v>69.207400000000007</v>
      </c>
      <c r="L82" s="540">
        <v>69.207400000000007</v>
      </c>
      <c r="M82" s="540">
        <v>69.207400000000007</v>
      </c>
      <c r="N82" s="540">
        <v>69.207400000000007</v>
      </c>
      <c r="O82" s="540">
        <v>69.207400000000007</v>
      </c>
    </row>
    <row r="83" spans="1:15" s="532" customFormat="1" x14ac:dyDescent="0.25">
      <c r="A83" s="530" t="s">
        <v>114</v>
      </c>
      <c r="B83" s="537">
        <f>D83+E83+F83+G83+H83+I83+J83+K83+L83+M83+N83+O83</f>
        <v>74921.849999999977</v>
      </c>
      <c r="C83" s="537"/>
      <c r="D83" s="537">
        <f t="shared" ref="D83:O83" si="27">SUM(D84:D96)</f>
        <v>7255</v>
      </c>
      <c r="E83" s="537">
        <f t="shared" si="27"/>
        <v>5505</v>
      </c>
      <c r="F83" s="537">
        <f t="shared" si="27"/>
        <v>5742.2049999999999</v>
      </c>
      <c r="G83" s="537">
        <f t="shared" si="27"/>
        <v>7292.2049999999999</v>
      </c>
      <c r="H83" s="537">
        <f t="shared" si="27"/>
        <v>5742.2049999999999</v>
      </c>
      <c r="I83" s="537">
        <f t="shared" si="27"/>
        <v>5683.6049999999996</v>
      </c>
      <c r="J83" s="537">
        <f t="shared" si="27"/>
        <v>7333.6049999999996</v>
      </c>
      <c r="K83" s="537">
        <f t="shared" si="27"/>
        <v>5683.6049999999996</v>
      </c>
      <c r="L83" s="537">
        <f t="shared" si="27"/>
        <v>5783.6049999999996</v>
      </c>
      <c r="M83" s="537">
        <f t="shared" si="27"/>
        <v>7333.6049999999996</v>
      </c>
      <c r="N83" s="537">
        <f t="shared" si="27"/>
        <v>5783.6049999999996</v>
      </c>
      <c r="O83" s="537">
        <f t="shared" si="27"/>
        <v>5783.6049999999996</v>
      </c>
    </row>
    <row r="84" spans="1:15" x14ac:dyDescent="0.25">
      <c r="A84" s="533" t="s">
        <v>115</v>
      </c>
      <c r="B84" s="546">
        <f>SUM(D84:O84)</f>
        <v>3200</v>
      </c>
      <c r="C84" s="540"/>
      <c r="D84" s="540">
        <v>800</v>
      </c>
      <c r="E84" s="540"/>
      <c r="F84" s="540"/>
      <c r="G84" s="540">
        <v>800</v>
      </c>
      <c r="H84" s="540"/>
      <c r="I84" s="540"/>
      <c r="J84" s="540">
        <v>800</v>
      </c>
      <c r="K84" s="540"/>
      <c r="L84" s="540"/>
      <c r="M84" s="540">
        <v>800</v>
      </c>
      <c r="N84" s="540"/>
      <c r="O84" s="540"/>
    </row>
    <row r="85" spans="1:15" x14ac:dyDescent="0.25">
      <c r="A85" s="533" t="s">
        <v>116</v>
      </c>
      <c r="B85" s="546">
        <f t="shared" ref="B85:B96" si="28">SUM(D85:O85)</f>
        <v>0</v>
      </c>
      <c r="C85" s="540"/>
      <c r="D85" s="540"/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</row>
    <row r="86" spans="1:15" x14ac:dyDescent="0.25">
      <c r="A86" s="533" t="s">
        <v>117</v>
      </c>
      <c r="B86" s="546">
        <f t="shared" si="28"/>
        <v>1200</v>
      </c>
      <c r="C86" s="540"/>
      <c r="D86" s="540">
        <v>100</v>
      </c>
      <c r="E86" s="540">
        <v>100</v>
      </c>
      <c r="F86" s="540">
        <v>100</v>
      </c>
      <c r="G86" s="540">
        <v>100</v>
      </c>
      <c r="H86" s="540">
        <v>100</v>
      </c>
      <c r="I86" s="540">
        <v>100</v>
      </c>
      <c r="J86" s="540">
        <v>100</v>
      </c>
      <c r="K86" s="540">
        <v>100</v>
      </c>
      <c r="L86" s="540">
        <v>100</v>
      </c>
      <c r="M86" s="540">
        <v>100</v>
      </c>
      <c r="N86" s="540">
        <v>100</v>
      </c>
      <c r="O86" s="540">
        <v>100</v>
      </c>
    </row>
    <row r="87" spans="1:15" x14ac:dyDescent="0.25">
      <c r="A87" s="533" t="s">
        <v>118</v>
      </c>
      <c r="B87" s="546">
        <f t="shared" si="28"/>
        <v>1200</v>
      </c>
      <c r="C87" s="540"/>
      <c r="D87" s="540">
        <v>100</v>
      </c>
      <c r="E87" s="540">
        <v>100</v>
      </c>
      <c r="F87" s="540">
        <v>100</v>
      </c>
      <c r="G87" s="540">
        <v>100</v>
      </c>
      <c r="H87" s="540">
        <v>100</v>
      </c>
      <c r="I87" s="540">
        <v>100</v>
      </c>
      <c r="J87" s="540">
        <v>100</v>
      </c>
      <c r="K87" s="540">
        <v>100</v>
      </c>
      <c r="L87" s="540">
        <v>100</v>
      </c>
      <c r="M87" s="540">
        <v>100</v>
      </c>
      <c r="N87" s="540">
        <v>100</v>
      </c>
      <c r="O87" s="540">
        <v>100</v>
      </c>
    </row>
    <row r="88" spans="1:15" x14ac:dyDescent="0.25">
      <c r="A88" s="533" t="s">
        <v>119</v>
      </c>
      <c r="B88" s="546">
        <f t="shared" si="28"/>
        <v>200</v>
      </c>
      <c r="C88" s="540"/>
      <c r="D88" s="540">
        <v>50</v>
      </c>
      <c r="E88" s="540"/>
      <c r="F88" s="540"/>
      <c r="G88" s="540">
        <v>50</v>
      </c>
      <c r="H88" s="540"/>
      <c r="I88" s="540"/>
      <c r="J88" s="540">
        <v>50</v>
      </c>
      <c r="K88" s="540"/>
      <c r="L88" s="540"/>
      <c r="M88" s="540">
        <v>50</v>
      </c>
      <c r="N88" s="540"/>
      <c r="O88" s="540"/>
    </row>
    <row r="89" spans="1:15" x14ac:dyDescent="0.25">
      <c r="A89" s="533" t="s">
        <v>120</v>
      </c>
      <c r="B89" s="546">
        <f t="shared" si="28"/>
        <v>6000</v>
      </c>
      <c r="C89" s="540"/>
      <c r="D89" s="540">
        <v>500</v>
      </c>
      <c r="E89" s="540">
        <v>500</v>
      </c>
      <c r="F89" s="540">
        <v>500</v>
      </c>
      <c r="G89" s="540">
        <v>500</v>
      </c>
      <c r="H89" s="540">
        <v>500</v>
      </c>
      <c r="I89" s="540">
        <v>500</v>
      </c>
      <c r="J89" s="540">
        <v>500</v>
      </c>
      <c r="K89" s="540">
        <v>500</v>
      </c>
      <c r="L89" s="540">
        <v>500</v>
      </c>
      <c r="M89" s="540">
        <v>500</v>
      </c>
      <c r="N89" s="540">
        <v>500</v>
      </c>
      <c r="O89" s="540">
        <v>500</v>
      </c>
    </row>
    <row r="90" spans="1:15" x14ac:dyDescent="0.25">
      <c r="A90" s="533" t="s">
        <v>121</v>
      </c>
      <c r="B90" s="546">
        <f t="shared" si="28"/>
        <v>37960.05000000001</v>
      </c>
      <c r="C90" s="540"/>
      <c r="D90" s="540">
        <v>3049</v>
      </c>
      <c r="E90" s="540">
        <v>3049</v>
      </c>
      <c r="F90" s="540">
        <f>E90*[2]Premissas!B3+'Orçamento 2026'!D90</f>
        <v>3186.2049999999999</v>
      </c>
      <c r="G90" s="540">
        <f>F90</f>
        <v>3186.2049999999999</v>
      </c>
      <c r="H90" s="540">
        <f t="shared" ref="H90:O91" si="29">G90</f>
        <v>3186.2049999999999</v>
      </c>
      <c r="I90" s="540">
        <f t="shared" si="29"/>
        <v>3186.2049999999999</v>
      </c>
      <c r="J90" s="540">
        <f t="shared" si="29"/>
        <v>3186.2049999999999</v>
      </c>
      <c r="K90" s="540">
        <f t="shared" si="29"/>
        <v>3186.2049999999999</v>
      </c>
      <c r="L90" s="540">
        <f t="shared" si="29"/>
        <v>3186.2049999999999</v>
      </c>
      <c r="M90" s="540">
        <f t="shared" si="29"/>
        <v>3186.2049999999999</v>
      </c>
      <c r="N90" s="540">
        <f t="shared" si="29"/>
        <v>3186.2049999999999</v>
      </c>
      <c r="O90" s="540">
        <f t="shared" si="29"/>
        <v>3186.2049999999999</v>
      </c>
    </row>
    <row r="91" spans="1:15" x14ac:dyDescent="0.25">
      <c r="A91" s="533" t="s">
        <v>122</v>
      </c>
      <c r="B91" s="546">
        <f t="shared" si="28"/>
        <v>11329.799999999997</v>
      </c>
      <c r="C91" s="540"/>
      <c r="D91" s="540">
        <v>920</v>
      </c>
      <c r="E91" s="540">
        <v>920</v>
      </c>
      <c r="F91" s="540">
        <v>920</v>
      </c>
      <c r="G91" s="540">
        <v>920</v>
      </c>
      <c r="H91" s="540">
        <v>920</v>
      </c>
      <c r="I91" s="541">
        <f>H91*[2]Premissas!B3+'Orçamento 2026'!H91</f>
        <v>961.4</v>
      </c>
      <c r="J91" s="540">
        <f>I91</f>
        <v>961.4</v>
      </c>
      <c r="K91" s="540">
        <f t="shared" si="29"/>
        <v>961.4</v>
      </c>
      <c r="L91" s="540">
        <f t="shared" si="29"/>
        <v>961.4</v>
      </c>
      <c r="M91" s="540">
        <f t="shared" si="29"/>
        <v>961.4</v>
      </c>
      <c r="N91" s="540">
        <f t="shared" si="29"/>
        <v>961.4</v>
      </c>
      <c r="O91" s="540">
        <f t="shared" si="29"/>
        <v>961.4</v>
      </c>
    </row>
    <row r="92" spans="1:15" x14ac:dyDescent="0.25">
      <c r="A92" s="533" t="s">
        <v>123</v>
      </c>
      <c r="B92" s="546">
        <f t="shared" si="28"/>
        <v>2000</v>
      </c>
      <c r="C92" s="540"/>
      <c r="D92" s="540">
        <v>500</v>
      </c>
      <c r="E92" s="540"/>
      <c r="F92" s="540"/>
      <c r="G92" s="540">
        <v>500</v>
      </c>
      <c r="H92" s="540"/>
      <c r="I92" s="540"/>
      <c r="J92" s="540">
        <v>500</v>
      </c>
      <c r="K92" s="540"/>
      <c r="L92" s="540"/>
      <c r="M92" s="540">
        <v>500</v>
      </c>
      <c r="N92" s="540"/>
      <c r="O92" s="540"/>
    </row>
    <row r="93" spans="1:15" x14ac:dyDescent="0.25">
      <c r="A93" s="533" t="s">
        <v>124</v>
      </c>
      <c r="B93" s="546">
        <f t="shared" si="28"/>
        <v>10032</v>
      </c>
      <c r="C93" s="540"/>
      <c r="D93" s="540">
        <v>836</v>
      </c>
      <c r="E93" s="540">
        <v>836</v>
      </c>
      <c r="F93" s="540">
        <v>836</v>
      </c>
      <c r="G93" s="540">
        <v>836</v>
      </c>
      <c r="H93" s="540">
        <v>836</v>
      </c>
      <c r="I93" s="540">
        <v>836</v>
      </c>
      <c r="J93" s="540">
        <v>836</v>
      </c>
      <c r="K93" s="540">
        <v>836</v>
      </c>
      <c r="L93" s="540">
        <v>836</v>
      </c>
      <c r="M93" s="540">
        <v>836</v>
      </c>
      <c r="N93" s="540">
        <v>836</v>
      </c>
      <c r="O93" s="540">
        <v>836</v>
      </c>
    </row>
    <row r="94" spans="1:15" x14ac:dyDescent="0.25">
      <c r="A94" s="547" t="s">
        <v>125</v>
      </c>
      <c r="B94" s="546">
        <f t="shared" si="28"/>
        <v>1200</v>
      </c>
      <c r="C94" s="540"/>
      <c r="D94" s="540">
        <v>300</v>
      </c>
      <c r="E94" s="540"/>
      <c r="F94" s="540"/>
      <c r="G94" s="540">
        <v>300</v>
      </c>
      <c r="H94" s="540"/>
      <c r="I94" s="540"/>
      <c r="J94" s="540">
        <v>300</v>
      </c>
      <c r="K94" s="540"/>
      <c r="L94" s="540"/>
      <c r="M94" s="540">
        <v>300</v>
      </c>
      <c r="N94" s="540"/>
      <c r="O94" s="540"/>
    </row>
    <row r="95" spans="1:15" x14ac:dyDescent="0.25">
      <c r="A95" s="533" t="s">
        <v>126</v>
      </c>
      <c r="B95" s="546">
        <f t="shared" si="28"/>
        <v>600</v>
      </c>
      <c r="C95" s="540"/>
      <c r="D95" s="540">
        <v>100</v>
      </c>
      <c r="E95" s="540"/>
      <c r="F95" s="540">
        <v>100</v>
      </c>
      <c r="G95" s="540"/>
      <c r="H95" s="540">
        <v>100</v>
      </c>
      <c r="I95" s="540"/>
      <c r="J95" s="540"/>
      <c r="K95" s="540"/>
      <c r="L95" s="540">
        <v>100</v>
      </c>
      <c r="M95" s="540"/>
      <c r="N95" s="540">
        <v>100</v>
      </c>
      <c r="O95" s="540">
        <v>100</v>
      </c>
    </row>
    <row r="96" spans="1:15" x14ac:dyDescent="0.25">
      <c r="A96" s="533" t="s">
        <v>127</v>
      </c>
      <c r="B96" s="546">
        <f t="shared" si="28"/>
        <v>0</v>
      </c>
      <c r="C96" s="540"/>
      <c r="D96" s="540"/>
      <c r="E96" s="540"/>
      <c r="F96" s="540"/>
      <c r="G96" s="540"/>
      <c r="H96" s="540"/>
      <c r="I96" s="540"/>
      <c r="J96" s="540"/>
      <c r="K96" s="540"/>
      <c r="L96" s="540"/>
      <c r="M96" s="540"/>
      <c r="N96" s="540"/>
      <c r="O96" s="540"/>
    </row>
    <row r="97" spans="1:15" s="532" customFormat="1" x14ac:dyDescent="0.25">
      <c r="A97" s="530" t="s">
        <v>128</v>
      </c>
      <c r="B97" s="537">
        <f>SUM(B98:B102)</f>
        <v>244264.88299999997</v>
      </c>
      <c r="C97" s="537"/>
      <c r="D97" s="537">
        <f>SUM(D98:D102)</f>
        <v>23240.799999999999</v>
      </c>
      <c r="E97" s="537">
        <f t="shared" ref="E97:O97" si="30">SUM(E98:E102)</f>
        <v>23035.8</v>
      </c>
      <c r="F97" s="537">
        <f t="shared" si="30"/>
        <v>22815.8</v>
      </c>
      <c r="G97" s="537">
        <f t="shared" si="30"/>
        <v>18355.8</v>
      </c>
      <c r="H97" s="537">
        <f t="shared" si="30"/>
        <v>18055.8</v>
      </c>
      <c r="I97" s="537">
        <f t="shared" si="30"/>
        <v>18705.8</v>
      </c>
      <c r="J97" s="537">
        <f t="shared" si="30"/>
        <v>18480.8</v>
      </c>
      <c r="K97" s="537">
        <f t="shared" si="30"/>
        <v>19255.8</v>
      </c>
      <c r="L97" s="537">
        <f t="shared" si="30"/>
        <v>18055.8</v>
      </c>
      <c r="M97" s="537">
        <f t="shared" si="30"/>
        <v>18717.561000000002</v>
      </c>
      <c r="N97" s="537">
        <f t="shared" si="30"/>
        <v>22772.561000000002</v>
      </c>
      <c r="O97" s="537">
        <f t="shared" si="30"/>
        <v>22772.561000000002</v>
      </c>
    </row>
    <row r="98" spans="1:15" x14ac:dyDescent="0.25">
      <c r="A98" s="533" t="s">
        <v>129</v>
      </c>
      <c r="B98" s="540">
        <f>SUM(D98:O98)</f>
        <v>178454.88299999997</v>
      </c>
      <c r="C98" s="540"/>
      <c r="D98" s="540">
        <v>14705.8</v>
      </c>
      <c r="E98" s="540">
        <v>14705.8</v>
      </c>
      <c r="F98" s="546">
        <v>14705.8</v>
      </c>
      <c r="G98" s="546">
        <v>14705.8</v>
      </c>
      <c r="H98" s="546">
        <v>14705.8</v>
      </c>
      <c r="I98" s="546">
        <v>14705.8</v>
      </c>
      <c r="J98" s="546">
        <v>14705.8</v>
      </c>
      <c r="K98" s="546">
        <v>14705.8</v>
      </c>
      <c r="L98" s="546">
        <v>14705.8</v>
      </c>
      <c r="M98" s="541">
        <f>L98*[2]Premissas!B3+'Orçamento 2026'!L98</f>
        <v>15367.561</v>
      </c>
      <c r="N98" s="546">
        <f>M98</f>
        <v>15367.561</v>
      </c>
      <c r="O98" s="546">
        <f>N98</f>
        <v>15367.561</v>
      </c>
    </row>
    <row r="99" spans="1:15" x14ac:dyDescent="0.25">
      <c r="A99" s="533" t="s">
        <v>130</v>
      </c>
      <c r="B99" s="540">
        <f t="shared" ref="B99:B102" si="31">SUM(D99:O99)</f>
        <v>14280</v>
      </c>
      <c r="C99" s="540"/>
      <c r="D99" s="540">
        <v>4760</v>
      </c>
      <c r="E99" s="540">
        <v>4760</v>
      </c>
      <c r="F99" s="540">
        <v>4760</v>
      </c>
      <c r="G99" s="540"/>
      <c r="H99" s="540"/>
      <c r="I99" s="540"/>
      <c r="J99" s="540"/>
      <c r="K99" s="540"/>
      <c r="L99" s="540"/>
      <c r="M99" s="540"/>
      <c r="N99" s="540"/>
      <c r="O99" s="540"/>
    </row>
    <row r="100" spans="1:15" x14ac:dyDescent="0.25">
      <c r="A100" s="533" t="s">
        <v>131</v>
      </c>
      <c r="B100" s="540">
        <f t="shared" si="31"/>
        <v>40200</v>
      </c>
      <c r="C100" s="540"/>
      <c r="D100" s="540">
        <v>3350</v>
      </c>
      <c r="E100" s="540">
        <v>3350</v>
      </c>
      <c r="F100" s="540">
        <v>3350</v>
      </c>
      <c r="G100" s="540">
        <v>3350</v>
      </c>
      <c r="H100" s="540">
        <v>3350</v>
      </c>
      <c r="I100" s="540">
        <v>3350</v>
      </c>
      <c r="J100" s="540">
        <v>3350</v>
      </c>
      <c r="K100" s="540">
        <v>3350</v>
      </c>
      <c r="L100" s="540">
        <v>3350</v>
      </c>
      <c r="M100" s="540">
        <v>3350</v>
      </c>
      <c r="N100" s="540">
        <v>3350</v>
      </c>
      <c r="O100" s="540">
        <v>3350</v>
      </c>
    </row>
    <row r="101" spans="1:15" x14ac:dyDescent="0.25">
      <c r="A101" s="533" t="s">
        <v>132</v>
      </c>
      <c r="B101" s="540">
        <f t="shared" si="31"/>
        <v>11330</v>
      </c>
      <c r="C101" s="540"/>
      <c r="D101" s="540">
        <v>425</v>
      </c>
      <c r="E101" s="540">
        <v>220</v>
      </c>
      <c r="F101" s="540"/>
      <c r="G101" s="540">
        <v>300</v>
      </c>
      <c r="H101" s="540"/>
      <c r="I101" s="540">
        <f>300+350</f>
        <v>650</v>
      </c>
      <c r="J101" s="540">
        <v>425</v>
      </c>
      <c r="K101" s="540">
        <v>1200</v>
      </c>
      <c r="L101" s="540"/>
      <c r="M101" s="540"/>
      <c r="N101" s="540">
        <v>4055</v>
      </c>
      <c r="O101" s="540">
        <v>4055</v>
      </c>
    </row>
    <row r="102" spans="1:15" x14ac:dyDescent="0.25">
      <c r="A102" s="533" t="s">
        <v>133</v>
      </c>
      <c r="B102" s="540">
        <f t="shared" si="31"/>
        <v>0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6"/>
      <c r="N102" s="540"/>
      <c r="O102" s="540"/>
    </row>
    <row r="103" spans="1:15" s="532" customFormat="1" x14ac:dyDescent="0.25">
      <c r="A103" s="530" t="s">
        <v>134</v>
      </c>
      <c r="B103" s="537">
        <f>SUM(B104:B110)</f>
        <v>82659.531000000017</v>
      </c>
      <c r="C103" s="537"/>
      <c r="D103" s="537">
        <f>SUM(D104:D110)</f>
        <v>6426.58</v>
      </c>
      <c r="E103" s="537">
        <f t="shared" ref="E103:O103" si="32">SUM(E104:E110)</f>
        <v>6776.58</v>
      </c>
      <c r="F103" s="537">
        <f t="shared" si="32"/>
        <v>6426.58</v>
      </c>
      <c r="G103" s="537">
        <f t="shared" si="32"/>
        <v>6426.58</v>
      </c>
      <c r="H103" s="537">
        <f t="shared" si="32"/>
        <v>6426.58</v>
      </c>
      <c r="I103" s="537">
        <f t="shared" si="32"/>
        <v>6426.58</v>
      </c>
      <c r="J103" s="537">
        <f t="shared" si="32"/>
        <v>6426.58</v>
      </c>
      <c r="K103" s="537">
        <f t="shared" si="32"/>
        <v>6426.58</v>
      </c>
      <c r="L103" s="537">
        <f t="shared" si="32"/>
        <v>6426.58</v>
      </c>
      <c r="M103" s="537">
        <f t="shared" si="32"/>
        <v>6623.4369999999999</v>
      </c>
      <c r="N103" s="537">
        <f t="shared" si="32"/>
        <v>8923.4369999999999</v>
      </c>
      <c r="O103" s="537">
        <f t="shared" si="32"/>
        <v>8923.4369999999999</v>
      </c>
    </row>
    <row r="104" spans="1:15" x14ac:dyDescent="0.25">
      <c r="A104" s="533" t="s">
        <v>135</v>
      </c>
      <c r="B104" s="540">
        <f>SUM(D104:O104)</f>
        <v>45600</v>
      </c>
      <c r="C104" s="540"/>
      <c r="D104" s="540">
        <v>3800</v>
      </c>
      <c r="E104" s="540">
        <f>D104</f>
        <v>3800</v>
      </c>
      <c r="F104" s="540">
        <f>E104</f>
        <v>3800</v>
      </c>
      <c r="G104" s="540">
        <f t="shared" ref="G104:O104" si="33">F104</f>
        <v>3800</v>
      </c>
      <c r="H104" s="540">
        <f t="shared" si="33"/>
        <v>3800</v>
      </c>
      <c r="I104" s="540">
        <f t="shared" si="33"/>
        <v>3800</v>
      </c>
      <c r="J104" s="540">
        <f t="shared" si="33"/>
        <v>3800</v>
      </c>
      <c r="K104" s="540">
        <f t="shared" si="33"/>
        <v>3800</v>
      </c>
      <c r="L104" s="540">
        <f t="shared" si="33"/>
        <v>3800</v>
      </c>
      <c r="M104" s="540">
        <f t="shared" si="33"/>
        <v>3800</v>
      </c>
      <c r="N104" s="540">
        <f t="shared" si="33"/>
        <v>3800</v>
      </c>
      <c r="O104" s="540">
        <f t="shared" si="33"/>
        <v>3800</v>
      </c>
    </row>
    <row r="105" spans="1:15" x14ac:dyDescent="0.25">
      <c r="A105" s="533" t="s">
        <v>136</v>
      </c>
      <c r="B105" s="540">
        <f>SUM(D105:O105)</f>
        <v>4600</v>
      </c>
      <c r="C105" s="540"/>
      <c r="D105" s="540"/>
      <c r="E105" s="540"/>
      <c r="F105" s="540"/>
      <c r="G105" s="540"/>
      <c r="H105" s="540"/>
      <c r="I105" s="540"/>
      <c r="J105" s="540"/>
      <c r="K105" s="540"/>
      <c r="L105" s="540"/>
      <c r="M105" s="540"/>
      <c r="N105" s="540">
        <v>2300</v>
      </c>
      <c r="O105" s="540">
        <v>2300</v>
      </c>
    </row>
    <row r="106" spans="1:15" x14ac:dyDescent="0.25">
      <c r="A106" s="533" t="s">
        <v>137</v>
      </c>
      <c r="B106" s="540">
        <f t="shared" ref="B106:B110" si="34">SUM(D106:O106)</f>
        <v>16339.131000000005</v>
      </c>
      <c r="C106" s="540"/>
      <c r="D106" s="540">
        <v>1312.38</v>
      </c>
      <c r="E106" s="540">
        <v>1312.38</v>
      </c>
      <c r="F106" s="540">
        <v>1312.38</v>
      </c>
      <c r="G106" s="540">
        <v>1312.38</v>
      </c>
      <c r="H106" s="540">
        <v>1312.38</v>
      </c>
      <c r="I106" s="540">
        <v>1312.38</v>
      </c>
      <c r="J106" s="540">
        <v>1312.38</v>
      </c>
      <c r="K106" s="540">
        <v>1312.38</v>
      </c>
      <c r="L106" s="540">
        <v>1312.38</v>
      </c>
      <c r="M106" s="541">
        <f>L106*[2]Premissas!B4+'Orçamento 2026'!K106</f>
        <v>1509.2370000000001</v>
      </c>
      <c r="N106" s="540">
        <f>M106</f>
        <v>1509.2370000000001</v>
      </c>
      <c r="O106" s="540">
        <f>N106</f>
        <v>1509.2370000000001</v>
      </c>
    </row>
    <row r="107" spans="1:15" s="548" customFormat="1" x14ac:dyDescent="0.25">
      <c r="A107" s="533" t="s">
        <v>138</v>
      </c>
      <c r="B107" s="540">
        <f t="shared" si="34"/>
        <v>350</v>
      </c>
      <c r="C107" s="540"/>
      <c r="D107" s="540"/>
      <c r="E107" s="540">
        <v>350</v>
      </c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</row>
    <row r="108" spans="1:15" s="548" customFormat="1" x14ac:dyDescent="0.25">
      <c r="A108" s="533" t="s">
        <v>139</v>
      </c>
      <c r="B108" s="540">
        <f t="shared" ref="B108" si="35">SUM(D108:O108)</f>
        <v>0</v>
      </c>
      <c r="C108" s="540"/>
      <c r="D108" s="540"/>
      <c r="E108" s="540"/>
      <c r="F108" s="540"/>
      <c r="G108" s="540"/>
      <c r="H108" s="540"/>
      <c r="I108" s="540"/>
      <c r="J108" s="540"/>
      <c r="K108" s="540"/>
      <c r="L108" s="540"/>
      <c r="M108" s="540"/>
      <c r="N108" s="540"/>
      <c r="O108" s="540"/>
    </row>
    <row r="109" spans="1:15" s="532" customFormat="1" x14ac:dyDescent="0.25">
      <c r="A109" s="533" t="s">
        <v>140</v>
      </c>
      <c r="B109" s="540">
        <f t="shared" si="34"/>
        <v>12170.400000000001</v>
      </c>
      <c r="C109" s="540"/>
      <c r="D109" s="540">
        <f>46.1*22</f>
        <v>1014.2</v>
      </c>
      <c r="E109" s="540">
        <f t="shared" ref="E109:O109" si="36">46.1*22</f>
        <v>1014.2</v>
      </c>
      <c r="F109" s="540">
        <f t="shared" si="36"/>
        <v>1014.2</v>
      </c>
      <c r="G109" s="540">
        <f t="shared" si="36"/>
        <v>1014.2</v>
      </c>
      <c r="H109" s="540">
        <f t="shared" si="36"/>
        <v>1014.2</v>
      </c>
      <c r="I109" s="540">
        <f t="shared" si="36"/>
        <v>1014.2</v>
      </c>
      <c r="J109" s="540">
        <f t="shared" si="36"/>
        <v>1014.2</v>
      </c>
      <c r="K109" s="540">
        <f t="shared" si="36"/>
        <v>1014.2</v>
      </c>
      <c r="L109" s="540">
        <f t="shared" si="36"/>
        <v>1014.2</v>
      </c>
      <c r="M109" s="540">
        <f t="shared" si="36"/>
        <v>1014.2</v>
      </c>
      <c r="N109" s="540">
        <f t="shared" si="36"/>
        <v>1014.2</v>
      </c>
      <c r="O109" s="540">
        <f t="shared" si="36"/>
        <v>1014.2</v>
      </c>
    </row>
    <row r="110" spans="1:15" x14ac:dyDescent="0.25">
      <c r="A110" s="533" t="s">
        <v>89</v>
      </c>
      <c r="B110" s="540">
        <f t="shared" si="34"/>
        <v>3600</v>
      </c>
      <c r="C110" s="540"/>
      <c r="D110" s="540">
        <v>300</v>
      </c>
      <c r="E110" s="540">
        <v>300</v>
      </c>
      <c r="F110" s="540">
        <v>300</v>
      </c>
      <c r="G110" s="540">
        <v>300</v>
      </c>
      <c r="H110" s="540">
        <v>300</v>
      </c>
      <c r="I110" s="540">
        <v>300</v>
      </c>
      <c r="J110" s="540">
        <v>300</v>
      </c>
      <c r="K110" s="540">
        <v>300</v>
      </c>
      <c r="L110" s="540">
        <v>300</v>
      </c>
      <c r="M110" s="540">
        <v>300</v>
      </c>
      <c r="N110" s="540">
        <v>300</v>
      </c>
      <c r="O110" s="540">
        <v>300</v>
      </c>
    </row>
    <row r="111" spans="1:15" s="532" customFormat="1" x14ac:dyDescent="0.25">
      <c r="A111" s="549" t="s">
        <v>141</v>
      </c>
      <c r="B111" s="537">
        <f>SUM(B112:B120)</f>
        <v>91084.465233333322</v>
      </c>
      <c r="C111" s="537"/>
      <c r="D111" s="537">
        <f t="shared" ref="D111:O111" si="37">SUM(D112:D120)</f>
        <v>2996.8033333333333</v>
      </c>
      <c r="E111" s="544">
        <f t="shared" si="37"/>
        <v>2996.8033333333333</v>
      </c>
      <c r="F111" s="544">
        <f t="shared" si="37"/>
        <v>14690.386666666667</v>
      </c>
      <c r="G111" s="544">
        <f t="shared" si="37"/>
        <v>14690.386666666667</v>
      </c>
      <c r="H111" s="544">
        <f t="shared" si="37"/>
        <v>14695.336666666666</v>
      </c>
      <c r="I111" s="544">
        <f t="shared" si="37"/>
        <v>3001.336666666667</v>
      </c>
      <c r="J111" s="544">
        <f t="shared" si="37"/>
        <v>5655.4485666666678</v>
      </c>
      <c r="K111" s="544">
        <f t="shared" si="37"/>
        <v>5691.5826666666671</v>
      </c>
      <c r="L111" s="544">
        <f t="shared" si="37"/>
        <v>5691.5826666666671</v>
      </c>
      <c r="M111" s="544">
        <f t="shared" si="37"/>
        <v>9791.6326666666664</v>
      </c>
      <c r="N111" s="544">
        <f t="shared" si="37"/>
        <v>5491.5826666666671</v>
      </c>
      <c r="O111" s="544">
        <f t="shared" si="37"/>
        <v>5691.5826666666671</v>
      </c>
    </row>
    <row r="112" spans="1:15" s="614" customFormat="1" x14ac:dyDescent="0.25">
      <c r="A112" s="539" t="s">
        <v>142</v>
      </c>
      <c r="B112" s="613">
        <f>SUM(D112:O112)</f>
        <v>2508</v>
      </c>
      <c r="C112" s="613"/>
      <c r="D112" s="613">
        <f>200*[2]Premissas!B3+200</f>
        <v>209</v>
      </c>
      <c r="E112" s="613">
        <f>D112</f>
        <v>209</v>
      </c>
      <c r="F112" s="613">
        <f t="shared" ref="F112:O112" si="38">E112</f>
        <v>209</v>
      </c>
      <c r="G112" s="613">
        <f t="shared" si="38"/>
        <v>209</v>
      </c>
      <c r="H112" s="613">
        <f t="shared" si="38"/>
        <v>209</v>
      </c>
      <c r="I112" s="613">
        <f t="shared" si="38"/>
        <v>209</v>
      </c>
      <c r="J112" s="613">
        <f t="shared" si="38"/>
        <v>209</v>
      </c>
      <c r="K112" s="613">
        <f t="shared" si="38"/>
        <v>209</v>
      </c>
      <c r="L112" s="613">
        <f t="shared" si="38"/>
        <v>209</v>
      </c>
      <c r="M112" s="613">
        <f t="shared" si="38"/>
        <v>209</v>
      </c>
      <c r="N112" s="613">
        <f t="shared" si="38"/>
        <v>209</v>
      </c>
      <c r="O112" s="613">
        <f t="shared" si="38"/>
        <v>209</v>
      </c>
    </row>
    <row r="113" spans="1:15" s="618" customFormat="1" x14ac:dyDescent="0.25">
      <c r="A113" s="552" t="s">
        <v>143</v>
      </c>
      <c r="B113" s="617">
        <f>SUM(D113:O113)</f>
        <v>1500</v>
      </c>
      <c r="C113" s="617"/>
      <c r="D113" s="617"/>
      <c r="E113" s="617"/>
      <c r="F113" s="617"/>
      <c r="G113" s="617"/>
      <c r="H113" s="617"/>
      <c r="I113" s="617"/>
      <c r="J113" s="617"/>
      <c r="K113" s="617"/>
      <c r="L113" s="617"/>
      <c r="M113" s="617">
        <v>1500</v>
      </c>
      <c r="N113" s="617"/>
      <c r="O113" s="617"/>
    </row>
    <row r="114" spans="1:15" s="622" customFormat="1" x14ac:dyDescent="0.25">
      <c r="A114" s="553" t="s">
        <v>144</v>
      </c>
      <c r="B114" s="621">
        <f t="shared" ref="B114:B123" si="39">SUM(D114:O114)</f>
        <v>0</v>
      </c>
      <c r="C114" s="621"/>
      <c r="D114" s="621"/>
      <c r="E114" s="621"/>
      <c r="F114" s="621"/>
      <c r="G114" s="621"/>
      <c r="H114" s="621"/>
      <c r="I114" s="621"/>
      <c r="J114" s="621"/>
      <c r="K114" s="621"/>
      <c r="L114" s="621"/>
      <c r="M114" s="621"/>
      <c r="N114" s="621"/>
      <c r="O114" s="621"/>
    </row>
    <row r="115" spans="1:15" x14ac:dyDescent="0.25">
      <c r="A115" s="547" t="s">
        <v>145</v>
      </c>
      <c r="B115" s="540">
        <f t="shared" si="39"/>
        <v>2159.65</v>
      </c>
      <c r="C115" s="540"/>
      <c r="D115" s="540">
        <f>110</f>
        <v>110</v>
      </c>
      <c r="E115" s="540">
        <f>110</f>
        <v>110</v>
      </c>
      <c r="F115" s="540">
        <f>110</f>
        <v>110</v>
      </c>
      <c r="G115" s="540">
        <f>110</f>
        <v>110</v>
      </c>
      <c r="H115" s="541">
        <f>110*[2]Premissas!B3+110</f>
        <v>114.95</v>
      </c>
      <c r="I115" s="540">
        <f>H115</f>
        <v>114.95</v>
      </c>
      <c r="J115" s="540">
        <f t="shared" ref="J115:L115" si="40">I115</f>
        <v>114.95</v>
      </c>
      <c r="K115" s="540">
        <f t="shared" si="40"/>
        <v>114.95</v>
      </c>
      <c r="L115" s="540">
        <f t="shared" si="40"/>
        <v>114.95</v>
      </c>
      <c r="M115" s="541">
        <f>115+800</f>
        <v>915</v>
      </c>
      <c r="N115" s="540">
        <f>L115</f>
        <v>114.95</v>
      </c>
      <c r="O115" s="540">
        <f>L115</f>
        <v>114.95</v>
      </c>
    </row>
    <row r="116" spans="1:15" s="614" customFormat="1" x14ac:dyDescent="0.25">
      <c r="A116" s="539" t="s">
        <v>146</v>
      </c>
      <c r="B116" s="613">
        <f t="shared" si="39"/>
        <v>16602.215249999997</v>
      </c>
      <c r="C116" s="613"/>
      <c r="D116" s="613">
        <f>(1204.47/3)</f>
        <v>401.49</v>
      </c>
      <c r="E116" s="613">
        <f t="shared" ref="E116:J116" si="41">(1204.47/3)</f>
        <v>401.49</v>
      </c>
      <c r="F116" s="613">
        <f>(1204.47/3)+(11694/3)</f>
        <v>4299.49</v>
      </c>
      <c r="G116" s="613">
        <f t="shared" ref="G116:H116" si="42">(1204.47/3)+(11694/3)</f>
        <v>4299.49</v>
      </c>
      <c r="H116" s="613">
        <f t="shared" si="42"/>
        <v>4299.49</v>
      </c>
      <c r="I116" s="613">
        <f t="shared" si="41"/>
        <v>401.49</v>
      </c>
      <c r="J116" s="613">
        <f t="shared" si="41"/>
        <v>401.49</v>
      </c>
      <c r="K116" s="613">
        <f>(1204.47/3)*[2]Premissas!$B$3+'Orçamento 2026'!J116</f>
        <v>419.55705</v>
      </c>
      <c r="L116" s="613">
        <f>K116</f>
        <v>419.55705</v>
      </c>
      <c r="M116" s="613">
        <f t="shared" ref="M116:O116" si="43">L116</f>
        <v>419.55705</v>
      </c>
      <c r="N116" s="613">
        <f t="shared" si="43"/>
        <v>419.55705</v>
      </c>
      <c r="O116" s="613">
        <f t="shared" si="43"/>
        <v>419.55705</v>
      </c>
    </row>
    <row r="117" spans="1:15" s="618" customFormat="1" x14ac:dyDescent="0.25">
      <c r="A117" s="552" t="s">
        <v>147</v>
      </c>
      <c r="B117" s="617">
        <f t="shared" si="39"/>
        <v>31787.713333333326</v>
      </c>
      <c r="C117" s="617"/>
      <c r="D117" s="617">
        <f>(1204.47/3)+(15280/12)</f>
        <v>1674.8233333333333</v>
      </c>
      <c r="E117" s="617">
        <f>(1204.47/3)+(15280/12)</f>
        <v>1674.8233333333333</v>
      </c>
      <c r="F117" s="617">
        <f>(1204.47/3)+(11694/3)+(15275/12)</f>
        <v>5572.4066666666668</v>
      </c>
      <c r="G117" s="617">
        <f t="shared" ref="G117:H117" si="44">(1204.47/3)+(11694/3)+(15275/12)</f>
        <v>5572.4066666666668</v>
      </c>
      <c r="H117" s="617">
        <f t="shared" si="44"/>
        <v>5572.4066666666668</v>
      </c>
      <c r="I117" s="617">
        <f>(1204.47/3)+(15275/12)</f>
        <v>1674.4066666666668</v>
      </c>
      <c r="J117" s="617">
        <f t="shared" ref="J117:O117" si="45">(1204.47/3)+(15275/12)</f>
        <v>1674.4066666666668</v>
      </c>
      <c r="K117" s="617">
        <f t="shared" si="45"/>
        <v>1674.4066666666668</v>
      </c>
      <c r="L117" s="617">
        <f t="shared" si="45"/>
        <v>1674.4066666666668</v>
      </c>
      <c r="M117" s="617">
        <f t="shared" si="45"/>
        <v>1674.4066666666668</v>
      </c>
      <c r="N117" s="617">
        <f t="shared" si="45"/>
        <v>1674.4066666666668</v>
      </c>
      <c r="O117" s="617">
        <f t="shared" si="45"/>
        <v>1674.4066666666668</v>
      </c>
    </row>
    <row r="118" spans="1:15" s="622" customFormat="1" x14ac:dyDescent="0.25">
      <c r="A118" s="553" t="s">
        <v>148</v>
      </c>
      <c r="B118" s="621">
        <f t="shared" si="39"/>
        <v>18602.215249999997</v>
      </c>
      <c r="C118" s="621"/>
      <c r="D118" s="621">
        <f t="shared" ref="D118:J118" si="46">(1204.47/3)</f>
        <v>401.49</v>
      </c>
      <c r="E118" s="621">
        <f t="shared" si="46"/>
        <v>401.49</v>
      </c>
      <c r="F118" s="621">
        <f t="shared" ref="F118:H118" si="47">(1204.47/3)+(11694/3)</f>
        <v>4299.49</v>
      </c>
      <c r="G118" s="621">
        <f t="shared" si="47"/>
        <v>4299.49</v>
      </c>
      <c r="H118" s="621">
        <f t="shared" si="47"/>
        <v>4299.49</v>
      </c>
      <c r="I118" s="621">
        <f t="shared" si="46"/>
        <v>401.49</v>
      </c>
      <c r="J118" s="621">
        <f t="shared" si="46"/>
        <v>401.49</v>
      </c>
      <c r="K118" s="621">
        <f>(1204.47/3)*[2]Premissas!$B$3+'Orçamento 2026'!J118</f>
        <v>419.55705</v>
      </c>
      <c r="L118" s="621">
        <f t="shared" ref="L118:O118" si="48">K118</f>
        <v>419.55705</v>
      </c>
      <c r="M118" s="621">
        <f>L118+2000</f>
        <v>2419.5570499999999</v>
      </c>
      <c r="N118" s="621">
        <f>L118</f>
        <v>419.55705</v>
      </c>
      <c r="O118" s="621">
        <f t="shared" si="48"/>
        <v>419.55705</v>
      </c>
    </row>
    <row r="119" spans="1:15" x14ac:dyDescent="0.25">
      <c r="A119" s="533" t="s">
        <v>149</v>
      </c>
      <c r="B119" s="540">
        <f t="shared" si="39"/>
        <v>0</v>
      </c>
      <c r="C119" s="540"/>
      <c r="D119" s="540"/>
      <c r="E119" s="540"/>
      <c r="F119" s="540"/>
      <c r="G119" s="540"/>
      <c r="H119" s="540"/>
      <c r="I119" s="540"/>
      <c r="J119" s="540"/>
      <c r="K119" s="540"/>
      <c r="L119" s="540"/>
      <c r="M119" s="540"/>
      <c r="N119" s="540"/>
      <c r="O119" s="540"/>
    </row>
    <row r="120" spans="1:15" s="532" customFormat="1" x14ac:dyDescent="0.25">
      <c r="A120" s="547" t="s">
        <v>150</v>
      </c>
      <c r="B120" s="540">
        <f t="shared" si="39"/>
        <v>17924.671400000003</v>
      </c>
      <c r="C120" s="540"/>
      <c r="D120" s="540">
        <v>200</v>
      </c>
      <c r="E120" s="540">
        <v>200</v>
      </c>
      <c r="F120" s="540">
        <v>200</v>
      </c>
      <c r="G120" s="540">
        <v>200</v>
      </c>
      <c r="H120" s="540">
        <v>200</v>
      </c>
      <c r="I120" s="540">
        <v>200</v>
      </c>
      <c r="J120" s="540">
        <f>(2539.82*[2]Premissas!B3+2539.82)+200</f>
        <v>2854.1119000000003</v>
      </c>
      <c r="K120" s="540">
        <f>J120</f>
        <v>2854.1119000000003</v>
      </c>
      <c r="L120" s="540">
        <f t="shared" ref="L120:N120" si="49">K120</f>
        <v>2854.1119000000003</v>
      </c>
      <c r="M120" s="540">
        <f>L120-200</f>
        <v>2654.1119000000003</v>
      </c>
      <c r="N120" s="540">
        <f t="shared" si="49"/>
        <v>2654.1119000000003</v>
      </c>
      <c r="O120" s="540">
        <f>N120+200</f>
        <v>2854.1119000000003</v>
      </c>
    </row>
    <row r="121" spans="1:15" s="532" customFormat="1" x14ac:dyDescent="0.25">
      <c r="A121" s="530" t="s">
        <v>151</v>
      </c>
      <c r="B121" s="540">
        <f t="shared" si="39"/>
        <v>0</v>
      </c>
      <c r="C121" s="537"/>
      <c r="D121" s="537">
        <f>SUM(D122:D123)</f>
        <v>0</v>
      </c>
      <c r="E121" s="544">
        <f>SUM(E122:E123)</f>
        <v>0</v>
      </c>
      <c r="F121" s="544">
        <f t="shared" ref="F121:O121" si="50">SUM(F122:F123)</f>
        <v>0</v>
      </c>
      <c r="G121" s="544">
        <f t="shared" si="50"/>
        <v>0</v>
      </c>
      <c r="H121" s="544">
        <f t="shared" si="50"/>
        <v>0</v>
      </c>
      <c r="I121" s="544">
        <f t="shared" si="50"/>
        <v>0</v>
      </c>
      <c r="J121" s="544">
        <f t="shared" si="50"/>
        <v>0</v>
      </c>
      <c r="K121" s="544">
        <f t="shared" si="50"/>
        <v>0</v>
      </c>
      <c r="L121" s="544">
        <f t="shared" si="50"/>
        <v>0</v>
      </c>
      <c r="M121" s="544">
        <f t="shared" si="50"/>
        <v>0</v>
      </c>
      <c r="N121" s="544">
        <f t="shared" si="50"/>
        <v>0</v>
      </c>
      <c r="O121" s="544">
        <f t="shared" si="50"/>
        <v>0</v>
      </c>
    </row>
    <row r="122" spans="1:15" s="545" customFormat="1" x14ac:dyDescent="0.25">
      <c r="A122" s="533" t="s">
        <v>152</v>
      </c>
      <c r="B122" s="540">
        <f t="shared" si="39"/>
        <v>0</v>
      </c>
      <c r="C122" s="540"/>
      <c r="D122" s="540"/>
      <c r="E122" s="542"/>
      <c r="F122" s="542"/>
      <c r="G122" s="542"/>
      <c r="H122" s="543"/>
      <c r="I122" s="543"/>
      <c r="J122" s="543"/>
      <c r="K122" s="543"/>
      <c r="L122" s="543"/>
      <c r="M122" s="543"/>
      <c r="N122" s="543"/>
      <c r="O122" s="543"/>
    </row>
    <row r="123" spans="1:15" s="532" customFormat="1" x14ac:dyDescent="0.25">
      <c r="A123" s="533" t="s">
        <v>153</v>
      </c>
      <c r="B123" s="540">
        <f t="shared" si="39"/>
        <v>0</v>
      </c>
      <c r="C123" s="540"/>
      <c r="D123" s="540"/>
      <c r="E123" s="542"/>
      <c r="F123" s="542"/>
      <c r="G123" s="542"/>
      <c r="H123" s="543"/>
      <c r="I123" s="543"/>
      <c r="J123" s="543"/>
      <c r="K123" s="543"/>
      <c r="L123" s="543"/>
      <c r="M123" s="543"/>
      <c r="N123" s="543"/>
      <c r="O123" s="543"/>
    </row>
    <row r="124" spans="1:15" s="532" customFormat="1" x14ac:dyDescent="0.25">
      <c r="A124" s="530" t="s">
        <v>154</v>
      </c>
      <c r="B124" s="537">
        <f>D124+E124+F124+G124+H124+I124+J124+K124+L124+M124+N124+O124</f>
        <v>96000</v>
      </c>
      <c r="C124" s="537"/>
      <c r="D124" s="544">
        <f t="shared" ref="D124:O124" si="51">SUM(D126:D144)</f>
        <v>4500</v>
      </c>
      <c r="E124" s="544">
        <f t="shared" si="51"/>
        <v>4500</v>
      </c>
      <c r="F124" s="544">
        <f t="shared" si="51"/>
        <v>6000</v>
      </c>
      <c r="G124" s="544">
        <f t="shared" si="51"/>
        <v>6000</v>
      </c>
      <c r="H124" s="544">
        <f t="shared" si="51"/>
        <v>6000</v>
      </c>
      <c r="I124" s="544">
        <f t="shared" si="51"/>
        <v>7500</v>
      </c>
      <c r="J124" s="544">
        <f t="shared" si="51"/>
        <v>4500</v>
      </c>
      <c r="K124" s="544">
        <f t="shared" si="51"/>
        <v>6000</v>
      </c>
      <c r="L124" s="544">
        <f t="shared" si="51"/>
        <v>6000</v>
      </c>
      <c r="M124" s="544">
        <f t="shared" si="51"/>
        <v>6000</v>
      </c>
      <c r="N124" s="544">
        <f t="shared" si="51"/>
        <v>4500</v>
      </c>
      <c r="O124" s="544">
        <f t="shared" si="51"/>
        <v>34500</v>
      </c>
    </row>
    <row r="125" spans="1:15" x14ac:dyDescent="0.25">
      <c r="A125" s="533" t="s">
        <v>155</v>
      </c>
      <c r="B125" s="540">
        <f>SUM(D125:O125)</f>
        <v>0</v>
      </c>
      <c r="C125" s="540"/>
      <c r="D125" s="540"/>
      <c r="E125" s="540"/>
      <c r="F125" s="542"/>
      <c r="G125" s="542"/>
      <c r="H125" s="543"/>
      <c r="I125" s="543"/>
      <c r="J125" s="543"/>
      <c r="K125" s="543"/>
      <c r="L125" s="543"/>
      <c r="M125" s="543"/>
      <c r="N125" s="543"/>
      <c r="O125" s="543"/>
    </row>
    <row r="126" spans="1:15" s="622" customFormat="1" x14ac:dyDescent="0.25">
      <c r="A126" s="553" t="s">
        <v>156</v>
      </c>
      <c r="B126" s="621">
        <f t="shared" ref="B126:B144" si="52">SUM(D126:O126)</f>
        <v>18000</v>
      </c>
      <c r="C126" s="621"/>
      <c r="D126" s="623">
        <f>500*3</f>
        <v>1500</v>
      </c>
      <c r="E126" s="623">
        <f t="shared" ref="E126:O126" si="53">500*3</f>
        <v>1500</v>
      </c>
      <c r="F126" s="623">
        <f t="shared" si="53"/>
        <v>1500</v>
      </c>
      <c r="G126" s="623">
        <f t="shared" si="53"/>
        <v>1500</v>
      </c>
      <c r="H126" s="623">
        <f t="shared" si="53"/>
        <v>1500</v>
      </c>
      <c r="I126" s="623">
        <f t="shared" si="53"/>
        <v>1500</v>
      </c>
      <c r="J126" s="623">
        <f t="shared" si="53"/>
        <v>1500</v>
      </c>
      <c r="K126" s="623">
        <f t="shared" si="53"/>
        <v>1500</v>
      </c>
      <c r="L126" s="623">
        <f t="shared" si="53"/>
        <v>1500</v>
      </c>
      <c r="M126" s="623">
        <f t="shared" si="53"/>
        <v>1500</v>
      </c>
      <c r="N126" s="623">
        <f t="shared" si="53"/>
        <v>1500</v>
      </c>
      <c r="O126" s="623">
        <f t="shared" si="53"/>
        <v>1500</v>
      </c>
    </row>
    <row r="127" spans="1:15" s="614" customFormat="1" x14ac:dyDescent="0.25">
      <c r="A127" s="539" t="s">
        <v>157</v>
      </c>
      <c r="B127" s="613">
        <f t="shared" si="52"/>
        <v>18000</v>
      </c>
      <c r="C127" s="613"/>
      <c r="D127" s="615">
        <f t="shared" ref="D127:O128" si="54">500*3</f>
        <v>1500</v>
      </c>
      <c r="E127" s="615">
        <f t="shared" si="54"/>
        <v>1500</v>
      </c>
      <c r="F127" s="615">
        <f t="shared" si="54"/>
        <v>1500</v>
      </c>
      <c r="G127" s="615">
        <f t="shared" si="54"/>
        <v>1500</v>
      </c>
      <c r="H127" s="615">
        <f t="shared" si="54"/>
        <v>1500</v>
      </c>
      <c r="I127" s="615">
        <f t="shared" si="54"/>
        <v>1500</v>
      </c>
      <c r="J127" s="615">
        <f t="shared" si="54"/>
        <v>1500</v>
      </c>
      <c r="K127" s="615">
        <f t="shared" si="54"/>
        <v>1500</v>
      </c>
      <c r="L127" s="615">
        <f t="shared" si="54"/>
        <v>1500</v>
      </c>
      <c r="M127" s="615">
        <f t="shared" si="54"/>
        <v>1500</v>
      </c>
      <c r="N127" s="615">
        <f t="shared" si="54"/>
        <v>1500</v>
      </c>
      <c r="O127" s="615">
        <f t="shared" si="54"/>
        <v>1500</v>
      </c>
    </row>
    <row r="128" spans="1:15" s="552" customFormat="1" x14ac:dyDescent="0.25">
      <c r="A128" s="552" t="s">
        <v>158</v>
      </c>
      <c r="B128" s="617">
        <f t="shared" si="52"/>
        <v>18000</v>
      </c>
      <c r="C128" s="617"/>
      <c r="D128" s="619">
        <f t="shared" si="54"/>
        <v>1500</v>
      </c>
      <c r="E128" s="619">
        <f t="shared" si="54"/>
        <v>1500</v>
      </c>
      <c r="F128" s="619">
        <f t="shared" si="54"/>
        <v>1500</v>
      </c>
      <c r="G128" s="619">
        <f t="shared" si="54"/>
        <v>1500</v>
      </c>
      <c r="H128" s="619">
        <f t="shared" si="54"/>
        <v>1500</v>
      </c>
      <c r="I128" s="619">
        <f t="shared" si="54"/>
        <v>1500</v>
      </c>
      <c r="J128" s="619">
        <f t="shared" si="54"/>
        <v>1500</v>
      </c>
      <c r="K128" s="619">
        <f t="shared" si="54"/>
        <v>1500</v>
      </c>
      <c r="L128" s="619">
        <f t="shared" si="54"/>
        <v>1500</v>
      </c>
      <c r="M128" s="619">
        <f t="shared" si="54"/>
        <v>1500</v>
      </c>
      <c r="N128" s="619">
        <f t="shared" si="54"/>
        <v>1500</v>
      </c>
      <c r="O128" s="619">
        <f t="shared" si="54"/>
        <v>1500</v>
      </c>
    </row>
    <row r="129" spans="1:15" s="524" customFormat="1" x14ac:dyDescent="0.25">
      <c r="A129" s="533" t="s">
        <v>159</v>
      </c>
      <c r="B129" s="540">
        <f t="shared" si="52"/>
        <v>0</v>
      </c>
      <c r="C129" s="540"/>
      <c r="D129" s="540"/>
      <c r="E129" s="540"/>
      <c r="F129" s="542"/>
      <c r="G129" s="542"/>
      <c r="H129" s="543"/>
      <c r="I129" s="543"/>
      <c r="J129" s="543"/>
      <c r="K129" s="543"/>
      <c r="L129" s="543"/>
      <c r="M129" s="543"/>
      <c r="N129" s="543"/>
      <c r="O129" s="543"/>
    </row>
    <row r="130" spans="1:15" s="553" customFormat="1" x14ac:dyDescent="0.25">
      <c r="A130" s="553" t="s">
        <v>160</v>
      </c>
      <c r="B130" s="621">
        <f t="shared" si="52"/>
        <v>0</v>
      </c>
      <c r="C130" s="621"/>
      <c r="D130" s="621"/>
      <c r="E130" s="621"/>
      <c r="F130" s="623"/>
      <c r="G130" s="623"/>
      <c r="H130" s="624"/>
      <c r="I130" s="624"/>
      <c r="J130" s="624"/>
      <c r="K130" s="624"/>
      <c r="L130" s="624"/>
      <c r="M130" s="624"/>
      <c r="N130" s="624"/>
      <c r="O130" s="624"/>
    </row>
    <row r="131" spans="1:15" s="539" customFormat="1" x14ac:dyDescent="0.25">
      <c r="A131" s="539" t="s">
        <v>161</v>
      </c>
      <c r="B131" s="613">
        <f t="shared" si="52"/>
        <v>0</v>
      </c>
      <c r="C131" s="613"/>
      <c r="D131" s="613"/>
      <c r="E131" s="613"/>
      <c r="F131" s="615"/>
      <c r="G131" s="615"/>
      <c r="H131" s="616"/>
      <c r="I131" s="616"/>
      <c r="J131" s="616"/>
      <c r="K131" s="616"/>
      <c r="L131" s="616"/>
      <c r="M131" s="616"/>
      <c r="N131" s="616"/>
      <c r="O131" s="616"/>
    </row>
    <row r="132" spans="1:15" s="552" customFormat="1" x14ac:dyDescent="0.25">
      <c r="A132" s="552" t="s">
        <v>162</v>
      </c>
      <c r="B132" s="617">
        <f t="shared" si="52"/>
        <v>0</v>
      </c>
      <c r="C132" s="617"/>
      <c r="D132" s="617"/>
      <c r="E132" s="617"/>
      <c r="F132" s="619"/>
      <c r="G132" s="619"/>
      <c r="H132" s="620"/>
      <c r="I132" s="620"/>
      <c r="J132" s="620"/>
      <c r="K132" s="620"/>
      <c r="L132" s="620"/>
      <c r="M132" s="620"/>
      <c r="N132" s="620"/>
      <c r="O132" s="620"/>
    </row>
    <row r="133" spans="1:15" s="524" customFormat="1" x14ac:dyDescent="0.25">
      <c r="A133" s="533" t="s">
        <v>163</v>
      </c>
      <c r="B133" s="540">
        <f t="shared" si="52"/>
        <v>30000</v>
      </c>
      <c r="C133" s="540"/>
      <c r="D133" s="540"/>
      <c r="E133" s="540"/>
      <c r="F133" s="542"/>
      <c r="G133" s="542"/>
      <c r="H133" s="543"/>
      <c r="I133" s="543"/>
      <c r="J133" s="543"/>
      <c r="K133" s="543"/>
      <c r="L133" s="543"/>
      <c r="M133" s="543"/>
      <c r="N133" s="540"/>
      <c r="O133" s="543">
        <v>30000</v>
      </c>
    </row>
    <row r="134" spans="1:15" s="553" customFormat="1" x14ac:dyDescent="0.25">
      <c r="A134" s="553" t="s">
        <v>164</v>
      </c>
      <c r="B134" s="621">
        <f t="shared" si="52"/>
        <v>3000</v>
      </c>
      <c r="C134" s="621"/>
      <c r="D134" s="621"/>
      <c r="E134" s="621"/>
      <c r="F134" s="623">
        <v>1500</v>
      </c>
      <c r="G134" s="623"/>
      <c r="H134" s="624"/>
      <c r="I134" s="624"/>
      <c r="J134" s="624"/>
      <c r="K134" s="623">
        <v>1500</v>
      </c>
      <c r="L134" s="623"/>
      <c r="M134" s="624"/>
      <c r="N134" s="624"/>
      <c r="O134" s="624"/>
    </row>
    <row r="135" spans="1:15" s="539" customFormat="1" x14ac:dyDescent="0.25">
      <c r="A135" s="539" t="s">
        <v>165</v>
      </c>
      <c r="B135" s="613">
        <f t="shared" si="52"/>
        <v>3000</v>
      </c>
      <c r="C135" s="613"/>
      <c r="D135" s="613"/>
      <c r="E135" s="613"/>
      <c r="F135" s="615"/>
      <c r="G135" s="615">
        <v>1500</v>
      </c>
      <c r="H135" s="616"/>
      <c r="I135" s="616"/>
      <c r="J135" s="616"/>
      <c r="K135" s="615"/>
      <c r="L135" s="615">
        <v>1500</v>
      </c>
      <c r="M135" s="616"/>
      <c r="N135" s="616"/>
      <c r="O135" s="616"/>
    </row>
    <row r="136" spans="1:15" s="552" customFormat="1" x14ac:dyDescent="0.25">
      <c r="A136" s="552" t="s">
        <v>166</v>
      </c>
      <c r="B136" s="617">
        <f t="shared" si="52"/>
        <v>3000</v>
      </c>
      <c r="C136" s="617"/>
      <c r="D136" s="617"/>
      <c r="E136" s="617"/>
      <c r="F136" s="619"/>
      <c r="G136" s="619"/>
      <c r="H136" s="620">
        <v>1500</v>
      </c>
      <c r="I136" s="620"/>
      <c r="J136" s="620"/>
      <c r="K136" s="619"/>
      <c r="L136" s="619"/>
      <c r="M136" s="620">
        <v>1500</v>
      </c>
      <c r="N136" s="620"/>
      <c r="O136" s="620"/>
    </row>
    <row r="137" spans="1:15" s="524" customFormat="1" x14ac:dyDescent="0.25">
      <c r="A137" s="533" t="s">
        <v>167</v>
      </c>
      <c r="B137" s="540">
        <f t="shared" si="52"/>
        <v>3000</v>
      </c>
      <c r="C137" s="540"/>
      <c r="D137" s="540"/>
      <c r="E137" s="540"/>
      <c r="F137" s="542"/>
      <c r="G137" s="542"/>
      <c r="H137" s="543"/>
      <c r="I137" s="543">
        <v>3000</v>
      </c>
      <c r="J137" s="543"/>
      <c r="K137" s="543"/>
      <c r="L137" s="543"/>
      <c r="M137" s="543"/>
      <c r="N137" s="543"/>
      <c r="O137" s="543"/>
    </row>
    <row r="138" spans="1:15" s="553" customFormat="1" x14ac:dyDescent="0.25">
      <c r="A138" s="553" t="s">
        <v>168</v>
      </c>
      <c r="B138" s="621">
        <f t="shared" si="52"/>
        <v>0</v>
      </c>
      <c r="C138" s="621"/>
      <c r="D138" s="621"/>
      <c r="E138" s="621"/>
      <c r="F138" s="623"/>
      <c r="G138" s="623"/>
      <c r="H138" s="624"/>
      <c r="I138" s="624"/>
      <c r="J138" s="624"/>
      <c r="K138" s="624"/>
      <c r="L138" s="624"/>
      <c r="M138" s="624"/>
      <c r="N138" s="624"/>
      <c r="O138" s="624"/>
    </row>
    <row r="139" spans="1:15" s="539" customFormat="1" x14ac:dyDescent="0.25">
      <c r="A139" s="539" t="s">
        <v>169</v>
      </c>
      <c r="B139" s="613">
        <f t="shared" si="52"/>
        <v>0</v>
      </c>
      <c r="C139" s="613"/>
      <c r="D139" s="613"/>
      <c r="E139" s="613"/>
      <c r="F139" s="615"/>
      <c r="G139" s="615"/>
      <c r="H139" s="616"/>
      <c r="I139" s="616"/>
      <c r="J139" s="616"/>
      <c r="K139" s="616"/>
      <c r="L139" s="616"/>
      <c r="M139" s="616"/>
      <c r="N139" s="616"/>
      <c r="O139" s="616"/>
    </row>
    <row r="140" spans="1:15" s="552" customFormat="1" x14ac:dyDescent="0.25">
      <c r="A140" s="552" t="s">
        <v>170</v>
      </c>
      <c r="B140" s="617">
        <f t="shared" si="52"/>
        <v>0</v>
      </c>
      <c r="C140" s="617"/>
      <c r="D140" s="617"/>
      <c r="E140" s="617"/>
      <c r="F140" s="619"/>
      <c r="G140" s="619"/>
      <c r="H140" s="620"/>
      <c r="I140" s="620"/>
      <c r="J140" s="620"/>
      <c r="K140" s="620"/>
      <c r="L140" s="620"/>
      <c r="M140" s="620"/>
      <c r="N140" s="620"/>
      <c r="O140" s="620"/>
    </row>
    <row r="141" spans="1:15" s="524" customFormat="1" x14ac:dyDescent="0.25">
      <c r="A141" s="547" t="s">
        <v>171</v>
      </c>
      <c r="B141" s="540">
        <f t="shared" si="52"/>
        <v>0</v>
      </c>
      <c r="C141" s="540"/>
      <c r="D141" s="540"/>
      <c r="E141" s="540"/>
      <c r="F141" s="542"/>
      <c r="G141" s="542"/>
      <c r="H141" s="543"/>
      <c r="I141" s="543"/>
      <c r="J141" s="543"/>
      <c r="K141" s="543"/>
      <c r="L141" s="543"/>
      <c r="M141" s="543"/>
      <c r="N141" s="543"/>
      <c r="O141" s="543"/>
    </row>
    <row r="142" spans="1:15" s="553" customFormat="1" x14ac:dyDescent="0.25">
      <c r="A142" s="553" t="s">
        <v>172</v>
      </c>
      <c r="B142" s="621">
        <f t="shared" si="52"/>
        <v>0</v>
      </c>
      <c r="C142" s="621"/>
      <c r="D142" s="621"/>
      <c r="E142" s="621"/>
      <c r="F142" s="621"/>
      <c r="G142" s="621"/>
      <c r="H142" s="621"/>
      <c r="I142" s="621"/>
      <c r="J142" s="621"/>
      <c r="K142" s="621"/>
      <c r="L142" s="621"/>
      <c r="M142" s="621"/>
      <c r="N142" s="621"/>
      <c r="O142" s="621"/>
    </row>
    <row r="143" spans="1:15" s="539" customFormat="1" x14ac:dyDescent="0.25">
      <c r="A143" s="539" t="s">
        <v>173</v>
      </c>
      <c r="B143" s="613">
        <f t="shared" si="52"/>
        <v>0</v>
      </c>
      <c r="C143" s="613"/>
      <c r="D143" s="613"/>
      <c r="E143" s="613"/>
      <c r="F143" s="613"/>
      <c r="G143" s="613"/>
      <c r="H143" s="613"/>
      <c r="I143" s="613"/>
      <c r="J143" s="613"/>
      <c r="K143" s="613"/>
      <c r="L143" s="613"/>
      <c r="M143" s="613"/>
      <c r="N143" s="613"/>
      <c r="O143" s="613"/>
    </row>
    <row r="144" spans="1:15" s="552" customFormat="1" x14ac:dyDescent="0.25">
      <c r="A144" s="552" t="s">
        <v>174</v>
      </c>
      <c r="B144" s="617">
        <f t="shared" si="52"/>
        <v>0</v>
      </c>
      <c r="C144" s="617"/>
      <c r="D144" s="617"/>
      <c r="E144" s="617"/>
      <c r="F144" s="619"/>
      <c r="G144" s="619"/>
      <c r="H144" s="619"/>
      <c r="I144" s="619"/>
      <c r="J144" s="619"/>
      <c r="K144" s="619"/>
      <c r="L144" s="619"/>
      <c r="M144" s="619"/>
      <c r="N144" s="619"/>
      <c r="O144" s="619"/>
    </row>
    <row r="145" spans="1:15" s="532" customFormat="1" x14ac:dyDescent="0.25">
      <c r="A145" s="550" t="s">
        <v>175</v>
      </c>
      <c r="B145" s="537">
        <f>SUM(B146:B150)</f>
        <v>2300</v>
      </c>
      <c r="C145" s="537"/>
      <c r="D145" s="537">
        <f>SUM(D146:D150)</f>
        <v>0</v>
      </c>
      <c r="E145" s="537">
        <f t="shared" ref="E145:O145" si="55">SUM(E146:E150)</f>
        <v>0</v>
      </c>
      <c r="F145" s="537">
        <f t="shared" si="55"/>
        <v>0</v>
      </c>
      <c r="G145" s="537">
        <f t="shared" si="55"/>
        <v>150</v>
      </c>
      <c r="H145" s="537">
        <f t="shared" si="55"/>
        <v>0</v>
      </c>
      <c r="I145" s="537">
        <f t="shared" si="55"/>
        <v>0</v>
      </c>
      <c r="J145" s="537">
        <f t="shared" si="55"/>
        <v>0</v>
      </c>
      <c r="K145" s="537">
        <f t="shared" si="55"/>
        <v>150</v>
      </c>
      <c r="L145" s="537">
        <f t="shared" si="55"/>
        <v>0</v>
      </c>
      <c r="M145" s="537">
        <f t="shared" si="55"/>
        <v>0</v>
      </c>
      <c r="N145" s="537">
        <f t="shared" si="55"/>
        <v>2000</v>
      </c>
      <c r="O145" s="537">
        <f t="shared" si="55"/>
        <v>0</v>
      </c>
    </row>
    <row r="146" spans="1:15" s="553" customFormat="1" x14ac:dyDescent="0.25">
      <c r="A146" s="553" t="s">
        <v>176</v>
      </c>
      <c r="B146" s="621">
        <f>SUM(D146:O146)</f>
        <v>0</v>
      </c>
      <c r="C146" s="621"/>
      <c r="D146" s="621"/>
      <c r="E146" s="621"/>
      <c r="F146" s="621"/>
      <c r="G146" s="621"/>
      <c r="H146" s="624"/>
      <c r="I146" s="621"/>
      <c r="J146" s="621"/>
      <c r="K146" s="621"/>
      <c r="L146" s="621"/>
      <c r="M146" s="621"/>
      <c r="N146" s="621"/>
      <c r="O146" s="621"/>
    </row>
    <row r="147" spans="1:15" s="539" customFormat="1" x14ac:dyDescent="0.25">
      <c r="A147" s="539" t="s">
        <v>177</v>
      </c>
      <c r="B147" s="613">
        <f t="shared" ref="B147:B148" si="56">SUM(D147:O147)</f>
        <v>0</v>
      </c>
      <c r="C147" s="613"/>
      <c r="D147" s="613"/>
      <c r="E147" s="613"/>
      <c r="F147" s="613"/>
      <c r="G147" s="613"/>
      <c r="H147" s="616"/>
      <c r="I147" s="613"/>
      <c r="J147" s="613"/>
      <c r="K147" s="613"/>
      <c r="L147" s="613"/>
      <c r="M147" s="613"/>
      <c r="N147" s="613"/>
      <c r="O147" s="613"/>
    </row>
    <row r="148" spans="1:15" s="552" customFormat="1" x14ac:dyDescent="0.25">
      <c r="A148" s="552" t="s">
        <v>178</v>
      </c>
      <c r="B148" s="617">
        <f t="shared" si="56"/>
        <v>0</v>
      </c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</row>
    <row r="149" spans="1:15" s="584" customFormat="1" x14ac:dyDescent="0.25">
      <c r="A149" s="580" t="s">
        <v>179</v>
      </c>
      <c r="B149" s="581">
        <f t="shared" ref="B149" si="57">SUM(C149:N149)</f>
        <v>0</v>
      </c>
      <c r="C149" s="581"/>
      <c r="D149" s="540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  <c r="O149" s="583">
        <f t="shared" ref="O149" si="58">C149+D149+E149+F149+G149+H149+I149+J149+K149+L149+M149+N149</f>
        <v>0</v>
      </c>
    </row>
    <row r="150" spans="1:15" s="532" customFormat="1" x14ac:dyDescent="0.25">
      <c r="A150" s="533" t="s">
        <v>180</v>
      </c>
      <c r="B150" s="540">
        <f>SUM(D150:O150)</f>
        <v>2300</v>
      </c>
      <c r="C150" s="540"/>
      <c r="D150" s="540"/>
      <c r="E150" s="542"/>
      <c r="F150" s="542"/>
      <c r="G150" s="542">
        <v>150</v>
      </c>
      <c r="H150" s="543"/>
      <c r="I150" s="543"/>
      <c r="J150" s="543"/>
      <c r="K150" s="543">
        <v>150</v>
      </c>
      <c r="L150" s="543"/>
      <c r="M150" s="543"/>
      <c r="N150" s="543">
        <v>2000</v>
      </c>
      <c r="O150" s="543"/>
    </row>
    <row r="151" spans="1:15" s="532" customFormat="1" x14ac:dyDescent="0.25">
      <c r="A151" s="550" t="s">
        <v>181</v>
      </c>
      <c r="B151" s="537">
        <f>D151+E151+F151+G151+H151+I151+J151+K151+L151+M151+N151+O151</f>
        <v>1200</v>
      </c>
      <c r="C151" s="537"/>
      <c r="D151" s="537">
        <f>SUM(D152:D154)</f>
        <v>100</v>
      </c>
      <c r="E151" s="537">
        <f t="shared" ref="E151:O151" si="59">SUM(E152:E154)</f>
        <v>100</v>
      </c>
      <c r="F151" s="537">
        <f t="shared" si="59"/>
        <v>100</v>
      </c>
      <c r="G151" s="537">
        <f t="shared" si="59"/>
        <v>100</v>
      </c>
      <c r="H151" s="537">
        <f t="shared" si="59"/>
        <v>100</v>
      </c>
      <c r="I151" s="537">
        <f t="shared" si="59"/>
        <v>100</v>
      </c>
      <c r="J151" s="537">
        <f t="shared" si="59"/>
        <v>100</v>
      </c>
      <c r="K151" s="537">
        <f t="shared" si="59"/>
        <v>100</v>
      </c>
      <c r="L151" s="537">
        <f t="shared" si="59"/>
        <v>100</v>
      </c>
      <c r="M151" s="537">
        <f t="shared" si="59"/>
        <v>100</v>
      </c>
      <c r="N151" s="537">
        <f t="shared" si="59"/>
        <v>100</v>
      </c>
      <c r="O151" s="537">
        <f t="shared" si="59"/>
        <v>100</v>
      </c>
    </row>
    <row r="152" spans="1:15" x14ac:dyDescent="0.25">
      <c r="A152" s="533" t="s">
        <v>182</v>
      </c>
      <c r="B152" s="540">
        <f>SUM(D152:O152)</f>
        <v>0</v>
      </c>
      <c r="C152" s="540"/>
      <c r="D152" s="540"/>
      <c r="E152" s="542"/>
      <c r="F152" s="542"/>
      <c r="G152" s="542"/>
      <c r="H152" s="543"/>
      <c r="I152" s="543"/>
      <c r="J152" s="543"/>
      <c r="K152" s="543"/>
      <c r="L152" s="543"/>
      <c r="M152" s="543"/>
      <c r="N152" s="543"/>
      <c r="O152" s="543"/>
    </row>
    <row r="153" spans="1:15" x14ac:dyDescent="0.25">
      <c r="A153" s="533" t="s">
        <v>183</v>
      </c>
      <c r="B153" s="540">
        <f t="shared" ref="B153:B154" si="60">SUM(D153:O153)</f>
        <v>1200</v>
      </c>
      <c r="C153" s="540"/>
      <c r="D153" s="540">
        <v>100</v>
      </c>
      <c r="E153" s="540">
        <v>100</v>
      </c>
      <c r="F153" s="540">
        <v>100</v>
      </c>
      <c r="G153" s="540">
        <v>100</v>
      </c>
      <c r="H153" s="540">
        <v>100</v>
      </c>
      <c r="I153" s="540">
        <v>100</v>
      </c>
      <c r="J153" s="540">
        <v>100</v>
      </c>
      <c r="K153" s="540">
        <v>100</v>
      </c>
      <c r="L153" s="540">
        <v>100</v>
      </c>
      <c r="M153" s="540">
        <v>100</v>
      </c>
      <c r="N153" s="540">
        <v>100</v>
      </c>
      <c r="O153" s="540">
        <v>100</v>
      </c>
    </row>
    <row r="154" spans="1:15" s="532" customFormat="1" x14ac:dyDescent="0.25">
      <c r="A154" s="533" t="s">
        <v>184</v>
      </c>
      <c r="B154" s="540">
        <f t="shared" si="60"/>
        <v>0</v>
      </c>
      <c r="C154" s="540"/>
      <c r="D154" s="540"/>
      <c r="E154" s="542"/>
      <c r="F154" s="542"/>
      <c r="G154" s="542"/>
      <c r="H154" s="543"/>
      <c r="I154" s="543"/>
      <c r="J154" s="543"/>
      <c r="K154" s="543"/>
      <c r="L154" s="543"/>
      <c r="M154" s="543"/>
      <c r="N154" s="543"/>
      <c r="O154" s="543"/>
    </row>
    <row r="155" spans="1:15" s="532" customFormat="1" x14ac:dyDescent="0.25">
      <c r="A155" s="549" t="s">
        <v>185</v>
      </c>
      <c r="B155" s="537">
        <f>D155+E155+F155+G155+H155+I155+J155+K155+L155+M155+N155+O155</f>
        <v>24500</v>
      </c>
      <c r="C155" s="537"/>
      <c r="D155" s="537">
        <f>SUM(D156:D159)</f>
        <v>8000</v>
      </c>
      <c r="E155" s="537">
        <f>SUM(E156:E159)</f>
        <v>1500</v>
      </c>
      <c r="F155" s="537">
        <f t="shared" ref="F155:O155" si="61">SUM(F156:F160)</f>
        <v>1500</v>
      </c>
      <c r="G155" s="537">
        <f t="shared" si="61"/>
        <v>1500</v>
      </c>
      <c r="H155" s="537">
        <f t="shared" si="61"/>
        <v>1500</v>
      </c>
      <c r="I155" s="537">
        <f t="shared" si="61"/>
        <v>1500</v>
      </c>
      <c r="J155" s="537">
        <f t="shared" si="61"/>
        <v>1500</v>
      </c>
      <c r="K155" s="537">
        <f t="shared" si="61"/>
        <v>1500</v>
      </c>
      <c r="L155" s="537">
        <f t="shared" si="61"/>
        <v>1500</v>
      </c>
      <c r="M155" s="537">
        <f t="shared" si="61"/>
        <v>1500</v>
      </c>
      <c r="N155" s="537">
        <f t="shared" si="61"/>
        <v>1500</v>
      </c>
      <c r="O155" s="537">
        <f t="shared" si="61"/>
        <v>1500</v>
      </c>
    </row>
    <row r="156" spans="1:15" x14ac:dyDescent="0.25">
      <c r="A156" s="533" t="s">
        <v>186</v>
      </c>
      <c r="B156" s="540">
        <f t="shared" ref="B156:B160" si="62">SUM(D156:O156)</f>
        <v>12000</v>
      </c>
      <c r="C156" s="540"/>
      <c r="D156" s="540">
        <v>1000</v>
      </c>
      <c r="E156" s="540">
        <v>1000</v>
      </c>
      <c r="F156" s="540">
        <v>1000</v>
      </c>
      <c r="G156" s="540">
        <v>1000</v>
      </c>
      <c r="H156" s="540">
        <v>1000</v>
      </c>
      <c r="I156" s="540">
        <v>1000</v>
      </c>
      <c r="J156" s="540">
        <v>1000</v>
      </c>
      <c r="K156" s="540">
        <v>1000</v>
      </c>
      <c r="L156" s="540">
        <v>1000</v>
      </c>
      <c r="M156" s="540">
        <v>1000</v>
      </c>
      <c r="N156" s="540">
        <v>1000</v>
      </c>
      <c r="O156" s="540">
        <v>1000</v>
      </c>
    </row>
    <row r="157" spans="1:15" s="532" customFormat="1" x14ac:dyDescent="0.25">
      <c r="A157" s="533" t="s">
        <v>187</v>
      </c>
      <c r="B157" s="540">
        <f t="shared" si="62"/>
        <v>12500</v>
      </c>
      <c r="C157" s="540"/>
      <c r="D157" s="540">
        <v>7000</v>
      </c>
      <c r="E157" s="540">
        <v>500</v>
      </c>
      <c r="F157" s="540">
        <v>500</v>
      </c>
      <c r="G157" s="540">
        <v>500</v>
      </c>
      <c r="H157" s="540">
        <v>500</v>
      </c>
      <c r="I157" s="540">
        <v>500</v>
      </c>
      <c r="J157" s="540">
        <v>500</v>
      </c>
      <c r="K157" s="540">
        <v>500</v>
      </c>
      <c r="L157" s="540">
        <v>500</v>
      </c>
      <c r="M157" s="540">
        <v>500</v>
      </c>
      <c r="N157" s="540">
        <v>500</v>
      </c>
      <c r="O157" s="540">
        <v>500</v>
      </c>
    </row>
    <row r="158" spans="1:15" s="532" customFormat="1" x14ac:dyDescent="0.25">
      <c r="A158" s="533" t="s">
        <v>188</v>
      </c>
      <c r="B158" s="540">
        <f t="shared" si="62"/>
        <v>0</v>
      </c>
      <c r="C158" s="540"/>
      <c r="D158" s="540"/>
      <c r="E158" s="540"/>
      <c r="F158" s="542"/>
      <c r="G158" s="542"/>
      <c r="H158" s="543"/>
      <c r="I158" s="543"/>
      <c r="J158" s="543"/>
      <c r="K158" s="543"/>
      <c r="L158" s="543"/>
      <c r="M158" s="543"/>
      <c r="N158" s="543"/>
      <c r="O158" s="543"/>
    </row>
    <row r="159" spans="1:15" s="532" customFormat="1" x14ac:dyDescent="0.25">
      <c r="A159" s="533" t="s">
        <v>189</v>
      </c>
      <c r="B159" s="540">
        <f t="shared" si="62"/>
        <v>0</v>
      </c>
      <c r="C159" s="540"/>
      <c r="D159" s="540"/>
      <c r="E159" s="540"/>
      <c r="F159" s="542"/>
      <c r="G159" s="542"/>
      <c r="H159" s="543"/>
      <c r="I159" s="543"/>
      <c r="J159" s="543"/>
      <c r="K159" s="543"/>
      <c r="L159" s="543"/>
      <c r="M159" s="543"/>
      <c r="N159" s="543"/>
      <c r="O159" s="543"/>
    </row>
    <row r="160" spans="1:15" s="532" customFormat="1" x14ac:dyDescent="0.25">
      <c r="A160" s="533" t="s">
        <v>190</v>
      </c>
      <c r="B160" s="540">
        <f t="shared" si="62"/>
        <v>0</v>
      </c>
      <c r="C160" s="540"/>
      <c r="D160" s="540"/>
      <c r="E160" s="540"/>
      <c r="F160" s="542"/>
      <c r="G160" s="542"/>
      <c r="H160" s="543"/>
      <c r="I160" s="543"/>
      <c r="J160" s="543"/>
      <c r="K160" s="543"/>
      <c r="L160" s="543"/>
      <c r="M160" s="543"/>
      <c r="N160" s="543"/>
      <c r="O160" s="543"/>
    </row>
    <row r="161" spans="1:15" s="532" customFormat="1" x14ac:dyDescent="0.25">
      <c r="A161" s="549" t="s">
        <v>191</v>
      </c>
      <c r="B161" s="537">
        <f>SUM(B162:B172)</f>
        <v>318600</v>
      </c>
      <c r="C161" s="537"/>
      <c r="D161" s="537">
        <f t="shared" ref="D161:O161" si="63">SUM(D162:D172)</f>
        <v>30300</v>
      </c>
      <c r="E161" s="537">
        <f t="shared" si="63"/>
        <v>22800</v>
      </c>
      <c r="F161" s="537">
        <f t="shared" si="63"/>
        <v>37800</v>
      </c>
      <c r="G161" s="537">
        <f t="shared" si="63"/>
        <v>30300</v>
      </c>
      <c r="H161" s="537">
        <f t="shared" si="63"/>
        <v>22800</v>
      </c>
      <c r="I161" s="537">
        <f t="shared" si="63"/>
        <v>22800</v>
      </c>
      <c r="J161" s="537">
        <f t="shared" si="63"/>
        <v>30300</v>
      </c>
      <c r="K161" s="537">
        <f t="shared" si="63"/>
        <v>22800</v>
      </c>
      <c r="L161" s="537">
        <f t="shared" si="63"/>
        <v>22800</v>
      </c>
      <c r="M161" s="537">
        <f t="shared" si="63"/>
        <v>30300</v>
      </c>
      <c r="N161" s="537">
        <f t="shared" si="63"/>
        <v>22800</v>
      </c>
      <c r="O161" s="537">
        <f t="shared" si="63"/>
        <v>22800</v>
      </c>
    </row>
    <row r="162" spans="1:15" s="532" customFormat="1" x14ac:dyDescent="0.25">
      <c r="A162" s="533" t="s">
        <v>192</v>
      </c>
      <c r="B162" s="540">
        <f>SUM(D162:O162)</f>
        <v>0</v>
      </c>
      <c r="C162" s="540"/>
      <c r="D162" s="540"/>
      <c r="E162" s="540"/>
      <c r="F162" s="540"/>
      <c r="G162" s="540"/>
      <c r="H162" s="540"/>
      <c r="I162" s="540"/>
      <c r="J162" s="540"/>
      <c r="K162" s="540"/>
      <c r="L162" s="540"/>
      <c r="M162" s="540"/>
      <c r="N162" s="540"/>
      <c r="O162" s="540"/>
    </row>
    <row r="163" spans="1:15" s="532" customFormat="1" x14ac:dyDescent="0.25">
      <c r="A163" s="533" t="s">
        <v>193</v>
      </c>
      <c r="B163" s="540">
        <f t="shared" ref="B163:B172" si="64">SUM(D163:O163)</f>
        <v>30000</v>
      </c>
      <c r="C163" s="540"/>
      <c r="D163" s="540">
        <v>7500</v>
      </c>
      <c r="E163" s="540"/>
      <c r="F163" s="540"/>
      <c r="G163" s="540">
        <v>7500</v>
      </c>
      <c r="H163" s="540"/>
      <c r="I163" s="540"/>
      <c r="J163" s="540">
        <v>7500</v>
      </c>
      <c r="K163" s="540"/>
      <c r="L163" s="540"/>
      <c r="M163" s="540">
        <v>7500</v>
      </c>
      <c r="N163" s="540"/>
      <c r="O163" s="540"/>
    </row>
    <row r="164" spans="1:15" s="532" customFormat="1" x14ac:dyDescent="0.25">
      <c r="A164" s="533" t="s">
        <v>194</v>
      </c>
      <c r="B164" s="540">
        <f t="shared" si="64"/>
        <v>0</v>
      </c>
      <c r="C164" s="540"/>
      <c r="D164" s="540"/>
      <c r="E164" s="540"/>
      <c r="F164" s="540"/>
      <c r="G164" s="540"/>
      <c r="H164" s="540"/>
      <c r="I164" s="540"/>
      <c r="J164" s="540"/>
      <c r="K164" s="540"/>
      <c r="L164" s="540"/>
      <c r="M164" s="540"/>
      <c r="N164" s="540"/>
      <c r="O164" s="540"/>
    </row>
    <row r="165" spans="1:15" s="532" customFormat="1" x14ac:dyDescent="0.25">
      <c r="A165" s="533" t="s">
        <v>195</v>
      </c>
      <c r="B165" s="540">
        <f t="shared" si="64"/>
        <v>2400</v>
      </c>
      <c r="C165" s="540"/>
      <c r="D165" s="540">
        <v>200</v>
      </c>
      <c r="E165" s="540">
        <v>200</v>
      </c>
      <c r="F165" s="540">
        <v>200</v>
      </c>
      <c r="G165" s="540">
        <v>200</v>
      </c>
      <c r="H165" s="540">
        <v>200</v>
      </c>
      <c r="I165" s="540">
        <v>200</v>
      </c>
      <c r="J165" s="540">
        <v>200</v>
      </c>
      <c r="K165" s="540">
        <v>200</v>
      </c>
      <c r="L165" s="540">
        <v>200</v>
      </c>
      <c r="M165" s="540">
        <v>200</v>
      </c>
      <c r="N165" s="540">
        <v>200</v>
      </c>
      <c r="O165" s="540">
        <v>200</v>
      </c>
    </row>
    <row r="166" spans="1:15" s="532" customFormat="1" x14ac:dyDescent="0.25">
      <c r="A166" s="533" t="s">
        <v>196</v>
      </c>
      <c r="B166" s="540">
        <f t="shared" si="64"/>
        <v>0</v>
      </c>
      <c r="C166" s="540"/>
      <c r="D166" s="540"/>
      <c r="E166" s="540"/>
      <c r="F166" s="540"/>
      <c r="G166" s="540"/>
      <c r="H166" s="540"/>
      <c r="I166" s="540"/>
      <c r="J166" s="540"/>
      <c r="K166" s="540"/>
      <c r="L166" s="540"/>
      <c r="M166" s="540"/>
      <c r="N166" s="540"/>
      <c r="O166" s="540"/>
    </row>
    <row r="167" spans="1:15" s="532" customFormat="1" x14ac:dyDescent="0.25">
      <c r="A167" s="533" t="s">
        <v>197</v>
      </c>
      <c r="B167" s="540">
        <f t="shared" si="64"/>
        <v>180000</v>
      </c>
      <c r="C167" s="540"/>
      <c r="D167" s="540">
        <v>15000</v>
      </c>
      <c r="E167" s="540">
        <v>15000</v>
      </c>
      <c r="F167" s="540">
        <v>15000</v>
      </c>
      <c r="G167" s="540">
        <v>15000</v>
      </c>
      <c r="H167" s="540">
        <v>15000</v>
      </c>
      <c r="I167" s="540">
        <v>15000</v>
      </c>
      <c r="J167" s="540">
        <v>15000</v>
      </c>
      <c r="K167" s="540">
        <v>15000</v>
      </c>
      <c r="L167" s="540">
        <v>15000</v>
      </c>
      <c r="M167" s="540">
        <v>15000</v>
      </c>
      <c r="N167" s="540">
        <v>15000</v>
      </c>
      <c r="O167" s="540">
        <v>15000</v>
      </c>
    </row>
    <row r="168" spans="1:15" s="583" customFormat="1" x14ac:dyDescent="0.2">
      <c r="A168" s="585" t="s">
        <v>198</v>
      </c>
      <c r="B168" s="586">
        <f t="shared" ref="B168" si="65">SUM(C168:N168)</f>
        <v>0</v>
      </c>
      <c r="C168" s="587"/>
      <c r="D168" s="587"/>
      <c r="E168" s="588"/>
      <c r="F168" s="588"/>
      <c r="G168" s="588"/>
      <c r="H168" s="588"/>
      <c r="I168" s="588"/>
      <c r="J168" s="588"/>
      <c r="K168" s="588"/>
      <c r="L168" s="588"/>
      <c r="M168" s="588"/>
      <c r="N168" s="588"/>
      <c r="O168" s="583">
        <f t="shared" ref="O168" si="66">C168+D168+E168+F168+G168+H168+I168+J168+K168+L168+M168+N168</f>
        <v>0</v>
      </c>
    </row>
    <row r="169" spans="1:15" x14ac:dyDescent="0.25">
      <c r="A169" s="533" t="s">
        <v>199</v>
      </c>
      <c r="B169" s="540">
        <f t="shared" si="64"/>
        <v>21600</v>
      </c>
      <c r="C169" s="540"/>
      <c r="D169" s="540">
        <v>1800</v>
      </c>
      <c r="E169" s="540">
        <v>1800</v>
      </c>
      <c r="F169" s="540">
        <v>1800</v>
      </c>
      <c r="G169" s="540">
        <v>1800</v>
      </c>
      <c r="H169" s="540">
        <v>1800</v>
      </c>
      <c r="I169" s="540">
        <v>1800</v>
      </c>
      <c r="J169" s="540">
        <v>1800</v>
      </c>
      <c r="K169" s="540">
        <v>1800</v>
      </c>
      <c r="L169" s="540">
        <v>1800</v>
      </c>
      <c r="M169" s="540">
        <v>1800</v>
      </c>
      <c r="N169" s="540">
        <v>1800</v>
      </c>
      <c r="O169" s="540">
        <v>1800</v>
      </c>
    </row>
    <row r="170" spans="1:15" s="532" customFormat="1" x14ac:dyDescent="0.25">
      <c r="A170" s="589" t="s">
        <v>200</v>
      </c>
      <c r="B170" s="540">
        <f t="shared" si="64"/>
        <v>0</v>
      </c>
      <c r="C170" s="540"/>
      <c r="D170" s="540"/>
      <c r="E170" s="540"/>
      <c r="F170" s="540"/>
      <c r="G170" s="540"/>
      <c r="H170" s="540"/>
      <c r="I170" s="540"/>
      <c r="J170" s="540"/>
      <c r="K170" s="540"/>
      <c r="L170" s="540"/>
      <c r="M170" s="540"/>
      <c r="N170" s="540"/>
      <c r="O170" s="540"/>
    </row>
    <row r="171" spans="1:15" s="532" customFormat="1" x14ac:dyDescent="0.25">
      <c r="A171" s="589" t="s">
        <v>201</v>
      </c>
      <c r="B171" s="540">
        <f t="shared" si="64"/>
        <v>69600</v>
      </c>
      <c r="C171" s="540"/>
      <c r="D171" s="540">
        <v>5800</v>
      </c>
      <c r="E171" s="540">
        <v>5800</v>
      </c>
      <c r="F171" s="540">
        <v>5800</v>
      </c>
      <c r="G171" s="540">
        <v>5800</v>
      </c>
      <c r="H171" s="540">
        <v>5800</v>
      </c>
      <c r="I171" s="540">
        <v>5800</v>
      </c>
      <c r="J171" s="540">
        <v>5800</v>
      </c>
      <c r="K171" s="540">
        <v>5800</v>
      </c>
      <c r="L171" s="540">
        <v>5800</v>
      </c>
      <c r="M171" s="540">
        <v>5800</v>
      </c>
      <c r="N171" s="540">
        <v>5800</v>
      </c>
      <c r="O171" s="540">
        <v>5800</v>
      </c>
    </row>
    <row r="172" spans="1:15" s="532" customFormat="1" x14ac:dyDescent="0.25">
      <c r="A172" s="533" t="s">
        <v>202</v>
      </c>
      <c r="B172" s="540">
        <f t="shared" si="64"/>
        <v>15000</v>
      </c>
      <c r="C172" s="540"/>
      <c r="D172" s="540"/>
      <c r="E172" s="540"/>
      <c r="F172" s="540">
        <v>15000</v>
      </c>
      <c r="G172" s="540"/>
      <c r="H172" s="540"/>
      <c r="I172" s="540"/>
      <c r="J172" s="540"/>
      <c r="K172" s="540"/>
      <c r="L172" s="540"/>
      <c r="M172" s="540"/>
      <c r="N172" s="540"/>
      <c r="O172" s="540"/>
    </row>
    <row r="173" spans="1:15" s="532" customFormat="1" x14ac:dyDescent="0.25">
      <c r="A173" s="530" t="s">
        <v>203</v>
      </c>
      <c r="B173" s="537">
        <f t="shared" ref="B173:B178" si="67">D173+E173+F173+G173+H173+I173+J173+K173+L173+M173+N173+O173</f>
        <v>0</v>
      </c>
      <c r="C173" s="537"/>
      <c r="D173" s="537">
        <f>SUM(D174:D178)</f>
        <v>0</v>
      </c>
      <c r="E173" s="544">
        <f t="shared" ref="E173:O173" si="68">SUM(E174:E178)</f>
        <v>0</v>
      </c>
      <c r="F173" s="544">
        <f t="shared" si="68"/>
        <v>0</v>
      </c>
      <c r="G173" s="544">
        <f t="shared" si="68"/>
        <v>0</v>
      </c>
      <c r="H173" s="544">
        <f t="shared" si="68"/>
        <v>0</v>
      </c>
      <c r="I173" s="544">
        <f t="shared" si="68"/>
        <v>0</v>
      </c>
      <c r="J173" s="544">
        <f t="shared" si="68"/>
        <v>0</v>
      </c>
      <c r="K173" s="544">
        <f t="shared" si="68"/>
        <v>0</v>
      </c>
      <c r="L173" s="544">
        <f t="shared" si="68"/>
        <v>0</v>
      </c>
      <c r="M173" s="544">
        <f t="shared" si="68"/>
        <v>0</v>
      </c>
      <c r="N173" s="544">
        <f t="shared" si="68"/>
        <v>0</v>
      </c>
      <c r="O173" s="544">
        <f t="shared" si="68"/>
        <v>0</v>
      </c>
    </row>
    <row r="174" spans="1:15" x14ac:dyDescent="0.25">
      <c r="A174" s="533" t="s">
        <v>204</v>
      </c>
      <c r="B174" s="540">
        <f t="shared" si="67"/>
        <v>0</v>
      </c>
      <c r="C174" s="540"/>
      <c r="D174" s="540"/>
      <c r="E174" s="542"/>
      <c r="F174" s="542"/>
      <c r="G174" s="542"/>
      <c r="H174" s="543"/>
      <c r="I174" s="543"/>
      <c r="J174" s="543"/>
      <c r="K174" s="543"/>
      <c r="L174" s="543"/>
      <c r="M174" s="543"/>
      <c r="N174" s="543"/>
      <c r="O174" s="543"/>
    </row>
    <row r="175" spans="1:15" s="551" customFormat="1" x14ac:dyDescent="0.25">
      <c r="A175" s="533" t="s">
        <v>205</v>
      </c>
      <c r="B175" s="540">
        <f t="shared" si="67"/>
        <v>0</v>
      </c>
      <c r="C175" s="540"/>
      <c r="D175" s="540"/>
      <c r="E175" s="542"/>
      <c r="F175" s="542"/>
      <c r="G175" s="542"/>
      <c r="H175" s="543"/>
      <c r="I175" s="543"/>
      <c r="J175" s="543"/>
      <c r="K175" s="543"/>
      <c r="L175" s="543"/>
      <c r="M175" s="543"/>
      <c r="N175" s="543"/>
      <c r="O175" s="543"/>
    </row>
    <row r="176" spans="1:15" s="532" customFormat="1" x14ac:dyDescent="0.25">
      <c r="A176" s="533" t="s">
        <v>206</v>
      </c>
      <c r="B176" s="540">
        <f t="shared" si="67"/>
        <v>0</v>
      </c>
      <c r="C176" s="540"/>
      <c r="D176" s="540"/>
      <c r="E176" s="542"/>
      <c r="F176" s="542"/>
      <c r="G176" s="542"/>
      <c r="H176" s="543"/>
      <c r="I176" s="543"/>
      <c r="J176" s="543"/>
      <c r="K176" s="543"/>
      <c r="L176" s="543"/>
      <c r="M176" s="543"/>
      <c r="N176" s="543"/>
      <c r="O176" s="543"/>
    </row>
    <row r="177" spans="1:15" s="532" customFormat="1" x14ac:dyDescent="0.25">
      <c r="A177" s="533" t="s">
        <v>207</v>
      </c>
      <c r="B177" s="540">
        <f t="shared" si="67"/>
        <v>0</v>
      </c>
      <c r="C177" s="540"/>
      <c r="D177" s="540"/>
      <c r="E177" s="542"/>
      <c r="F177" s="542"/>
      <c r="G177" s="542"/>
      <c r="H177" s="543"/>
      <c r="I177" s="543"/>
      <c r="J177" s="543"/>
      <c r="K177" s="543"/>
      <c r="L177" s="543"/>
      <c r="M177" s="543"/>
      <c r="N177" s="543"/>
      <c r="O177" s="543"/>
    </row>
    <row r="178" spans="1:15" s="532" customFormat="1" x14ac:dyDescent="0.25">
      <c r="A178" s="533" t="s">
        <v>208</v>
      </c>
      <c r="B178" s="540">
        <f t="shared" si="67"/>
        <v>0</v>
      </c>
      <c r="C178" s="540"/>
      <c r="D178" s="540"/>
      <c r="E178" s="542"/>
      <c r="F178" s="542"/>
      <c r="G178" s="542"/>
      <c r="H178" s="543"/>
      <c r="I178" s="543"/>
      <c r="J178" s="543"/>
      <c r="K178" s="543"/>
      <c r="L178" s="543"/>
      <c r="M178" s="543"/>
      <c r="N178" s="543"/>
      <c r="O178" s="543"/>
    </row>
    <row r="179" spans="1:15" s="532" customFormat="1" x14ac:dyDescent="0.25">
      <c r="A179" s="530" t="s">
        <v>209</v>
      </c>
      <c r="B179" s="537">
        <f>B5+B28+B53+B73+B80+B83+B97+B103+B111+B151+B161+B124+B145</f>
        <v>3735676.4587833337</v>
      </c>
      <c r="C179" s="537"/>
      <c r="D179" s="537">
        <f t="shared" ref="D179:O179" si="69">D5+D28+D53+D73+D80+D83+D97+D103+D111+D151+D161+D124+D145</f>
        <v>316324.25333333341</v>
      </c>
      <c r="E179" s="537">
        <f t="shared" si="69"/>
        <v>309507.91713333339</v>
      </c>
      <c r="F179" s="537">
        <f t="shared" si="69"/>
        <v>324751.72546666668</v>
      </c>
      <c r="G179" s="537">
        <f t="shared" si="69"/>
        <v>319291.72546666668</v>
      </c>
      <c r="H179" s="537">
        <f t="shared" si="69"/>
        <v>304996.67546666664</v>
      </c>
      <c r="I179" s="537">
        <f t="shared" si="69"/>
        <v>296370.93546666671</v>
      </c>
      <c r="J179" s="537">
        <f t="shared" si="69"/>
        <v>309750.04736666672</v>
      </c>
      <c r="K179" s="537">
        <f t="shared" si="69"/>
        <v>298261.18146666669</v>
      </c>
      <c r="L179" s="537">
        <f t="shared" si="69"/>
        <v>297011.18146666669</v>
      </c>
      <c r="M179" s="537">
        <f t="shared" si="69"/>
        <v>318106.10371666664</v>
      </c>
      <c r="N179" s="537">
        <f t="shared" si="69"/>
        <v>306551.85621666664</v>
      </c>
      <c r="O179" s="537">
        <f t="shared" si="69"/>
        <v>334752.85621666664</v>
      </c>
    </row>
    <row r="185" spans="1:15" s="2" customFormat="1" x14ac:dyDescent="0.25">
      <c r="A185" s="3" t="s">
        <v>210</v>
      </c>
      <c r="B185" s="3"/>
      <c r="C185" s="28">
        <f>C71+C78+C81+C96+C102+C110+C123+C144+C150+C166</f>
        <v>0</v>
      </c>
      <c r="D185" s="28">
        <f>D73+D80+D83+D97+D103+D111+D124+D145+D151+D161</f>
        <v>102906.66333333333</v>
      </c>
      <c r="E185" s="28">
        <f t="shared" ref="E185:O185" si="70">E73+E80+E83+E97+E103+E111+E124+E145+E151+E161</f>
        <v>100790.32713333333</v>
      </c>
      <c r="F185" s="28">
        <f t="shared" si="70"/>
        <v>128651.11546666667</v>
      </c>
      <c r="G185" s="28">
        <f t="shared" si="70"/>
        <v>118391.11546666667</v>
      </c>
      <c r="H185" s="28">
        <f t="shared" si="70"/>
        <v>108896.06546666667</v>
      </c>
      <c r="I185" s="28">
        <f t="shared" si="70"/>
        <v>100270.32546666668</v>
      </c>
      <c r="J185" s="28">
        <f t="shared" si="70"/>
        <v>108849.43736666668</v>
      </c>
      <c r="K185" s="28">
        <f t="shared" si="70"/>
        <v>102160.57146666668</v>
      </c>
      <c r="L185" s="28">
        <f t="shared" si="70"/>
        <v>100910.57146666668</v>
      </c>
      <c r="M185" s="28">
        <f t="shared" si="70"/>
        <v>114919.23946666668</v>
      </c>
      <c r="N185" s="28">
        <f t="shared" si="70"/>
        <v>108424.18946666668</v>
      </c>
      <c r="O185" s="28">
        <f t="shared" si="70"/>
        <v>136624.18946666666</v>
      </c>
    </row>
    <row r="186" spans="1:15" s="2" customFormat="1" x14ac:dyDescent="0.25">
      <c r="A186" s="3" t="s">
        <v>211</v>
      </c>
      <c r="B186" s="3"/>
      <c r="C186" s="28"/>
      <c r="D186" s="28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17">
        <f>C186+D186+E186+F186+G186+H186+I186+J186+K186+L186+M186</f>
        <v>0</v>
      </c>
    </row>
    <row r="187" spans="1:15" s="2" customFormat="1" x14ac:dyDescent="0.25">
      <c r="A187" s="3" t="s">
        <v>212</v>
      </c>
      <c r="B187" s="3"/>
      <c r="C187" s="28">
        <f t="shared" ref="C187:H187" si="71">+C154</f>
        <v>0</v>
      </c>
      <c r="D187" s="28">
        <f t="shared" si="71"/>
        <v>0</v>
      </c>
      <c r="E187" s="28">
        <f t="shared" si="71"/>
        <v>0</v>
      </c>
      <c r="F187" s="28">
        <f t="shared" si="71"/>
        <v>0</v>
      </c>
      <c r="G187" s="28">
        <f t="shared" si="71"/>
        <v>0</v>
      </c>
      <c r="H187" s="28">
        <f t="shared" si="71"/>
        <v>0</v>
      </c>
      <c r="I187" s="28"/>
      <c r="J187" s="28"/>
      <c r="K187" s="28"/>
      <c r="L187" s="28"/>
      <c r="M187" s="28"/>
      <c r="N187" s="28"/>
      <c r="O187" s="17">
        <f>C187+D187+E187+F187+G187+H187+I187+J187+K187+L187+M187</f>
        <v>0</v>
      </c>
    </row>
    <row r="188" spans="1:15" s="2" customFormat="1" x14ac:dyDescent="0.25">
      <c r="A188" s="3" t="s">
        <v>213</v>
      </c>
      <c r="B188" s="3"/>
      <c r="C188" s="28"/>
      <c r="D188" s="28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17">
        <f>C188+D188+E188+F188+G188+H188+I188+J188+K188+L188+M188</f>
        <v>0</v>
      </c>
    </row>
    <row r="189" spans="1:15" s="2" customFormat="1" x14ac:dyDescent="0.25">
      <c r="A189" s="25"/>
      <c r="B189" s="25"/>
      <c r="C189" s="31"/>
      <c r="D189" s="3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7">
        <f>C189+D189+E189+F189+G189+H189+I189+J189+K189+L189+M189</f>
        <v>0</v>
      </c>
    </row>
    <row r="190" spans="1:15" s="2" customFormat="1" x14ac:dyDescent="0.25">
      <c r="A190" s="30" t="s">
        <v>214</v>
      </c>
      <c r="B190" s="30" t="s">
        <v>215</v>
      </c>
      <c r="C190" s="29">
        <f t="shared" ref="C190:N190" si="72">C191+C192+C193</f>
        <v>0</v>
      </c>
      <c r="D190" s="29">
        <f t="shared" si="72"/>
        <v>7186.8033333333333</v>
      </c>
      <c r="E190" s="29">
        <f t="shared" si="72"/>
        <v>7186.8033333333333</v>
      </c>
      <c r="F190" s="29">
        <f t="shared" si="72"/>
        <v>20380.386666666665</v>
      </c>
      <c r="G190" s="29">
        <f t="shared" si="72"/>
        <v>20380.386666666665</v>
      </c>
      <c r="H190" s="29">
        <f t="shared" si="72"/>
        <v>20380.386666666665</v>
      </c>
      <c r="I190" s="29">
        <f t="shared" si="72"/>
        <v>7186.3866666666663</v>
      </c>
      <c r="J190" s="29">
        <f t="shared" si="72"/>
        <v>7186.3866666666663</v>
      </c>
      <c r="K190" s="29">
        <f t="shared" si="72"/>
        <v>8722.5207666666665</v>
      </c>
      <c r="L190" s="29">
        <f t="shared" si="72"/>
        <v>8722.5207666666665</v>
      </c>
      <c r="M190" s="29">
        <f t="shared" si="72"/>
        <v>12222.520766666667</v>
      </c>
      <c r="N190" s="29">
        <f t="shared" si="72"/>
        <v>7222.5207666666665</v>
      </c>
      <c r="O190" s="17">
        <f t="shared" ref="O190:O195" si="73">C190+D190+E190+F190+G190+H190+I190+J190+K190+L190+M190+N190</f>
        <v>126777.62306666668</v>
      </c>
    </row>
    <row r="191" spans="1:15" s="2" customFormat="1" x14ac:dyDescent="0.25">
      <c r="A191" s="39" t="s">
        <v>216</v>
      </c>
      <c r="B191" s="39">
        <f>SUM(C191:N191)</f>
        <v>37981.658199999998</v>
      </c>
      <c r="C191" s="39">
        <f>C111+C115+C126+C130+C134+C138+C142+C146</f>
        <v>0</v>
      </c>
      <c r="D191" s="39">
        <f>D112+D116+D127+D131+D135+D139+D143+D147</f>
        <v>2110.4899999999998</v>
      </c>
      <c r="E191" s="39">
        <f t="shared" ref="E191:O191" si="74">E112+E116+E127+E131+E135+E139+E143+E147</f>
        <v>2110.4899999999998</v>
      </c>
      <c r="F191" s="39">
        <f t="shared" si="74"/>
        <v>6008.49</v>
      </c>
      <c r="G191" s="39">
        <f t="shared" si="74"/>
        <v>7508.49</v>
      </c>
      <c r="H191" s="39">
        <f t="shared" si="74"/>
        <v>6008.49</v>
      </c>
      <c r="I191" s="39">
        <f t="shared" si="74"/>
        <v>2110.4899999999998</v>
      </c>
      <c r="J191" s="39">
        <f t="shared" si="74"/>
        <v>2110.4899999999998</v>
      </c>
      <c r="K191" s="39">
        <f t="shared" si="74"/>
        <v>2128.5570499999999</v>
      </c>
      <c r="L191" s="39">
        <f t="shared" si="74"/>
        <v>3628.5570499999999</v>
      </c>
      <c r="M191" s="39">
        <f t="shared" si="74"/>
        <v>2128.5570499999999</v>
      </c>
      <c r="N191" s="39">
        <f t="shared" si="74"/>
        <v>2128.5570499999999</v>
      </c>
      <c r="O191" s="39">
        <f t="shared" si="74"/>
        <v>2128.5570499999999</v>
      </c>
    </row>
    <row r="192" spans="1:15" s="40" customFormat="1" x14ac:dyDescent="0.25">
      <c r="A192" s="40" t="s">
        <v>217</v>
      </c>
      <c r="B192" s="40">
        <f t="shared" ref="B192:B193" si="75">SUM(C192:N192)</f>
        <v>51113.306666666678</v>
      </c>
      <c r="C192" s="40">
        <f>C112+C116+C127+C131+C135+C139++C143++C147</f>
        <v>0</v>
      </c>
      <c r="D192" s="40">
        <f>D113+D117++D128+D132+D136+D140+D144+D148</f>
        <v>3174.8233333333333</v>
      </c>
      <c r="E192" s="40">
        <f t="shared" ref="E192:O192" si="76">E113+E117++E128+E132+E136+E140+E144+E148</f>
        <v>3174.8233333333333</v>
      </c>
      <c r="F192" s="40">
        <f t="shared" si="76"/>
        <v>7072.4066666666668</v>
      </c>
      <c r="G192" s="40">
        <f t="shared" si="76"/>
        <v>7072.4066666666668</v>
      </c>
      <c r="H192" s="40">
        <f t="shared" si="76"/>
        <v>8572.4066666666658</v>
      </c>
      <c r="I192" s="40">
        <f t="shared" si="76"/>
        <v>3174.4066666666668</v>
      </c>
      <c r="J192" s="40">
        <f t="shared" si="76"/>
        <v>3174.4066666666668</v>
      </c>
      <c r="K192" s="40">
        <f t="shared" si="76"/>
        <v>3174.4066666666668</v>
      </c>
      <c r="L192" s="40">
        <f t="shared" si="76"/>
        <v>3174.4066666666668</v>
      </c>
      <c r="M192" s="40">
        <f t="shared" si="76"/>
        <v>6174.4066666666668</v>
      </c>
      <c r="N192" s="40">
        <f t="shared" si="76"/>
        <v>3174.4066666666668</v>
      </c>
      <c r="O192" s="40">
        <f t="shared" si="76"/>
        <v>3174.4066666666668</v>
      </c>
    </row>
    <row r="193" spans="1:15" s="45" customFormat="1" x14ac:dyDescent="0.25">
      <c r="A193" s="45" t="s">
        <v>218</v>
      </c>
      <c r="B193" s="45">
        <f t="shared" si="75"/>
        <v>37682.658200000005</v>
      </c>
      <c r="C193" s="45">
        <f>C113+C117+C125+C129+C133+C137+C141+C145</f>
        <v>0</v>
      </c>
      <c r="D193" s="45">
        <f>D114+D118+D126+D130+D134+D138+D142+D146</f>
        <v>1901.49</v>
      </c>
      <c r="E193" s="45">
        <f t="shared" ref="E193:O193" si="77">E114+E118+E126+E130+E134+E138+E142+E146</f>
        <v>1901.49</v>
      </c>
      <c r="F193" s="45">
        <f t="shared" si="77"/>
        <v>7299.49</v>
      </c>
      <c r="G193" s="45">
        <f t="shared" si="77"/>
        <v>5799.49</v>
      </c>
      <c r="H193" s="45">
        <f t="shared" si="77"/>
        <v>5799.49</v>
      </c>
      <c r="I193" s="45">
        <f t="shared" si="77"/>
        <v>1901.49</v>
      </c>
      <c r="J193" s="45">
        <f t="shared" si="77"/>
        <v>1901.49</v>
      </c>
      <c r="K193" s="45">
        <f t="shared" si="77"/>
        <v>3419.5570499999999</v>
      </c>
      <c r="L193" s="45">
        <f t="shared" si="77"/>
        <v>1919.5570499999999</v>
      </c>
      <c r="M193" s="45">
        <f t="shared" si="77"/>
        <v>3919.5570499999999</v>
      </c>
      <c r="N193" s="45">
        <f t="shared" si="77"/>
        <v>1919.5570499999999</v>
      </c>
      <c r="O193" s="45">
        <f t="shared" si="77"/>
        <v>1919.5570499999999</v>
      </c>
    </row>
    <row r="194" spans="1:15" s="2" customFormat="1" x14ac:dyDescent="0.25">
      <c r="A194" s="17"/>
      <c r="B194" s="17"/>
      <c r="C194" s="17">
        <f>C21+C22+C47+C48+C66+C67</f>
        <v>0</v>
      </c>
      <c r="D194" s="17">
        <f>D185-D190</f>
        <v>95719.86</v>
      </c>
      <c r="E194" s="17">
        <f t="shared" ref="E194:O194" si="78">E185-E190</f>
        <v>93603.523799999995</v>
      </c>
      <c r="F194" s="17">
        <f t="shared" si="78"/>
        <v>108270.72880000001</v>
      </c>
      <c r="G194" s="17">
        <f t="shared" si="78"/>
        <v>98010.728800000012</v>
      </c>
      <c r="H194" s="17">
        <f t="shared" si="78"/>
        <v>88515.678799999994</v>
      </c>
      <c r="I194" s="17">
        <f t="shared" si="78"/>
        <v>93083.938800000004</v>
      </c>
      <c r="J194" s="17">
        <f t="shared" si="78"/>
        <v>101663.05070000001</v>
      </c>
      <c r="K194" s="17">
        <f t="shared" si="78"/>
        <v>93438.050700000007</v>
      </c>
      <c r="L194" s="17">
        <f t="shared" si="78"/>
        <v>92188.050700000007</v>
      </c>
      <c r="M194" s="17">
        <f t="shared" si="78"/>
        <v>102696.71870000001</v>
      </c>
      <c r="N194" s="17">
        <f t="shared" si="78"/>
        <v>101201.66870000001</v>
      </c>
      <c r="O194" s="17">
        <f t="shared" si="78"/>
        <v>9846.5663999999815</v>
      </c>
    </row>
    <row r="195" spans="1:15" s="2" customFormat="1" x14ac:dyDescent="0.25">
      <c r="A195" s="30" t="s">
        <v>219</v>
      </c>
      <c r="B195" s="30"/>
      <c r="C195" s="28"/>
      <c r="D195" s="28"/>
      <c r="E195" s="29"/>
      <c r="F195" s="29"/>
      <c r="G195" s="29"/>
      <c r="H195" s="29"/>
      <c r="I195" s="29">
        <f t="shared" ref="I195:N195" si="79">I185-I191-I192-I193</f>
        <v>93083.938800000004</v>
      </c>
      <c r="J195" s="29">
        <f t="shared" si="79"/>
        <v>101663.05070000001</v>
      </c>
      <c r="K195" s="29">
        <f t="shared" si="79"/>
        <v>93438.050700000007</v>
      </c>
      <c r="L195" s="29">
        <f t="shared" si="79"/>
        <v>92188.050700000007</v>
      </c>
      <c r="M195" s="29">
        <f t="shared" si="79"/>
        <v>102696.71870000001</v>
      </c>
      <c r="N195" s="29">
        <f t="shared" si="79"/>
        <v>101201.66870000001</v>
      </c>
      <c r="O195" s="17">
        <f t="shared" si="73"/>
        <v>584271.47830000008</v>
      </c>
    </row>
    <row r="196" spans="1:15" s="2" customFormat="1" x14ac:dyDescent="0.25">
      <c r="A196" s="17" t="s">
        <v>216</v>
      </c>
      <c r="B196" s="17"/>
      <c r="C196" s="28"/>
      <c r="D196" s="28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17">
        <f t="shared" ref="O196:O198" si="80">C196+D196+E196+F196+G196+H196+I196+J196+K196+L196+M196</f>
        <v>0</v>
      </c>
    </row>
    <row r="197" spans="1:15" s="2" customFormat="1" x14ac:dyDescent="0.25">
      <c r="A197" s="17" t="s">
        <v>217</v>
      </c>
      <c r="B197" s="17"/>
      <c r="C197" s="28"/>
      <c r="D197" s="2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17">
        <f t="shared" si="80"/>
        <v>0</v>
      </c>
    </row>
    <row r="198" spans="1:15" s="2" customFormat="1" x14ac:dyDescent="0.25">
      <c r="A198" s="17" t="s">
        <v>218</v>
      </c>
      <c r="B198" s="17"/>
      <c r="C198" s="28"/>
      <c r="D198" s="28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17">
        <f t="shared" si="80"/>
        <v>0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1FC-82AD-4B88-8C95-A8ECCFFEEE4C}">
  <sheetPr>
    <tabColor rgb="FFFFFF00"/>
  </sheetPr>
  <dimension ref="A1:O556"/>
  <sheetViews>
    <sheetView zoomScale="120" zoomScaleNormal="120" workbookViewId="0">
      <pane xSplit="1" ySplit="2" topLeftCell="B110" activePane="bottomRight" state="frozen"/>
      <selection pane="topRight" activeCell="A156" sqref="A156:XFD156"/>
      <selection pane="bottomLeft" activeCell="A156" sqref="A156:XFD156"/>
      <selection pane="bottomRight" activeCell="D15" sqref="D15:D17"/>
    </sheetView>
  </sheetViews>
  <sheetFormatPr defaultColWidth="9.140625" defaultRowHeight="15" x14ac:dyDescent="0.25"/>
  <cols>
    <col min="1" max="1" width="57.7109375" style="25" customWidth="1"/>
    <col min="2" max="2" width="16.7109375" style="25" customWidth="1"/>
    <col min="3" max="4" width="16.7109375" style="31" customWidth="1"/>
    <col min="5" max="14" width="16.7109375" style="4" customWidth="1"/>
    <col min="15" max="15" width="13.28515625" style="2" customWidth="1"/>
    <col min="16" max="19" width="9.140625" style="2"/>
    <col min="20" max="22" width="9.42578125" style="2" customWidth="1"/>
    <col min="23" max="23" width="4.42578125" style="2" customWidth="1"/>
    <col min="24" max="24" width="9.42578125" style="2" customWidth="1"/>
    <col min="25" max="16384" width="9.140625" style="2"/>
  </cols>
  <sheetData>
    <row r="1" spans="1:15" ht="15.75" thickBot="1" x14ac:dyDescent="0.3"/>
    <row r="2" spans="1:15" s="15" customFormat="1" ht="20.25" thickTop="1" thickBot="1" x14ac:dyDescent="0.3">
      <c r="A2" s="13" t="s">
        <v>46</v>
      </c>
      <c r="B2" s="14" t="s">
        <v>246</v>
      </c>
      <c r="C2" s="14" t="s">
        <v>247</v>
      </c>
      <c r="D2" s="14" t="s">
        <v>34</v>
      </c>
      <c r="E2" s="14" t="s">
        <v>248</v>
      </c>
      <c r="F2" s="14" t="s">
        <v>249</v>
      </c>
      <c r="G2" s="14" t="s">
        <v>37</v>
      </c>
      <c r="H2" s="14" t="s">
        <v>38</v>
      </c>
      <c r="I2" s="14" t="s">
        <v>250</v>
      </c>
      <c r="J2" s="14" t="s">
        <v>40</v>
      </c>
      <c r="K2" s="14" t="s">
        <v>251</v>
      </c>
      <c r="L2" s="14" t="s">
        <v>42</v>
      </c>
      <c r="M2" s="14" t="s">
        <v>252</v>
      </c>
      <c r="N2" s="14" t="s">
        <v>44</v>
      </c>
    </row>
    <row r="3" spans="1:15" s="556" customFormat="1" ht="15.75" thickTop="1" x14ac:dyDescent="0.25">
      <c r="A3" s="554" t="s">
        <v>48</v>
      </c>
      <c r="B3" s="555"/>
      <c r="C3" s="555">
        <f t="shared" ref="C3:M3" si="0">SUM(C4:C4)</f>
        <v>279821.07</v>
      </c>
      <c r="D3" s="555">
        <f t="shared" si="0"/>
        <v>319233.58</v>
      </c>
      <c r="E3" s="555">
        <f t="shared" si="0"/>
        <v>0</v>
      </c>
      <c r="F3" s="555">
        <f t="shared" si="0"/>
        <v>0</v>
      </c>
      <c r="G3" s="555">
        <f t="shared" ref="G3" si="1">SUM(G4:G4)</f>
        <v>0</v>
      </c>
      <c r="H3" s="555">
        <f t="shared" si="0"/>
        <v>0</v>
      </c>
      <c r="I3" s="555">
        <f t="shared" si="0"/>
        <v>0</v>
      </c>
      <c r="J3" s="555">
        <f t="shared" si="0"/>
        <v>0</v>
      </c>
      <c r="K3" s="555">
        <f t="shared" si="0"/>
        <v>0</v>
      </c>
      <c r="L3" s="555">
        <f t="shared" si="0"/>
        <v>0</v>
      </c>
      <c r="M3" s="555">
        <f t="shared" si="0"/>
        <v>0</v>
      </c>
      <c r="N3" s="555">
        <f>SUM(N4:N4)</f>
        <v>0</v>
      </c>
    </row>
    <row r="4" spans="1:15" x14ac:dyDescent="0.25">
      <c r="A4" s="18" t="s">
        <v>49</v>
      </c>
      <c r="B4" s="22">
        <f t="shared" ref="B4:B24" si="2">SUM(C4:N4)</f>
        <v>599054.65</v>
      </c>
      <c r="C4" s="19">
        <v>279821.07</v>
      </c>
      <c r="D4" s="19">
        <v>319233.58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17">
        <f t="shared" ref="O4:O26" si="3">C4+D4+E4+F4+G4+H4+I4+J4+K4+L4+M4+N4</f>
        <v>599054.65</v>
      </c>
    </row>
    <row r="5" spans="1:15" s="556" customFormat="1" x14ac:dyDescent="0.25">
      <c r="A5" s="554" t="s">
        <v>50</v>
      </c>
      <c r="B5" s="557">
        <f t="shared" si="2"/>
        <v>149918.66</v>
      </c>
      <c r="C5" s="558">
        <f>SUM(C6:C27)</f>
        <v>73576.315000000002</v>
      </c>
      <c r="D5" s="558">
        <f t="shared" ref="D5:N5" si="4">SUM(D6:D27)</f>
        <v>76342.345000000001</v>
      </c>
      <c r="E5" s="558">
        <f t="shared" si="4"/>
        <v>0</v>
      </c>
      <c r="F5" s="558">
        <f t="shared" si="4"/>
        <v>0</v>
      </c>
      <c r="G5" s="558">
        <f t="shared" si="4"/>
        <v>0</v>
      </c>
      <c r="H5" s="558">
        <f t="shared" si="4"/>
        <v>0</v>
      </c>
      <c r="I5" s="558">
        <f t="shared" si="4"/>
        <v>0</v>
      </c>
      <c r="J5" s="558">
        <f t="shared" si="4"/>
        <v>0</v>
      </c>
      <c r="K5" s="558">
        <f t="shared" si="4"/>
        <v>0</v>
      </c>
      <c r="L5" s="558">
        <f t="shared" si="4"/>
        <v>0</v>
      </c>
      <c r="M5" s="558">
        <f t="shared" si="4"/>
        <v>0</v>
      </c>
      <c r="N5" s="558">
        <f t="shared" si="4"/>
        <v>0</v>
      </c>
      <c r="O5" s="556">
        <f t="shared" si="3"/>
        <v>149918.66</v>
      </c>
    </row>
    <row r="6" spans="1:15" x14ac:dyDescent="0.25">
      <c r="A6" s="18" t="s">
        <v>56</v>
      </c>
      <c r="B6" s="22">
        <f t="shared" si="2"/>
        <v>3182.83</v>
      </c>
      <c r="C6" s="19">
        <f>3182.83/2</f>
        <v>1591.415</v>
      </c>
      <c r="D6" s="19">
        <f>3182.83/2</f>
        <v>1591.415</v>
      </c>
      <c r="E6" s="19"/>
      <c r="F6" s="19"/>
      <c r="G6" s="19"/>
      <c r="H6" s="19"/>
      <c r="I6" s="19"/>
      <c r="J6" s="19"/>
      <c r="K6" s="19"/>
      <c r="L6" s="19"/>
      <c r="M6" s="22"/>
      <c r="N6" s="22"/>
      <c r="O6" s="17">
        <f t="shared" ref="O6:O18" si="5">C6+D6+E6+F6+G6+H6+I6+J6+K6+L6+M6+N6</f>
        <v>3182.83</v>
      </c>
    </row>
    <row r="7" spans="1:15" x14ac:dyDescent="0.25">
      <c r="A7" s="18" t="s">
        <v>54</v>
      </c>
      <c r="B7" s="22">
        <f t="shared" si="2"/>
        <v>23379</v>
      </c>
      <c r="C7" s="19">
        <f>12500-C8</f>
        <v>11689.5</v>
      </c>
      <c r="D7" s="19">
        <f>12500-D8</f>
        <v>11689.5</v>
      </c>
      <c r="E7" s="19"/>
      <c r="F7" s="19"/>
      <c r="G7" s="19"/>
      <c r="H7" s="19"/>
      <c r="I7" s="19"/>
      <c r="J7" s="19"/>
      <c r="K7" s="19"/>
      <c r="L7" s="19"/>
      <c r="M7" s="22"/>
      <c r="N7" s="22"/>
      <c r="O7" s="17">
        <f t="shared" si="5"/>
        <v>23379</v>
      </c>
    </row>
    <row r="8" spans="1:15" x14ac:dyDescent="0.25">
      <c r="A8" s="18" t="s">
        <v>55</v>
      </c>
      <c r="B8" s="22">
        <f t="shared" si="2"/>
        <v>1621</v>
      </c>
      <c r="C8" s="20">
        <v>810.5</v>
      </c>
      <c r="D8" s="20">
        <v>810.5</v>
      </c>
      <c r="E8" s="19"/>
      <c r="F8" s="19"/>
      <c r="G8" s="19"/>
      <c r="H8" s="19"/>
      <c r="I8" s="19"/>
      <c r="J8" s="19"/>
      <c r="K8" s="19"/>
      <c r="L8" s="19"/>
      <c r="M8" s="23"/>
      <c r="N8" s="20"/>
      <c r="O8" s="17">
        <f t="shared" si="5"/>
        <v>1621</v>
      </c>
    </row>
    <row r="9" spans="1:15" x14ac:dyDescent="0.25">
      <c r="A9" s="18" t="s">
        <v>558</v>
      </c>
      <c r="B9" s="22">
        <f t="shared" si="2"/>
        <v>54.35</v>
      </c>
      <c r="C9" s="20"/>
      <c r="D9" s="20">
        <f>108.7/2</f>
        <v>54.35</v>
      </c>
      <c r="E9" s="19"/>
      <c r="F9" s="19"/>
      <c r="G9" s="19"/>
      <c r="H9" s="19"/>
      <c r="I9" s="19"/>
      <c r="J9" s="19"/>
      <c r="K9" s="19"/>
      <c r="L9" s="19"/>
      <c r="M9" s="23"/>
      <c r="N9" s="20"/>
      <c r="O9" s="17"/>
    </row>
    <row r="10" spans="1:15" x14ac:dyDescent="0.25">
      <c r="A10" s="18" t="s">
        <v>59</v>
      </c>
      <c r="B10" s="22">
        <f t="shared" si="2"/>
        <v>2538.92</v>
      </c>
      <c r="C10" s="20">
        <v>1269.46</v>
      </c>
      <c r="D10" s="20">
        <v>1269.46</v>
      </c>
      <c r="E10" s="19"/>
      <c r="F10" s="19"/>
      <c r="G10" s="19"/>
      <c r="H10" s="19"/>
      <c r="I10" s="19"/>
      <c r="J10" s="19"/>
      <c r="K10" s="19"/>
      <c r="L10" s="19"/>
      <c r="M10" s="20"/>
      <c r="N10" s="19"/>
      <c r="O10" s="17">
        <f t="shared" si="5"/>
        <v>2538.92</v>
      </c>
    </row>
    <row r="11" spans="1:15" x14ac:dyDescent="0.25">
      <c r="A11" s="18" t="s">
        <v>60</v>
      </c>
      <c r="B11" s="22">
        <f t="shared" si="2"/>
        <v>0</v>
      </c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>
        <f t="shared" si="5"/>
        <v>0</v>
      </c>
    </row>
    <row r="12" spans="1:15" x14ac:dyDescent="0.25">
      <c r="A12" s="18" t="s">
        <v>57</v>
      </c>
      <c r="B12" s="22">
        <f t="shared" si="2"/>
        <v>14556.4</v>
      </c>
      <c r="C12" s="19">
        <f t="shared" ref="C12" si="6">8640-C13</f>
        <v>7019</v>
      </c>
      <c r="D12" s="19">
        <f>9158.4-D13</f>
        <v>7537.4</v>
      </c>
      <c r="E12" s="19"/>
      <c r="F12" s="19"/>
      <c r="G12" s="19"/>
      <c r="H12" s="19"/>
      <c r="I12" s="19"/>
      <c r="J12" s="19"/>
      <c r="K12" s="19"/>
      <c r="L12" s="19"/>
      <c r="M12" s="22"/>
      <c r="N12" s="19"/>
      <c r="O12" s="17">
        <f t="shared" si="5"/>
        <v>14556.4</v>
      </c>
    </row>
    <row r="13" spans="1:15" x14ac:dyDescent="0.25">
      <c r="A13" s="18" t="s">
        <v>58</v>
      </c>
      <c r="B13" s="22">
        <f t="shared" si="2"/>
        <v>3242</v>
      </c>
      <c r="C13" s="19">
        <v>1621</v>
      </c>
      <c r="D13" s="19">
        <v>1621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7">
        <f t="shared" si="5"/>
        <v>3242</v>
      </c>
    </row>
    <row r="14" spans="1:15" x14ac:dyDescent="0.25">
      <c r="A14" s="18" t="s">
        <v>61</v>
      </c>
      <c r="B14" s="22">
        <f t="shared" si="2"/>
        <v>518.4</v>
      </c>
      <c r="C14" s="19"/>
      <c r="D14" s="19">
        <v>518.4</v>
      </c>
      <c r="E14" s="20"/>
      <c r="F14" s="20"/>
      <c r="G14" s="20"/>
      <c r="H14" s="20"/>
      <c r="I14" s="20"/>
      <c r="J14" s="20"/>
      <c r="K14" s="20"/>
      <c r="L14" s="20"/>
      <c r="M14" s="19"/>
      <c r="N14" s="20"/>
      <c r="O14" s="17">
        <f t="shared" si="5"/>
        <v>518.4</v>
      </c>
    </row>
    <row r="15" spans="1:15" x14ac:dyDescent="0.25">
      <c r="A15" s="18" t="s">
        <v>53</v>
      </c>
      <c r="B15" s="22">
        <f t="shared" si="2"/>
        <v>3472.28</v>
      </c>
      <c r="C15" s="19">
        <v>1736.14</v>
      </c>
      <c r="D15" s="19">
        <v>1736.14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7">
        <f t="shared" si="5"/>
        <v>3472.28</v>
      </c>
    </row>
    <row r="16" spans="1:15" x14ac:dyDescent="0.25">
      <c r="A16" s="18" t="s">
        <v>51</v>
      </c>
      <c r="B16" s="22">
        <f t="shared" si="2"/>
        <v>46758</v>
      </c>
      <c r="C16" s="19">
        <f>25000-C17</f>
        <v>23379</v>
      </c>
      <c r="D16" s="19">
        <f>25000-D17</f>
        <v>23379</v>
      </c>
      <c r="E16" s="19"/>
      <c r="F16" s="19"/>
      <c r="G16" s="19"/>
      <c r="H16" s="19"/>
      <c r="I16" s="19"/>
      <c r="J16" s="19"/>
      <c r="K16" s="19"/>
      <c r="L16" s="19"/>
      <c r="M16" s="22"/>
      <c r="N16" s="19"/>
      <c r="O16" s="17">
        <f t="shared" si="5"/>
        <v>46758</v>
      </c>
    </row>
    <row r="17" spans="1:15" x14ac:dyDescent="0.25">
      <c r="A17" s="18" t="s">
        <v>52</v>
      </c>
      <c r="B17" s="22">
        <f t="shared" si="2"/>
        <v>3242</v>
      </c>
      <c r="C17" s="19">
        <v>1621</v>
      </c>
      <c r="D17" s="19">
        <v>1621</v>
      </c>
      <c r="E17" s="19"/>
      <c r="F17" s="19"/>
      <c r="G17" s="19"/>
      <c r="H17" s="19"/>
      <c r="I17" s="19"/>
      <c r="J17" s="19"/>
      <c r="K17" s="19"/>
      <c r="L17" s="19"/>
      <c r="M17" s="22"/>
      <c r="N17" s="19"/>
      <c r="O17" s="17">
        <f t="shared" si="5"/>
        <v>3242</v>
      </c>
    </row>
    <row r="18" spans="1:15" x14ac:dyDescent="0.25">
      <c r="A18" s="18" t="s">
        <v>253</v>
      </c>
      <c r="B18" s="22">
        <f t="shared" si="2"/>
        <v>206.4</v>
      </c>
      <c r="C18" s="22">
        <v>97.7</v>
      </c>
      <c r="D18" s="22">
        <v>108.7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17">
        <f t="shared" si="5"/>
        <v>206.4</v>
      </c>
    </row>
    <row r="19" spans="1:15" x14ac:dyDescent="0.25">
      <c r="A19" s="18" t="s">
        <v>64</v>
      </c>
      <c r="B19" s="22">
        <f t="shared" si="2"/>
        <v>3128.16</v>
      </c>
      <c r="C19" s="22">
        <v>1564.08</v>
      </c>
      <c r="D19" s="22">
        <v>1564.08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7">
        <f t="shared" ref="O19:O24" si="7">C19+D19+E19+F19+G19+H19+I19+J19+K19+L19+M19+N19</f>
        <v>3128.16</v>
      </c>
    </row>
    <row r="20" spans="1:15" x14ac:dyDescent="0.25">
      <c r="A20" s="18" t="s">
        <v>62</v>
      </c>
      <c r="B20" s="22">
        <f t="shared" si="2"/>
        <v>29644</v>
      </c>
      <c r="C20" s="22">
        <f t="shared" ref="C20" si="8">15660-C21</f>
        <v>14039</v>
      </c>
      <c r="D20" s="19">
        <f>17226-D21</f>
        <v>15605</v>
      </c>
      <c r="E20" s="19"/>
      <c r="F20" s="19"/>
      <c r="G20" s="19"/>
      <c r="H20" s="19"/>
      <c r="I20" s="19"/>
      <c r="J20" s="19"/>
      <c r="K20" s="19"/>
      <c r="L20" s="19"/>
      <c r="M20" s="22"/>
      <c r="N20" s="22"/>
      <c r="O20" s="17">
        <f t="shared" si="7"/>
        <v>29644</v>
      </c>
    </row>
    <row r="21" spans="1:15" x14ac:dyDescent="0.25">
      <c r="A21" s="18" t="s">
        <v>63</v>
      </c>
      <c r="B21" s="22">
        <f t="shared" si="2"/>
        <v>3242</v>
      </c>
      <c r="C21" s="19">
        <v>1621</v>
      </c>
      <c r="D21" s="19">
        <v>1621</v>
      </c>
      <c r="E21" s="19"/>
      <c r="F21" s="19"/>
      <c r="G21" s="19"/>
      <c r="H21" s="19"/>
      <c r="I21" s="19"/>
      <c r="J21" s="19"/>
      <c r="K21" s="19"/>
      <c r="L21" s="19"/>
      <c r="M21" s="22"/>
      <c r="N21" s="19"/>
      <c r="O21" s="17">
        <f t="shared" si="7"/>
        <v>3242</v>
      </c>
    </row>
    <row r="22" spans="1:15" x14ac:dyDescent="0.25">
      <c r="A22" s="18" t="s">
        <v>65</v>
      </c>
      <c r="B22" s="22">
        <f t="shared" si="2"/>
        <v>1566</v>
      </c>
      <c r="C22" s="19"/>
      <c r="D22" s="19">
        <v>1566</v>
      </c>
      <c r="E22" s="20"/>
      <c r="F22" s="20"/>
      <c r="G22" s="20"/>
      <c r="H22" s="20"/>
      <c r="I22" s="20"/>
      <c r="J22" s="20"/>
      <c r="K22" s="20"/>
      <c r="L22" s="20"/>
      <c r="M22" s="19"/>
      <c r="N22" s="20"/>
      <c r="O22" s="17">
        <f t="shared" si="7"/>
        <v>1566</v>
      </c>
    </row>
    <row r="23" spans="1:15" x14ac:dyDescent="0.25">
      <c r="A23" s="18" t="s">
        <v>254</v>
      </c>
      <c r="B23" s="22">
        <f t="shared" si="2"/>
        <v>5600</v>
      </c>
      <c r="C23" s="19">
        <v>2800</v>
      </c>
      <c r="D23" s="19">
        <v>2800</v>
      </c>
      <c r="E23" s="20"/>
      <c r="F23" s="20"/>
      <c r="G23" s="20"/>
      <c r="H23" s="20"/>
      <c r="I23" s="20"/>
      <c r="J23" s="20"/>
      <c r="K23" s="20"/>
      <c r="L23" s="20"/>
      <c r="M23" s="22"/>
      <c r="N23" s="20"/>
      <c r="O23" s="17">
        <f t="shared" si="7"/>
        <v>5600</v>
      </c>
    </row>
    <row r="24" spans="1:15" x14ac:dyDescent="0.25">
      <c r="A24" s="18" t="s">
        <v>255</v>
      </c>
      <c r="B24" s="22">
        <f t="shared" si="2"/>
        <v>0</v>
      </c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2"/>
      <c r="N24" s="20"/>
      <c r="O24" s="17">
        <f t="shared" si="7"/>
        <v>0</v>
      </c>
    </row>
    <row r="25" spans="1:15" x14ac:dyDescent="0.25">
      <c r="A25" s="18" t="s">
        <v>68</v>
      </c>
      <c r="B25" s="22">
        <f t="shared" ref="B25:B27" si="9">SUM(C25:N25)</f>
        <v>1719.72</v>
      </c>
      <c r="C25" s="19">
        <f>382.16*4+191.08</f>
        <v>1719.72</v>
      </c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7">
        <f t="shared" si="3"/>
        <v>1719.72</v>
      </c>
    </row>
    <row r="26" spans="1:15" x14ac:dyDescent="0.25">
      <c r="A26" s="18" t="s">
        <v>70</v>
      </c>
      <c r="B26" s="22">
        <f t="shared" si="9"/>
        <v>1844</v>
      </c>
      <c r="C26" s="19">
        <v>829.8</v>
      </c>
      <c r="D26" s="19">
        <v>1014.2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7">
        <f t="shared" si="3"/>
        <v>1844</v>
      </c>
    </row>
    <row r="27" spans="1:15" x14ac:dyDescent="0.25">
      <c r="A27" s="18" t="s">
        <v>89</v>
      </c>
      <c r="B27" s="22">
        <f t="shared" si="9"/>
        <v>403.2</v>
      </c>
      <c r="C27" s="19">
        <v>168</v>
      </c>
      <c r="D27" s="19">
        <v>235.2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7">
        <f t="shared" ref="O27:O54" si="10">C27+D27+E27+F27+G27+H27+I27+J27+K27+L27+M27+N27</f>
        <v>403.2</v>
      </c>
    </row>
    <row r="28" spans="1:15" s="38" customFormat="1" x14ac:dyDescent="0.25">
      <c r="A28" s="34" t="s">
        <v>256</v>
      </c>
      <c r="B28" s="36">
        <f t="shared" ref="B28:B29" si="11">SUM(C28:N28)</f>
        <v>0</v>
      </c>
      <c r="C28" s="36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17">
        <f t="shared" si="10"/>
        <v>0</v>
      </c>
    </row>
    <row r="29" spans="1:15" s="38" customFormat="1" x14ac:dyDescent="0.25">
      <c r="A29" s="34" t="s">
        <v>257</v>
      </c>
      <c r="B29" s="35">
        <f t="shared" si="11"/>
        <v>0</v>
      </c>
      <c r="C29" s="35"/>
      <c r="D29" s="35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17">
        <f t="shared" si="10"/>
        <v>0</v>
      </c>
    </row>
    <row r="30" spans="1:15" s="556" customFormat="1" x14ac:dyDescent="0.25">
      <c r="A30" s="554" t="s">
        <v>73</v>
      </c>
      <c r="B30" s="557">
        <f>SUM(B31:B56)</f>
        <v>157817.78</v>
      </c>
      <c r="C30" s="558">
        <f>SUM(C31:C55)</f>
        <v>76041.035000000003</v>
      </c>
      <c r="D30" s="558">
        <f t="shared" ref="D30:N30" si="12">SUM(D31:D55)</f>
        <v>80276.744999999995</v>
      </c>
      <c r="E30" s="558">
        <f t="shared" si="12"/>
        <v>0</v>
      </c>
      <c r="F30" s="558">
        <f t="shared" si="12"/>
        <v>0</v>
      </c>
      <c r="G30" s="558">
        <f t="shared" si="12"/>
        <v>0</v>
      </c>
      <c r="H30" s="558">
        <f t="shared" si="12"/>
        <v>0</v>
      </c>
      <c r="I30" s="558">
        <f t="shared" si="12"/>
        <v>0</v>
      </c>
      <c r="J30" s="558">
        <f t="shared" si="12"/>
        <v>0</v>
      </c>
      <c r="K30" s="558">
        <f t="shared" si="12"/>
        <v>0</v>
      </c>
      <c r="L30" s="558">
        <f t="shared" si="12"/>
        <v>0</v>
      </c>
      <c r="M30" s="558">
        <f t="shared" si="12"/>
        <v>0</v>
      </c>
      <c r="N30" s="558">
        <f t="shared" si="12"/>
        <v>0</v>
      </c>
      <c r="O30" s="556">
        <f t="shared" si="10"/>
        <v>156317.78</v>
      </c>
    </row>
    <row r="31" spans="1:15" s="17" customFormat="1" x14ac:dyDescent="0.25">
      <c r="A31" s="18" t="s">
        <v>88</v>
      </c>
      <c r="B31" s="22">
        <f t="shared" ref="B31:B51" si="13">SUM(C31:N31)</f>
        <v>1834.38</v>
      </c>
      <c r="C31" s="19">
        <v>1269.46</v>
      </c>
      <c r="D31" s="19">
        <v>564.91999999999996</v>
      </c>
      <c r="E31" s="20"/>
      <c r="F31" s="20"/>
      <c r="G31" s="20"/>
      <c r="H31" s="20"/>
      <c r="I31" s="20"/>
      <c r="J31" s="20"/>
      <c r="K31" s="20"/>
      <c r="L31" s="20"/>
      <c r="M31" s="23"/>
      <c r="N31" s="23"/>
      <c r="O31" s="17">
        <f t="shared" ref="O31:O51" si="14">C31+D31+E31+F31+G31+H31+I31+J31+K31+L31+M31+N31</f>
        <v>1834.38</v>
      </c>
    </row>
    <row r="32" spans="1:15" s="17" customFormat="1" x14ac:dyDescent="0.25">
      <c r="A32" s="18" t="s">
        <v>86</v>
      </c>
      <c r="B32" s="22">
        <f t="shared" si="13"/>
        <v>7678</v>
      </c>
      <c r="C32" s="19">
        <f>5200-C33</f>
        <v>3579</v>
      </c>
      <c r="D32" s="19">
        <f>5720-D33</f>
        <v>4099</v>
      </c>
      <c r="E32" s="20"/>
      <c r="F32" s="20"/>
      <c r="G32" s="20"/>
      <c r="H32" s="20"/>
      <c r="I32" s="20"/>
      <c r="J32" s="20"/>
      <c r="K32" s="20"/>
      <c r="L32" s="20"/>
      <c r="M32" s="22"/>
      <c r="N32" s="22"/>
      <c r="O32" s="17">
        <f t="shared" si="14"/>
        <v>7678</v>
      </c>
    </row>
    <row r="33" spans="1:15" s="17" customFormat="1" x14ac:dyDescent="0.25">
      <c r="A33" s="18" t="s">
        <v>87</v>
      </c>
      <c r="B33" s="22">
        <f t="shared" si="13"/>
        <v>3242</v>
      </c>
      <c r="C33" s="20">
        <v>1621</v>
      </c>
      <c r="D33" s="20">
        <v>1621</v>
      </c>
      <c r="E33" s="20"/>
      <c r="F33" s="20"/>
      <c r="G33" s="20"/>
      <c r="H33" s="20"/>
      <c r="I33" s="20"/>
      <c r="J33" s="20"/>
      <c r="K33" s="20"/>
      <c r="L33" s="20"/>
      <c r="M33" s="22"/>
      <c r="N33" s="19"/>
      <c r="O33" s="17">
        <f t="shared" si="14"/>
        <v>3242</v>
      </c>
    </row>
    <row r="34" spans="1:15" s="17" customFormat="1" x14ac:dyDescent="0.25">
      <c r="A34" s="18" t="s">
        <v>555</v>
      </c>
      <c r="B34" s="22">
        <f t="shared" si="13"/>
        <v>3018</v>
      </c>
      <c r="C34" s="20"/>
      <c r="D34" s="19">
        <f>1509+1509</f>
        <v>3018</v>
      </c>
      <c r="E34" s="20"/>
      <c r="F34" s="20"/>
      <c r="G34" s="20"/>
      <c r="H34" s="20"/>
      <c r="I34" s="20"/>
      <c r="J34" s="20"/>
      <c r="K34" s="20"/>
      <c r="L34" s="20"/>
      <c r="M34" s="22"/>
      <c r="N34" s="19"/>
      <c r="O34" s="17">
        <f t="shared" ref="O34:O35" si="15">C34+D34+E34+F34+G34+H34+I34+J34+K34+L34+M34+N34</f>
        <v>3018</v>
      </c>
    </row>
    <row r="35" spans="1:15" s="17" customFormat="1" x14ac:dyDescent="0.25">
      <c r="A35" s="18" t="s">
        <v>556</v>
      </c>
      <c r="B35" s="22">
        <f t="shared" si="13"/>
        <v>520</v>
      </c>
      <c r="C35" s="20"/>
      <c r="D35" s="19">
        <v>520</v>
      </c>
      <c r="E35" s="20"/>
      <c r="F35" s="20"/>
      <c r="G35" s="20"/>
      <c r="H35" s="20"/>
      <c r="I35" s="20"/>
      <c r="J35" s="20"/>
      <c r="K35" s="20"/>
      <c r="L35" s="20"/>
      <c r="M35" s="22"/>
      <c r="N35" s="19"/>
      <c r="O35" s="17">
        <f t="shared" si="15"/>
        <v>520</v>
      </c>
    </row>
    <row r="36" spans="1:15" s="17" customFormat="1" x14ac:dyDescent="0.25">
      <c r="A36" s="18" t="s">
        <v>77</v>
      </c>
      <c r="B36" s="22">
        <f t="shared" si="13"/>
        <v>152.05000000000001</v>
      </c>
      <c r="C36" s="19">
        <v>97.7</v>
      </c>
      <c r="D36" s="19">
        <f>108.7/2</f>
        <v>54.35</v>
      </c>
      <c r="E36" s="19"/>
      <c r="F36" s="19"/>
      <c r="G36" s="19"/>
      <c r="H36" s="19"/>
      <c r="I36" s="19"/>
      <c r="J36" s="19"/>
      <c r="K36" s="19"/>
      <c r="L36" s="19"/>
      <c r="M36" s="22"/>
      <c r="N36" s="22"/>
      <c r="O36" s="17">
        <f t="shared" si="14"/>
        <v>152.05000000000001</v>
      </c>
    </row>
    <row r="37" spans="1:15" s="17" customFormat="1" x14ac:dyDescent="0.25">
      <c r="A37" s="18" t="s">
        <v>56</v>
      </c>
      <c r="B37" s="22">
        <f t="shared" si="13"/>
        <v>3182.83</v>
      </c>
      <c r="C37" s="19">
        <f>3182.83/2</f>
        <v>1591.415</v>
      </c>
      <c r="D37" s="19">
        <f>3182.83/2</f>
        <v>1591.415</v>
      </c>
      <c r="E37" s="19"/>
      <c r="F37" s="19"/>
      <c r="G37" s="19"/>
      <c r="H37" s="19"/>
      <c r="I37" s="19"/>
      <c r="J37" s="19"/>
      <c r="K37" s="19"/>
      <c r="L37" s="19"/>
      <c r="M37" s="20"/>
      <c r="N37" s="19"/>
      <c r="O37" s="17">
        <f t="shared" si="14"/>
        <v>3182.83</v>
      </c>
    </row>
    <row r="38" spans="1:15" s="17" customFormat="1" x14ac:dyDescent="0.25">
      <c r="A38" s="18" t="s">
        <v>54</v>
      </c>
      <c r="B38" s="22">
        <f t="shared" si="13"/>
        <v>23379</v>
      </c>
      <c r="C38" s="19">
        <f>12500-C39</f>
        <v>11689.5</v>
      </c>
      <c r="D38" s="19">
        <f>12500-D39</f>
        <v>11689.5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7">
        <f t="shared" si="14"/>
        <v>23379</v>
      </c>
    </row>
    <row r="39" spans="1:15" s="17" customFormat="1" x14ac:dyDescent="0.25">
      <c r="A39" s="18" t="s">
        <v>55</v>
      </c>
      <c r="B39" s="22">
        <f t="shared" si="13"/>
        <v>1621</v>
      </c>
      <c r="C39" s="20">
        <v>810.5</v>
      </c>
      <c r="D39" s="20">
        <v>810.5</v>
      </c>
      <c r="E39" s="19"/>
      <c r="F39" s="19"/>
      <c r="G39" s="19"/>
      <c r="H39" s="19"/>
      <c r="I39" s="19"/>
      <c r="J39" s="19"/>
      <c r="K39" s="19"/>
      <c r="L39" s="19"/>
      <c r="M39" s="22"/>
      <c r="N39" s="22"/>
      <c r="O39" s="17">
        <f t="shared" si="14"/>
        <v>1621</v>
      </c>
    </row>
    <row r="40" spans="1:15" s="17" customFormat="1" x14ac:dyDescent="0.25">
      <c r="A40" s="18" t="s">
        <v>80</v>
      </c>
      <c r="B40" s="22">
        <f t="shared" si="13"/>
        <v>1834.38</v>
      </c>
      <c r="C40" s="22">
        <v>1269.46</v>
      </c>
      <c r="D40" s="22">
        <v>564.91999999999996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7">
        <f t="shared" si="14"/>
        <v>1834.38</v>
      </c>
    </row>
    <row r="41" spans="1:15" s="17" customFormat="1" x14ac:dyDescent="0.25">
      <c r="A41" s="18" t="s">
        <v>78</v>
      </c>
      <c r="B41" s="22">
        <f t="shared" si="13"/>
        <v>15040.88</v>
      </c>
      <c r="C41" s="22">
        <f t="shared" ref="C41" si="16">8624-C42</f>
        <v>7003</v>
      </c>
      <c r="D41" s="22">
        <f>9658.88-D42</f>
        <v>8037.8799999999992</v>
      </c>
      <c r="E41" s="22"/>
      <c r="F41" s="22"/>
      <c r="G41" s="22"/>
      <c r="H41" s="22"/>
      <c r="I41" s="22"/>
      <c r="J41" s="22"/>
      <c r="K41" s="22"/>
      <c r="L41" s="22"/>
      <c r="M41" s="19"/>
      <c r="N41" s="19"/>
      <c r="O41" s="17">
        <f t="shared" si="14"/>
        <v>15040.88</v>
      </c>
    </row>
    <row r="42" spans="1:15" s="17" customFormat="1" x14ac:dyDescent="0.25">
      <c r="A42" s="18" t="s">
        <v>79</v>
      </c>
      <c r="B42" s="22">
        <f t="shared" si="13"/>
        <v>3242</v>
      </c>
      <c r="C42" s="19">
        <v>1621</v>
      </c>
      <c r="D42" s="19">
        <v>1621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7">
        <f t="shared" si="14"/>
        <v>3242</v>
      </c>
    </row>
    <row r="43" spans="1:15" s="17" customFormat="1" x14ac:dyDescent="0.25">
      <c r="A43" s="18" t="s">
        <v>81</v>
      </c>
      <c r="B43" s="22">
        <f t="shared" si="13"/>
        <v>1034.3800000000001</v>
      </c>
      <c r="C43" s="19"/>
      <c r="D43" s="19">
        <v>1034.3800000000001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7">
        <f t="shared" si="14"/>
        <v>1034.3800000000001</v>
      </c>
    </row>
    <row r="44" spans="1:15" s="17" customFormat="1" x14ac:dyDescent="0.25">
      <c r="A44" s="18" t="s">
        <v>84</v>
      </c>
      <c r="B44" s="22">
        <f t="shared" si="13"/>
        <v>4244.6000000000004</v>
      </c>
      <c r="C44" s="22">
        <v>2122.3000000000002</v>
      </c>
      <c r="D44" s="22">
        <v>2122.3000000000002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17">
        <f t="shared" si="14"/>
        <v>4244.6000000000004</v>
      </c>
    </row>
    <row r="45" spans="1:15" s="17" customFormat="1" x14ac:dyDescent="0.25">
      <c r="A45" s="18" t="s">
        <v>82</v>
      </c>
      <c r="B45" s="22">
        <f t="shared" si="13"/>
        <v>22758</v>
      </c>
      <c r="C45" s="23">
        <f>12500-C46</f>
        <v>10879</v>
      </c>
      <c r="D45" s="22">
        <f>13500-D46</f>
        <v>11879</v>
      </c>
      <c r="E45" s="22"/>
      <c r="F45" s="22"/>
      <c r="G45" s="22"/>
      <c r="H45" s="22"/>
      <c r="I45" s="22"/>
      <c r="J45" s="22"/>
      <c r="K45" s="22"/>
      <c r="L45" s="22"/>
      <c r="M45" s="23"/>
      <c r="N45" s="23"/>
      <c r="O45" s="17">
        <f t="shared" si="14"/>
        <v>22758</v>
      </c>
    </row>
    <row r="46" spans="1:15" s="17" customFormat="1" x14ac:dyDescent="0.25">
      <c r="A46" s="18" t="s">
        <v>83</v>
      </c>
      <c r="B46" s="22">
        <f t="shared" si="13"/>
        <v>3242</v>
      </c>
      <c r="C46" s="19">
        <v>1621</v>
      </c>
      <c r="D46" s="19">
        <v>1621</v>
      </c>
      <c r="E46" s="19"/>
      <c r="F46" s="19"/>
      <c r="G46" s="19"/>
      <c r="H46" s="19"/>
      <c r="I46" s="19"/>
      <c r="J46" s="19"/>
      <c r="K46" s="19"/>
      <c r="L46" s="19"/>
      <c r="M46" s="22"/>
      <c r="N46" s="19"/>
      <c r="O46" s="17">
        <f t="shared" si="14"/>
        <v>3242</v>
      </c>
    </row>
    <row r="47" spans="1:15" s="17" customFormat="1" x14ac:dyDescent="0.25">
      <c r="A47" s="18" t="s">
        <v>85</v>
      </c>
      <c r="B47" s="22">
        <f t="shared" si="13"/>
        <v>1000</v>
      </c>
      <c r="C47" s="19"/>
      <c r="D47" s="19">
        <v>1000</v>
      </c>
      <c r="E47" s="20"/>
      <c r="F47" s="20"/>
      <c r="G47" s="20"/>
      <c r="H47" s="20"/>
      <c r="I47" s="20"/>
      <c r="J47" s="20"/>
      <c r="K47" s="20"/>
      <c r="L47" s="20"/>
      <c r="M47" s="22"/>
      <c r="N47" s="20"/>
      <c r="O47" s="17">
        <f t="shared" si="14"/>
        <v>1000</v>
      </c>
    </row>
    <row r="48" spans="1:15" s="17" customFormat="1" x14ac:dyDescent="0.25">
      <c r="A48" s="18" t="s">
        <v>76</v>
      </c>
      <c r="B48" s="22">
        <f t="shared" si="13"/>
        <v>5783.3099999999995</v>
      </c>
      <c r="C48" s="22">
        <v>2355.73</v>
      </c>
      <c r="D48" s="19">
        <v>3427.58</v>
      </c>
      <c r="E48" s="19"/>
      <c r="F48" s="19"/>
      <c r="G48" s="19"/>
      <c r="H48" s="19"/>
      <c r="I48" s="19"/>
      <c r="J48" s="19"/>
      <c r="K48" s="19"/>
      <c r="L48" s="19"/>
      <c r="M48" s="22"/>
      <c r="N48" s="22"/>
      <c r="O48" s="17">
        <f t="shared" si="14"/>
        <v>5783.3099999999995</v>
      </c>
    </row>
    <row r="49" spans="1:15" s="17" customFormat="1" x14ac:dyDescent="0.25">
      <c r="A49" s="18" t="s">
        <v>74</v>
      </c>
      <c r="B49" s="22">
        <f t="shared" si="13"/>
        <v>46758</v>
      </c>
      <c r="C49" s="19">
        <f>25000-C50</f>
        <v>23379</v>
      </c>
      <c r="D49" s="19">
        <f>25000-D50</f>
        <v>23379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7">
        <f t="shared" si="14"/>
        <v>46758</v>
      </c>
    </row>
    <row r="50" spans="1:15" s="17" customFormat="1" x14ac:dyDescent="0.25">
      <c r="A50" s="18" t="s">
        <v>75</v>
      </c>
      <c r="B50" s="22">
        <f t="shared" si="13"/>
        <v>3242</v>
      </c>
      <c r="C50" s="19">
        <v>1621</v>
      </c>
      <c r="D50" s="19">
        <v>1621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7">
        <f t="shared" si="14"/>
        <v>3242</v>
      </c>
    </row>
    <row r="51" spans="1:15" s="17" customFormat="1" x14ac:dyDescent="0.25">
      <c r="A51" s="18" t="s">
        <v>258</v>
      </c>
      <c r="B51" s="22">
        <f t="shared" si="13"/>
        <v>1409.09</v>
      </c>
      <c r="C51" s="625">
        <v>1409.09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7">
        <f t="shared" si="14"/>
        <v>1409.09</v>
      </c>
    </row>
    <row r="52" spans="1:15" s="17" customFormat="1" x14ac:dyDescent="0.25">
      <c r="A52" s="18" t="s">
        <v>259</v>
      </c>
      <c r="B52" s="22">
        <f t="shared" ref="B52:B57" si="17">SUM(C52:N52)</f>
        <v>2101.88</v>
      </c>
      <c r="C52" s="19">
        <f>382.16*5+191.08</f>
        <v>2101.88</v>
      </c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17">
        <f t="shared" si="10"/>
        <v>2101.88</v>
      </c>
    </row>
    <row r="53" spans="1:15" s="17" customFormat="1" x14ac:dyDescent="0.25">
      <c r="A53" s="18" t="s">
        <v>260</v>
      </c>
      <c r="B53" s="22">
        <f t="shared" si="17"/>
        <v>0</v>
      </c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7">
        <f t="shared" si="10"/>
        <v>0</v>
      </c>
    </row>
    <row r="54" spans="1:15" s="17" customFormat="1" x14ac:dyDescent="0.25">
      <c r="A54" s="18" t="s">
        <v>70</v>
      </c>
      <c r="B54" s="22">
        <f t="shared" si="17"/>
        <v>0</v>
      </c>
      <c r="C54" s="19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7">
        <f t="shared" si="10"/>
        <v>0</v>
      </c>
    </row>
    <row r="55" spans="1:15" s="17" customFormat="1" x14ac:dyDescent="0.25">
      <c r="A55" s="18" t="s">
        <v>89</v>
      </c>
      <c r="B55" s="22">
        <f t="shared" si="17"/>
        <v>0</v>
      </c>
      <c r="C55" s="19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7">
        <f t="shared" ref="O55:O81" si="18">C55+D55+E55+F55+G55+H55+I55+J55+K55+L55+M55+N55</f>
        <v>0</v>
      </c>
    </row>
    <row r="56" spans="1:15" s="40" customFormat="1" x14ac:dyDescent="0.25">
      <c r="A56" s="41" t="s">
        <v>261</v>
      </c>
      <c r="B56" s="42">
        <f t="shared" si="17"/>
        <v>1500</v>
      </c>
      <c r="C56" s="42"/>
      <c r="D56" s="42">
        <v>1500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17">
        <f t="shared" si="18"/>
        <v>1500</v>
      </c>
    </row>
    <row r="57" spans="1:15" s="40" customFormat="1" x14ac:dyDescent="0.25">
      <c r="A57" s="41" t="s">
        <v>262</v>
      </c>
      <c r="B57" s="42">
        <f t="shared" si="17"/>
        <v>0</v>
      </c>
      <c r="C57" s="42"/>
      <c r="D57" s="42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17">
        <f t="shared" si="18"/>
        <v>0</v>
      </c>
    </row>
    <row r="58" spans="1:15" s="556" customFormat="1" x14ac:dyDescent="0.25">
      <c r="A58" s="554" t="s">
        <v>91</v>
      </c>
      <c r="B58" s="557">
        <f t="shared" ref="B58:B71" si="19">SUM(C58:N58)</f>
        <v>123807.51000000001</v>
      </c>
      <c r="C58" s="558">
        <f t="shared" ref="C58:M58" si="20">SUM(C59:C74)</f>
        <v>62013.17</v>
      </c>
      <c r="D58" s="558">
        <f t="shared" si="20"/>
        <v>61794.340000000004</v>
      </c>
      <c r="E58" s="558">
        <f t="shared" si="20"/>
        <v>0</v>
      </c>
      <c r="F58" s="558">
        <f t="shared" si="20"/>
        <v>0</v>
      </c>
      <c r="G58" s="558">
        <f t="shared" si="20"/>
        <v>0</v>
      </c>
      <c r="H58" s="558">
        <f t="shared" si="20"/>
        <v>0</v>
      </c>
      <c r="I58" s="558">
        <f t="shared" si="20"/>
        <v>0</v>
      </c>
      <c r="J58" s="558">
        <f t="shared" si="20"/>
        <v>0</v>
      </c>
      <c r="K58" s="558">
        <f t="shared" si="20"/>
        <v>0</v>
      </c>
      <c r="L58" s="558">
        <f t="shared" si="20"/>
        <v>0</v>
      </c>
      <c r="M58" s="558">
        <f t="shared" si="20"/>
        <v>0</v>
      </c>
      <c r="N58" s="558">
        <f>SUM(N59:N76)</f>
        <v>0</v>
      </c>
      <c r="O58" s="556">
        <f t="shared" si="18"/>
        <v>123807.51000000001</v>
      </c>
    </row>
    <row r="59" spans="1:15" x14ac:dyDescent="0.25">
      <c r="A59" s="18" t="s">
        <v>263</v>
      </c>
      <c r="B59" s="22">
        <f t="shared" si="19"/>
        <v>0</v>
      </c>
      <c r="C59" s="22"/>
      <c r="D59" s="2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17"/>
    </row>
    <row r="60" spans="1:15" x14ac:dyDescent="0.25">
      <c r="A60" s="18" t="s">
        <v>264</v>
      </c>
      <c r="B60" s="22">
        <f t="shared" si="19"/>
        <v>2538.46</v>
      </c>
      <c r="C60" s="22">
        <v>1269</v>
      </c>
      <c r="D60" s="22">
        <v>1269.46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17"/>
    </row>
    <row r="61" spans="1:15" x14ac:dyDescent="0.25">
      <c r="A61" s="18" t="s">
        <v>265</v>
      </c>
      <c r="B61" s="22">
        <f t="shared" si="19"/>
        <v>9398</v>
      </c>
      <c r="C61" s="22">
        <f>6320-C62</f>
        <v>4699</v>
      </c>
      <c r="D61" s="22">
        <f>6320-D62</f>
        <v>4699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17"/>
    </row>
    <row r="62" spans="1:15" x14ac:dyDescent="0.25">
      <c r="A62" s="18" t="s">
        <v>266</v>
      </c>
      <c r="B62" s="22">
        <f t="shared" si="19"/>
        <v>3242</v>
      </c>
      <c r="C62" s="22">
        <v>1621</v>
      </c>
      <c r="D62" s="22">
        <v>1621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17"/>
    </row>
    <row r="63" spans="1:15" x14ac:dyDescent="0.25">
      <c r="A63" s="18" t="s">
        <v>96</v>
      </c>
      <c r="B63" s="22">
        <f t="shared" si="19"/>
        <v>3128.16</v>
      </c>
      <c r="C63" s="22">
        <v>1564.08</v>
      </c>
      <c r="D63" s="22">
        <v>1564.08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17">
        <f>C63+D63+E63+F63+G63+H63+I63+J63+K63+L63+M63+N63</f>
        <v>3128.16</v>
      </c>
    </row>
    <row r="64" spans="1:15" x14ac:dyDescent="0.25">
      <c r="A64" s="18" t="s">
        <v>94</v>
      </c>
      <c r="B64" s="22">
        <f t="shared" si="19"/>
        <v>25208.400000000001</v>
      </c>
      <c r="C64" s="22">
        <f t="shared" ref="C64" si="21">13420-C65</f>
        <v>11799</v>
      </c>
      <c r="D64" s="22">
        <f>15030.4-D65</f>
        <v>13409.4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17">
        <f>C64+D64+E64+F64+G64+H64+I64+J64+K64+L64+M64+N64</f>
        <v>25208.400000000001</v>
      </c>
    </row>
    <row r="65" spans="1:15" x14ac:dyDescent="0.25">
      <c r="A65" s="18" t="s">
        <v>95</v>
      </c>
      <c r="B65" s="22">
        <f t="shared" si="19"/>
        <v>3242</v>
      </c>
      <c r="C65" s="22">
        <v>1621</v>
      </c>
      <c r="D65" s="22">
        <v>1621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17">
        <f>C65+D65+E65+F65+G65+H65+I65+J65+K65+L65+M65+N65</f>
        <v>3242</v>
      </c>
    </row>
    <row r="66" spans="1:15" x14ac:dyDescent="0.25">
      <c r="A66" s="18" t="s">
        <v>97</v>
      </c>
      <c r="B66" s="22">
        <f t="shared" si="19"/>
        <v>1610.4</v>
      </c>
      <c r="C66" s="22"/>
      <c r="D66" s="22">
        <v>1610.4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17">
        <f>C66+D66+E66+F66+G66+H66+I66+J66+K66+L66+M66+N66</f>
        <v>1610.4</v>
      </c>
    </row>
    <row r="67" spans="1:15" x14ac:dyDescent="0.25">
      <c r="A67" s="18" t="s">
        <v>267</v>
      </c>
      <c r="B67" s="22">
        <f t="shared" si="19"/>
        <v>1911.45</v>
      </c>
      <c r="C67" s="22">
        <v>1911.45</v>
      </c>
      <c r="D67" s="626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17"/>
    </row>
    <row r="68" spans="1:15" x14ac:dyDescent="0.25">
      <c r="A68" s="18" t="s">
        <v>268</v>
      </c>
      <c r="B68" s="22">
        <f t="shared" si="19"/>
        <v>18758</v>
      </c>
      <c r="C68" s="22">
        <f>11000-C69</f>
        <v>9379</v>
      </c>
      <c r="D68" s="626">
        <f>11000-D69</f>
        <v>9379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17"/>
    </row>
    <row r="69" spans="1:15" x14ac:dyDescent="0.25">
      <c r="A69" s="18" t="s">
        <v>557</v>
      </c>
      <c r="B69" s="22">
        <f t="shared" si="19"/>
        <v>3242</v>
      </c>
      <c r="C69" s="22">
        <v>1621</v>
      </c>
      <c r="D69" s="626">
        <v>1621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17"/>
    </row>
    <row r="70" spans="1:15" x14ac:dyDescent="0.25">
      <c r="A70" s="18" t="s">
        <v>92</v>
      </c>
      <c r="B70" s="22">
        <f t="shared" si="19"/>
        <v>46758</v>
      </c>
      <c r="C70" s="19">
        <f>25000-C71</f>
        <v>23379</v>
      </c>
      <c r="D70" s="19">
        <f>25000-D71</f>
        <v>23379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7">
        <f>C70+D70+E70+F70+G70+H70+I70+J70+K70+L70+M70+N70</f>
        <v>46758</v>
      </c>
    </row>
    <row r="71" spans="1:15" x14ac:dyDescent="0.25">
      <c r="A71" s="18" t="s">
        <v>93</v>
      </c>
      <c r="B71" s="22">
        <f t="shared" si="19"/>
        <v>3242</v>
      </c>
      <c r="C71" s="19">
        <v>1621</v>
      </c>
      <c r="D71" s="19">
        <v>1621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7">
        <f>C71+D71+E71+F71+G71+H71+I71+J71+K71+L71+M71+N71</f>
        <v>3242</v>
      </c>
    </row>
    <row r="72" spans="1:15" x14ac:dyDescent="0.25">
      <c r="A72" s="18" t="s">
        <v>260</v>
      </c>
      <c r="B72" s="22">
        <f t="shared" ref="B72:B76" si="22">SUM(C72:N72)</f>
        <v>0</v>
      </c>
      <c r="C72" s="19"/>
      <c r="D72" s="1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7">
        <f t="shared" si="18"/>
        <v>0</v>
      </c>
    </row>
    <row r="73" spans="1:15" x14ac:dyDescent="0.25">
      <c r="A73" s="18" t="s">
        <v>70</v>
      </c>
      <c r="B73" s="22">
        <f t="shared" si="22"/>
        <v>0</v>
      </c>
      <c r="C73" s="19"/>
      <c r="D73" s="1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7">
        <f t="shared" si="18"/>
        <v>0</v>
      </c>
    </row>
    <row r="74" spans="1:15" s="17" customFormat="1" x14ac:dyDescent="0.25">
      <c r="A74" s="18" t="s">
        <v>68</v>
      </c>
      <c r="B74" s="22">
        <f t="shared" si="22"/>
        <v>1528.64</v>
      </c>
      <c r="C74" s="19">
        <f>382.16*4</f>
        <v>1528.64</v>
      </c>
      <c r="D74" s="1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7">
        <f t="shared" si="18"/>
        <v>1528.64</v>
      </c>
    </row>
    <row r="75" spans="1:15" s="49" customFormat="1" x14ac:dyDescent="0.25">
      <c r="A75" s="46" t="s">
        <v>269</v>
      </c>
      <c r="B75" s="47">
        <f t="shared" si="22"/>
        <v>0</v>
      </c>
      <c r="C75" s="47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17">
        <f t="shared" si="18"/>
        <v>0</v>
      </c>
    </row>
    <row r="76" spans="1:15" s="49" customFormat="1" x14ac:dyDescent="0.25">
      <c r="A76" s="46" t="s">
        <v>270</v>
      </c>
      <c r="B76" s="47">
        <f t="shared" si="22"/>
        <v>0</v>
      </c>
      <c r="C76" s="47"/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17">
        <f t="shared" si="18"/>
        <v>0</v>
      </c>
    </row>
    <row r="77" spans="1:15" s="556" customFormat="1" x14ac:dyDescent="0.25">
      <c r="A77" s="554" t="s">
        <v>101</v>
      </c>
      <c r="B77" s="557">
        <f>SUM(C77:N77)</f>
        <v>9762.5399999999991</v>
      </c>
      <c r="C77" s="558">
        <f>SUM(C78:C79)</f>
        <v>8549.81</v>
      </c>
      <c r="D77" s="558">
        <f t="shared" ref="D77:M77" si="23">SUM(D78:D79)</f>
        <v>1212.73</v>
      </c>
      <c r="E77" s="558">
        <f t="shared" si="23"/>
        <v>0</v>
      </c>
      <c r="F77" s="558">
        <f t="shared" si="23"/>
        <v>0</v>
      </c>
      <c r="G77" s="558">
        <f t="shared" si="23"/>
        <v>0</v>
      </c>
      <c r="H77" s="558">
        <f t="shared" si="23"/>
        <v>0</v>
      </c>
      <c r="I77" s="558">
        <f t="shared" si="23"/>
        <v>0</v>
      </c>
      <c r="J77" s="558">
        <f t="shared" si="23"/>
        <v>0</v>
      </c>
      <c r="K77" s="558">
        <f t="shared" si="23"/>
        <v>0</v>
      </c>
      <c r="L77" s="558">
        <f t="shared" si="23"/>
        <v>0</v>
      </c>
      <c r="M77" s="558">
        <f t="shared" si="23"/>
        <v>0</v>
      </c>
      <c r="N77" s="558">
        <f>SUM(N78:N79)</f>
        <v>0</v>
      </c>
      <c r="O77" s="556">
        <f t="shared" si="18"/>
        <v>9762.5399999999991</v>
      </c>
    </row>
    <row r="78" spans="1:15" s="17" customFormat="1" x14ac:dyDescent="0.25">
      <c r="A78" s="18" t="s">
        <v>102</v>
      </c>
      <c r="B78" s="22">
        <f>SUM(C78:N78)</f>
        <v>0</v>
      </c>
      <c r="C78" s="19"/>
      <c r="D78" s="1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7">
        <f t="shared" si="18"/>
        <v>0</v>
      </c>
    </row>
    <row r="79" spans="1:15" s="17" customFormat="1" x14ac:dyDescent="0.25">
      <c r="A79" s="18" t="s">
        <v>103</v>
      </c>
      <c r="B79" s="22">
        <f>SUM(C79:N79)</f>
        <v>9762.5399999999991</v>
      </c>
      <c r="C79" s="19">
        <f>86.06+3916.04+250.06+3947.65+350</f>
        <v>8549.81</v>
      </c>
      <c r="D79" s="19">
        <f>374.31+800+38.42</f>
        <v>1212.73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7">
        <f t="shared" si="18"/>
        <v>9762.5399999999991</v>
      </c>
    </row>
    <row r="80" spans="1:15" s="556" customFormat="1" x14ac:dyDescent="0.25">
      <c r="A80" s="554" t="s">
        <v>104</v>
      </c>
      <c r="B80" s="557">
        <f>SUM(C80:N80)</f>
        <v>71743.81</v>
      </c>
      <c r="C80" s="558">
        <f>SUM(C81:C86)</f>
        <v>32337.05</v>
      </c>
      <c r="D80" s="558">
        <f t="shared" ref="D80:M80" si="24">SUM(D81:D86)</f>
        <v>39406.76</v>
      </c>
      <c r="E80" s="558">
        <f t="shared" si="24"/>
        <v>0</v>
      </c>
      <c r="F80" s="558">
        <f>SUM(F81:F86)</f>
        <v>0</v>
      </c>
      <c r="G80" s="558">
        <f>SUM(G81:G86)</f>
        <v>0</v>
      </c>
      <c r="H80" s="558">
        <f t="shared" si="24"/>
        <v>0</v>
      </c>
      <c r="I80" s="558">
        <f t="shared" si="24"/>
        <v>0</v>
      </c>
      <c r="J80" s="558">
        <f t="shared" si="24"/>
        <v>0</v>
      </c>
      <c r="K80" s="558">
        <f t="shared" si="24"/>
        <v>0</v>
      </c>
      <c r="L80" s="558">
        <f t="shared" si="24"/>
        <v>0</v>
      </c>
      <c r="M80" s="558">
        <f t="shared" si="24"/>
        <v>0</v>
      </c>
      <c r="N80" s="558">
        <f>SUM(N81:N86)</f>
        <v>0</v>
      </c>
      <c r="O80" s="556">
        <f t="shared" si="18"/>
        <v>71743.81</v>
      </c>
    </row>
    <row r="81" spans="1:15" x14ac:dyDescent="0.25">
      <c r="A81" s="18" t="s">
        <v>105</v>
      </c>
      <c r="B81" s="22">
        <f>SUM(C81:N81)</f>
        <v>52769.26</v>
      </c>
      <c r="C81" s="19">
        <v>26384.63</v>
      </c>
      <c r="D81" s="19">
        <v>26384.63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7">
        <f t="shared" si="18"/>
        <v>52769.26</v>
      </c>
    </row>
    <row r="82" spans="1:15" x14ac:dyDescent="0.25">
      <c r="A82" s="18" t="s">
        <v>106</v>
      </c>
      <c r="B82" s="22">
        <f t="shared" ref="B82:B86" si="25">SUM(C82:N82)</f>
        <v>9992</v>
      </c>
      <c r="C82" s="19">
        <v>4996</v>
      </c>
      <c r="D82" s="19">
        <v>4996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7">
        <f t="shared" ref="O82:O111" si="26">C82+D82+E82+F82+G82+H82+I82+J82+K82+L82+M82+N82</f>
        <v>9992</v>
      </c>
    </row>
    <row r="83" spans="1:15" x14ac:dyDescent="0.25">
      <c r="A83" s="18" t="s">
        <v>271</v>
      </c>
      <c r="B83" s="22">
        <f t="shared" ref="B83" si="27">SUM(C83:N83)</f>
        <v>0</v>
      </c>
      <c r="C83" s="19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7">
        <f t="shared" ref="O83" si="28">C83+D83+E83+F83+G83+H83+I83+J83+K83+L83+M83+N83</f>
        <v>0</v>
      </c>
    </row>
    <row r="84" spans="1:15" x14ac:dyDescent="0.25">
      <c r="A84" s="18" t="s">
        <v>108</v>
      </c>
      <c r="B84" s="22">
        <f t="shared" si="25"/>
        <v>1699.87</v>
      </c>
      <c r="C84" s="19">
        <v>773.71</v>
      </c>
      <c r="D84" s="19">
        <v>926.16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7">
        <f t="shared" si="26"/>
        <v>1699.87</v>
      </c>
    </row>
    <row r="85" spans="1:15" s="17" customFormat="1" x14ac:dyDescent="0.25">
      <c r="A85" s="18" t="s">
        <v>109</v>
      </c>
      <c r="B85" s="22">
        <f t="shared" si="25"/>
        <v>6916.97</v>
      </c>
      <c r="C85" s="19"/>
      <c r="D85" s="19">
        <v>6916.97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7">
        <f t="shared" si="26"/>
        <v>6916.97</v>
      </c>
    </row>
    <row r="86" spans="1:15" s="17" customFormat="1" x14ac:dyDescent="0.25">
      <c r="A86" s="18" t="s">
        <v>110</v>
      </c>
      <c r="B86" s="22">
        <f t="shared" si="25"/>
        <v>365.71000000000004</v>
      </c>
      <c r="C86" s="19">
        <v>182.71</v>
      </c>
      <c r="D86" s="19">
        <v>183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7">
        <f t="shared" si="26"/>
        <v>365.71000000000004</v>
      </c>
    </row>
    <row r="87" spans="1:15" s="556" customFormat="1" x14ac:dyDescent="0.25">
      <c r="A87" s="554" t="s">
        <v>111</v>
      </c>
      <c r="B87" s="557">
        <f t="shared" ref="B87:B120" si="29">SUM(C87:N87)</f>
        <v>1614.3199999999997</v>
      </c>
      <c r="C87" s="558">
        <f>SUM(C88:C89)</f>
        <v>807.15999999999985</v>
      </c>
      <c r="D87" s="558">
        <f t="shared" ref="D87:M87" si="30">SUM(D88:D89)</f>
        <v>807.15999999999985</v>
      </c>
      <c r="E87" s="558">
        <f t="shared" si="30"/>
        <v>0</v>
      </c>
      <c r="F87" s="558">
        <f>SUM(F88:F89)</f>
        <v>0</v>
      </c>
      <c r="G87" s="558">
        <f>SUM(G88:G89)</f>
        <v>0</v>
      </c>
      <c r="H87" s="558">
        <f t="shared" si="30"/>
        <v>0</v>
      </c>
      <c r="I87" s="558">
        <f t="shared" si="30"/>
        <v>0</v>
      </c>
      <c r="J87" s="558">
        <f t="shared" si="30"/>
        <v>0</v>
      </c>
      <c r="K87" s="558">
        <f t="shared" si="30"/>
        <v>0</v>
      </c>
      <c r="L87" s="558">
        <f t="shared" si="30"/>
        <v>0</v>
      </c>
      <c r="M87" s="558">
        <f t="shared" si="30"/>
        <v>0</v>
      </c>
      <c r="N87" s="558">
        <f>SUM(N88:N89)</f>
        <v>0</v>
      </c>
      <c r="O87" s="556">
        <f t="shared" si="26"/>
        <v>1614.3199999999997</v>
      </c>
    </row>
    <row r="88" spans="1:15" x14ac:dyDescent="0.25">
      <c r="A88" s="18" t="s">
        <v>112</v>
      </c>
      <c r="B88" s="22">
        <f t="shared" si="29"/>
        <v>1483.7399999999998</v>
      </c>
      <c r="C88" s="19">
        <f>399.9+184.92+157.05</f>
        <v>741.86999999999989</v>
      </c>
      <c r="D88" s="19">
        <f>399.9+184.92+157.05</f>
        <v>741.86999999999989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7">
        <f t="shared" si="26"/>
        <v>1483.7399999999998</v>
      </c>
    </row>
    <row r="89" spans="1:15" x14ac:dyDescent="0.25">
      <c r="A89" s="18" t="s">
        <v>113</v>
      </c>
      <c r="B89" s="22">
        <f t="shared" si="29"/>
        <v>130.58000000000001</v>
      </c>
      <c r="C89" s="19">
        <v>65.290000000000006</v>
      </c>
      <c r="D89" s="19">
        <v>65.290000000000006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7">
        <f t="shared" si="26"/>
        <v>130.58000000000001</v>
      </c>
    </row>
    <row r="90" spans="1:15" s="556" customFormat="1" x14ac:dyDescent="0.25">
      <c r="A90" s="554" t="s">
        <v>114</v>
      </c>
      <c r="B90" s="557">
        <f t="shared" si="29"/>
        <v>12017.119999999999</v>
      </c>
      <c r="C90" s="557">
        <f t="shared" ref="C90:N90" si="31">SUM(C91:C104)</f>
        <v>6773.44</v>
      </c>
      <c r="D90" s="557">
        <f t="shared" si="31"/>
        <v>5243.68</v>
      </c>
      <c r="E90" s="557">
        <f t="shared" si="31"/>
        <v>0</v>
      </c>
      <c r="F90" s="557">
        <f t="shared" si="31"/>
        <v>0</v>
      </c>
      <c r="G90" s="557">
        <f t="shared" si="31"/>
        <v>0</v>
      </c>
      <c r="H90" s="557">
        <f t="shared" si="31"/>
        <v>0</v>
      </c>
      <c r="I90" s="557">
        <f t="shared" si="31"/>
        <v>0</v>
      </c>
      <c r="J90" s="557">
        <f t="shared" si="31"/>
        <v>0</v>
      </c>
      <c r="K90" s="557">
        <f t="shared" si="31"/>
        <v>0</v>
      </c>
      <c r="L90" s="557">
        <f t="shared" si="31"/>
        <v>0</v>
      </c>
      <c r="M90" s="557">
        <f t="shared" si="31"/>
        <v>0</v>
      </c>
      <c r="N90" s="557">
        <f t="shared" si="31"/>
        <v>0</v>
      </c>
      <c r="O90" s="556">
        <f t="shared" si="26"/>
        <v>12017.119999999999</v>
      </c>
    </row>
    <row r="91" spans="1:15" x14ac:dyDescent="0.25">
      <c r="A91" s="18" t="s">
        <v>115</v>
      </c>
      <c r="B91" s="22">
        <f t="shared" si="29"/>
        <v>0</v>
      </c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17">
        <f t="shared" ref="O91:O102" si="32">C91+D91+E91+F91+G91+H91+I91+J91+K91+L91+M91+N91</f>
        <v>0</v>
      </c>
    </row>
    <row r="92" spans="1:15" x14ac:dyDescent="0.25">
      <c r="A92" s="18" t="s">
        <v>116</v>
      </c>
      <c r="B92" s="22">
        <f t="shared" si="29"/>
        <v>0</v>
      </c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17">
        <f t="shared" si="32"/>
        <v>0</v>
      </c>
    </row>
    <row r="93" spans="1:15" x14ac:dyDescent="0.25">
      <c r="A93" s="18" t="s">
        <v>117</v>
      </c>
      <c r="B93" s="22">
        <f t="shared" si="29"/>
        <v>0</v>
      </c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17">
        <f t="shared" si="32"/>
        <v>0</v>
      </c>
    </row>
    <row r="94" spans="1:15" x14ac:dyDescent="0.25">
      <c r="A94" s="18" t="s">
        <v>118</v>
      </c>
      <c r="B94" s="22">
        <f t="shared" si="29"/>
        <v>0</v>
      </c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7">
        <f t="shared" si="32"/>
        <v>0</v>
      </c>
    </row>
    <row r="95" spans="1:15" x14ac:dyDescent="0.25">
      <c r="A95" s="18" t="s">
        <v>119</v>
      </c>
      <c r="B95" s="22">
        <f t="shared" si="29"/>
        <v>0</v>
      </c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17">
        <f t="shared" si="32"/>
        <v>0</v>
      </c>
    </row>
    <row r="96" spans="1:15" x14ac:dyDescent="0.25">
      <c r="A96" s="18" t="s">
        <v>272</v>
      </c>
      <c r="B96" s="22">
        <f t="shared" si="29"/>
        <v>6098.46</v>
      </c>
      <c r="C96" s="19">
        <v>3049.23</v>
      </c>
      <c r="D96" s="19">
        <v>3049.23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17">
        <f t="shared" si="32"/>
        <v>6098.46</v>
      </c>
    </row>
    <row r="97" spans="1:15" x14ac:dyDescent="0.25">
      <c r="A97" s="18" t="s">
        <v>122</v>
      </c>
      <c r="B97" s="22">
        <f t="shared" si="29"/>
        <v>1839.52</v>
      </c>
      <c r="C97" s="19">
        <v>919.76</v>
      </c>
      <c r="D97" s="19">
        <v>919.76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17">
        <f t="shared" si="32"/>
        <v>1839.52</v>
      </c>
    </row>
    <row r="98" spans="1:15" x14ac:dyDescent="0.25">
      <c r="A98" s="18" t="s">
        <v>123</v>
      </c>
      <c r="B98" s="22">
        <f t="shared" si="29"/>
        <v>50</v>
      </c>
      <c r="C98" s="19"/>
      <c r="D98" s="19">
        <v>50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17">
        <f t="shared" si="32"/>
        <v>50</v>
      </c>
    </row>
    <row r="99" spans="1:15" x14ac:dyDescent="0.25">
      <c r="A99" s="18" t="s">
        <v>124</v>
      </c>
      <c r="B99" s="22">
        <f t="shared" si="29"/>
        <v>1755.6</v>
      </c>
      <c r="C99" s="19">
        <v>836</v>
      </c>
      <c r="D99" s="19">
        <v>919.6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7">
        <f t="shared" si="32"/>
        <v>1755.6</v>
      </c>
    </row>
    <row r="100" spans="1:15" x14ac:dyDescent="0.25">
      <c r="A100" s="18" t="s">
        <v>125</v>
      </c>
      <c r="B100" s="22">
        <f t="shared" si="29"/>
        <v>41.2</v>
      </c>
      <c r="C100" s="19"/>
      <c r="D100" s="19">
        <v>41.2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17">
        <f t="shared" si="32"/>
        <v>41.2</v>
      </c>
    </row>
    <row r="101" spans="1:15" x14ac:dyDescent="0.25">
      <c r="A101" s="18" t="s">
        <v>273</v>
      </c>
      <c r="B101" s="22">
        <f t="shared" si="29"/>
        <v>1259.3800000000001</v>
      </c>
      <c r="C101" s="19">
        <f>216.9+443.9+142.95+191.74</f>
        <v>995.49</v>
      </c>
      <c r="D101" s="19">
        <f>67.3+196.59</f>
        <v>263.89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17">
        <f t="shared" si="32"/>
        <v>1259.3800000000001</v>
      </c>
    </row>
    <row r="102" spans="1:15" x14ac:dyDescent="0.25">
      <c r="A102" s="18" t="s">
        <v>126</v>
      </c>
      <c r="B102" s="22">
        <f t="shared" si="29"/>
        <v>36.76</v>
      </c>
      <c r="C102" s="19">
        <v>36.76</v>
      </c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17">
        <f t="shared" si="32"/>
        <v>36.76</v>
      </c>
    </row>
    <row r="103" spans="1:15" x14ac:dyDescent="0.25">
      <c r="A103" s="18" t="s">
        <v>274</v>
      </c>
      <c r="B103" s="22">
        <f t="shared" si="29"/>
        <v>936.2</v>
      </c>
      <c r="C103" s="19">
        <v>936.2</v>
      </c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17"/>
    </row>
    <row r="104" spans="1:15" x14ac:dyDescent="0.25">
      <c r="A104" s="18" t="s">
        <v>127</v>
      </c>
      <c r="B104" s="22">
        <f t="shared" si="29"/>
        <v>0</v>
      </c>
      <c r="C104" s="19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17">
        <f>C104+D104+E104+F104+G104+H104+I104+J104+K104+L104+M104+N104</f>
        <v>0</v>
      </c>
    </row>
    <row r="105" spans="1:15" s="556" customFormat="1" x14ac:dyDescent="0.25">
      <c r="A105" s="554" t="s">
        <v>128</v>
      </c>
      <c r="B105" s="557">
        <f t="shared" si="29"/>
        <v>52544.99</v>
      </c>
      <c r="C105" s="557">
        <f t="shared" ref="C105:M105" si="33">SUM(C106:C110)</f>
        <v>30035.14</v>
      </c>
      <c r="D105" s="557">
        <f t="shared" si="33"/>
        <v>22509.85</v>
      </c>
      <c r="E105" s="557">
        <f t="shared" si="33"/>
        <v>0</v>
      </c>
      <c r="F105" s="557">
        <f t="shared" si="33"/>
        <v>0</v>
      </c>
      <c r="G105" s="557">
        <f t="shared" si="33"/>
        <v>0</v>
      </c>
      <c r="H105" s="557">
        <f t="shared" si="33"/>
        <v>0</v>
      </c>
      <c r="I105" s="557">
        <f t="shared" si="33"/>
        <v>0</v>
      </c>
      <c r="J105" s="557">
        <f t="shared" si="33"/>
        <v>0</v>
      </c>
      <c r="K105" s="557">
        <f t="shared" si="33"/>
        <v>0</v>
      </c>
      <c r="L105" s="557">
        <f t="shared" si="33"/>
        <v>0</v>
      </c>
      <c r="M105" s="557">
        <f t="shared" si="33"/>
        <v>0</v>
      </c>
      <c r="N105" s="557">
        <f>SUM(N106:N110)</f>
        <v>0</v>
      </c>
      <c r="O105" s="556">
        <f t="shared" si="26"/>
        <v>52544.99</v>
      </c>
    </row>
    <row r="106" spans="1:15" x14ac:dyDescent="0.25">
      <c r="A106" s="18" t="s">
        <v>129</v>
      </c>
      <c r="B106" s="22">
        <f t="shared" si="29"/>
        <v>29411.599999999999</v>
      </c>
      <c r="C106" s="19">
        <v>14705.8</v>
      </c>
      <c r="D106" s="19">
        <v>14705.8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17">
        <f>C106+D106+E106+F106+G106+H106+I106+J106+K106+L106+M106+N106</f>
        <v>29411.599999999999</v>
      </c>
    </row>
    <row r="107" spans="1:15" x14ac:dyDescent="0.25">
      <c r="A107" s="18" t="s">
        <v>133</v>
      </c>
      <c r="B107" s="22">
        <f t="shared" si="29"/>
        <v>6251.98</v>
      </c>
      <c r="C107" s="641">
        <v>6251.98</v>
      </c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17">
        <f>C107+D107+E107+F107+G107+H107+I107+J107+K107+L107+M107+N107</f>
        <v>6251.98</v>
      </c>
    </row>
    <row r="108" spans="1:15" x14ac:dyDescent="0.25">
      <c r="A108" s="18" t="s">
        <v>275</v>
      </c>
      <c r="B108" s="22">
        <f t="shared" si="29"/>
        <v>16881.41</v>
      </c>
      <c r="C108" s="19">
        <v>9077.36</v>
      </c>
      <c r="D108" s="19">
        <v>7804.05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17">
        <f>C108+D108+E108+F108+G108+H108+I108+J108+K108+L108+M108+N108</f>
        <v>16881.41</v>
      </c>
    </row>
    <row r="109" spans="1:15" x14ac:dyDescent="0.25">
      <c r="A109" s="18" t="s">
        <v>131</v>
      </c>
      <c r="B109" s="22">
        <f t="shared" si="29"/>
        <v>0</v>
      </c>
      <c r="C109" s="19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17">
        <f>C109+D109+E109+F109+G109+H109+I109+J109+K109+L109+M109+N109</f>
        <v>0</v>
      </c>
    </row>
    <row r="110" spans="1:15" x14ac:dyDescent="0.25">
      <c r="A110" s="18" t="s">
        <v>132</v>
      </c>
      <c r="B110" s="22">
        <f t="shared" si="29"/>
        <v>0</v>
      </c>
      <c r="C110" s="19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17">
        <f>C110+D110+E110+F110+G110+H110+I110+J110+K110+L110+M110+N110</f>
        <v>0</v>
      </c>
    </row>
    <row r="111" spans="1:15" s="556" customFormat="1" x14ac:dyDescent="0.25">
      <c r="A111" s="554" t="s">
        <v>134</v>
      </c>
      <c r="B111" s="557">
        <f t="shared" si="29"/>
        <v>9946.43</v>
      </c>
      <c r="C111" s="557">
        <f t="shared" ref="C111:N111" si="34">SUM(C112:C118)</f>
        <v>5139.13</v>
      </c>
      <c r="D111" s="557">
        <f t="shared" si="34"/>
        <v>4807.3</v>
      </c>
      <c r="E111" s="557">
        <f t="shared" si="34"/>
        <v>0</v>
      </c>
      <c r="F111" s="557">
        <f t="shared" si="34"/>
        <v>0</v>
      </c>
      <c r="G111" s="557">
        <f t="shared" si="34"/>
        <v>0</v>
      </c>
      <c r="H111" s="557">
        <f t="shared" si="34"/>
        <v>0</v>
      </c>
      <c r="I111" s="557">
        <f t="shared" si="34"/>
        <v>0</v>
      </c>
      <c r="J111" s="557">
        <f t="shared" si="34"/>
        <v>0</v>
      </c>
      <c r="K111" s="557">
        <f t="shared" si="34"/>
        <v>0</v>
      </c>
      <c r="L111" s="557">
        <f t="shared" si="34"/>
        <v>0</v>
      </c>
      <c r="M111" s="557">
        <f t="shared" si="34"/>
        <v>0</v>
      </c>
      <c r="N111" s="557">
        <f t="shared" si="34"/>
        <v>0</v>
      </c>
      <c r="O111" s="556">
        <f t="shared" si="26"/>
        <v>9946.43</v>
      </c>
    </row>
    <row r="112" spans="1:15" x14ac:dyDescent="0.25">
      <c r="A112" s="533" t="s">
        <v>136</v>
      </c>
      <c r="B112" s="22">
        <f t="shared" si="29"/>
        <v>0</v>
      </c>
      <c r="C112" s="19"/>
      <c r="D112" s="19"/>
      <c r="E112" s="19"/>
      <c r="F112" s="19"/>
      <c r="G112" s="19"/>
      <c r="H112" s="19"/>
      <c r="I112" s="19"/>
      <c r="J112" s="20"/>
      <c r="K112" s="20"/>
      <c r="L112" s="20"/>
      <c r="M112" s="20"/>
      <c r="N112" s="20"/>
      <c r="O112" s="17">
        <f>C112+D112+E112+F112+G112+H112+I112+J112+K112+L112+M112+N112</f>
        <v>0</v>
      </c>
    </row>
    <row r="113" spans="1:15" x14ac:dyDescent="0.25">
      <c r="A113" s="533" t="s">
        <v>137</v>
      </c>
      <c r="B113" s="22">
        <f t="shared" si="29"/>
        <v>0</v>
      </c>
      <c r="C113" s="625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17">
        <f>C113+D113+E113+F113+G113+H113+I113+J113+K113+L113+M113+N113</f>
        <v>0</v>
      </c>
    </row>
    <row r="114" spans="1:15" s="24" customFormat="1" x14ac:dyDescent="0.25">
      <c r="A114" s="533" t="s">
        <v>138</v>
      </c>
      <c r="B114" s="22">
        <f t="shared" si="29"/>
        <v>0</v>
      </c>
      <c r="C114" s="19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17">
        <f>C114+D114+E114+F114+G114+H114+I114+J114+K114+L114+M114+N114</f>
        <v>0</v>
      </c>
    </row>
    <row r="115" spans="1:15" x14ac:dyDescent="0.25">
      <c r="A115" s="533" t="s">
        <v>276</v>
      </c>
      <c r="B115" s="22">
        <f t="shared" si="29"/>
        <v>2328.11</v>
      </c>
      <c r="C115" s="19">
        <v>2328.11</v>
      </c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17"/>
    </row>
    <row r="116" spans="1:15" x14ac:dyDescent="0.25">
      <c r="A116" s="533" t="s">
        <v>135</v>
      </c>
      <c r="B116" s="22">
        <f t="shared" si="29"/>
        <v>5138.4799999999996</v>
      </c>
      <c r="C116" s="19">
        <v>1683.06</v>
      </c>
      <c r="D116" s="19">
        <v>3455.42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17">
        <f>C116+D116+E116+F116+G116+H116+I116+J116+K116+L116+M116+N116</f>
        <v>5138.4799999999996</v>
      </c>
    </row>
    <row r="117" spans="1:15" x14ac:dyDescent="0.25">
      <c r="A117" s="533" t="s">
        <v>140</v>
      </c>
      <c r="B117" s="22">
        <f t="shared" si="29"/>
        <v>1844</v>
      </c>
      <c r="C117" s="19">
        <v>829.8</v>
      </c>
      <c r="D117" s="19">
        <v>1014.2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17">
        <f>C117+D117+E117+F117+G117+H117+I117+J117+K117+L117+M117+N117</f>
        <v>1844</v>
      </c>
    </row>
    <row r="118" spans="1:15" x14ac:dyDescent="0.25">
      <c r="A118" s="533" t="s">
        <v>89</v>
      </c>
      <c r="B118" s="22">
        <f t="shared" si="29"/>
        <v>635.83999999999992</v>
      </c>
      <c r="C118" s="19">
        <f>35.52+262.64</f>
        <v>298.15999999999997</v>
      </c>
      <c r="D118" s="19">
        <v>337.68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17">
        <f>C118+D118+E118+F118+G118+H118+I118+J118+K118+L118+M118+N118</f>
        <v>635.83999999999992</v>
      </c>
    </row>
    <row r="119" spans="1:15" s="556" customFormat="1" x14ac:dyDescent="0.25">
      <c r="A119" s="554" t="s">
        <v>227</v>
      </c>
      <c r="B119" s="557">
        <f t="shared" si="29"/>
        <v>11192.36</v>
      </c>
      <c r="C119" s="557">
        <f t="shared" ref="C119:E119" si="35">SUM(C120:C128)</f>
        <v>4300.0300000000007</v>
      </c>
      <c r="D119" s="557">
        <f t="shared" si="35"/>
        <v>6892.33</v>
      </c>
      <c r="E119" s="557">
        <f t="shared" si="35"/>
        <v>0</v>
      </c>
      <c r="F119" s="557">
        <f t="shared" ref="F119:N119" si="36">SUM(F120:F128)</f>
        <v>0</v>
      </c>
      <c r="G119" s="557">
        <f t="shared" si="36"/>
        <v>0</v>
      </c>
      <c r="H119" s="557">
        <f t="shared" si="36"/>
        <v>0</v>
      </c>
      <c r="I119" s="557">
        <f t="shared" si="36"/>
        <v>0</v>
      </c>
      <c r="J119" s="557">
        <f t="shared" si="36"/>
        <v>0</v>
      </c>
      <c r="K119" s="557">
        <f t="shared" si="36"/>
        <v>0</v>
      </c>
      <c r="L119" s="557">
        <f t="shared" si="36"/>
        <v>0</v>
      </c>
      <c r="M119" s="557">
        <f t="shared" si="36"/>
        <v>0</v>
      </c>
      <c r="N119" s="557">
        <f t="shared" si="36"/>
        <v>0</v>
      </c>
      <c r="O119" s="556">
        <f t="shared" ref="O119:O128" si="37">C119+D119+E119+F119+G119+H119+I119+J119+K119+L119+M119+N119</f>
        <v>11192.36</v>
      </c>
    </row>
    <row r="120" spans="1:15" s="38" customFormat="1" x14ac:dyDescent="0.25">
      <c r="A120" s="539" t="s">
        <v>142</v>
      </c>
      <c r="B120" s="36">
        <f t="shared" si="29"/>
        <v>360</v>
      </c>
      <c r="C120" s="36">
        <v>360</v>
      </c>
      <c r="D120" s="36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17">
        <f t="shared" si="37"/>
        <v>360</v>
      </c>
    </row>
    <row r="121" spans="1:15" s="44" customFormat="1" x14ac:dyDescent="0.25">
      <c r="A121" s="552" t="s">
        <v>143</v>
      </c>
      <c r="B121" s="42">
        <f t="shared" ref="B121:B128" si="38">SUM(C121:N121)</f>
        <v>0</v>
      </c>
      <c r="C121" s="42"/>
      <c r="D121" s="42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17">
        <f t="shared" si="37"/>
        <v>0</v>
      </c>
    </row>
    <row r="122" spans="1:15" s="49" customFormat="1" x14ac:dyDescent="0.25">
      <c r="A122" s="553" t="s">
        <v>144</v>
      </c>
      <c r="B122" s="47">
        <f t="shared" si="38"/>
        <v>0</v>
      </c>
      <c r="C122" s="47"/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17">
        <f t="shared" si="37"/>
        <v>0</v>
      </c>
    </row>
    <row r="123" spans="1:15" x14ac:dyDescent="0.25">
      <c r="A123" s="547" t="s">
        <v>145</v>
      </c>
      <c r="B123" s="19">
        <f t="shared" si="38"/>
        <v>0</v>
      </c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7">
        <f t="shared" si="37"/>
        <v>0</v>
      </c>
    </row>
    <row r="124" spans="1:15" s="38" customFormat="1" x14ac:dyDescent="0.25">
      <c r="A124" s="539" t="s">
        <v>277</v>
      </c>
      <c r="B124" s="36">
        <f t="shared" si="38"/>
        <v>3431.6483333333335</v>
      </c>
      <c r="C124" s="36">
        <f>1400.19/2</f>
        <v>700.09500000000003</v>
      </c>
      <c r="D124" s="36">
        <f>(1400.19/2)+(1204.47/2)+(4287.67/3)</f>
        <v>2731.5533333333333</v>
      </c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17">
        <f t="shared" si="37"/>
        <v>3431.6483333333335</v>
      </c>
    </row>
    <row r="125" spans="1:15" s="44" customFormat="1" x14ac:dyDescent="0.25">
      <c r="A125" s="552" t="s">
        <v>147</v>
      </c>
      <c r="B125" s="42">
        <f t="shared" si="38"/>
        <v>3431.6483333333335</v>
      </c>
      <c r="C125" s="42">
        <f>1400.19/2</f>
        <v>700.09500000000003</v>
      </c>
      <c r="D125" s="42">
        <f>1400.19/2+(1204.47/2)+(4287.67/3)</f>
        <v>2731.5533333333333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17">
        <f t="shared" si="37"/>
        <v>3431.6483333333335</v>
      </c>
    </row>
    <row r="126" spans="1:15" s="49" customFormat="1" x14ac:dyDescent="0.25">
      <c r="A126" s="553" t="s">
        <v>148</v>
      </c>
      <c r="B126" s="47">
        <f t="shared" si="38"/>
        <v>1429.2233333333334</v>
      </c>
      <c r="C126" s="47"/>
      <c r="D126" s="47">
        <f>+(4287.67/3)</f>
        <v>1429.2233333333334</v>
      </c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17">
        <f t="shared" si="37"/>
        <v>1429.2233333333334</v>
      </c>
    </row>
    <row r="127" spans="1:15" x14ac:dyDescent="0.25">
      <c r="A127" s="533" t="s">
        <v>149</v>
      </c>
      <c r="B127" s="19">
        <f t="shared" si="38"/>
        <v>0</v>
      </c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17">
        <f t="shared" si="37"/>
        <v>0</v>
      </c>
    </row>
    <row r="128" spans="1:15" s="17" customFormat="1" x14ac:dyDescent="0.25">
      <c r="A128" s="18" t="s">
        <v>278</v>
      </c>
      <c r="B128" s="19">
        <f t="shared" si="38"/>
        <v>2539.84</v>
      </c>
      <c r="C128" s="19">
        <v>2539.84</v>
      </c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17">
        <f t="shared" si="37"/>
        <v>2539.84</v>
      </c>
    </row>
    <row r="129" spans="1:15" s="563" customFormat="1" x14ac:dyDescent="0.25">
      <c r="A129" s="559" t="s">
        <v>151</v>
      </c>
      <c r="B129" s="560">
        <f t="shared" ref="B129:B131" si="39">SUM(D129:O129)</f>
        <v>0</v>
      </c>
      <c r="C129" s="561"/>
      <c r="D129" s="561">
        <f>SUM(D130:D131)</f>
        <v>0</v>
      </c>
      <c r="E129" s="562">
        <f>SUM(E130:E131)</f>
        <v>0</v>
      </c>
      <c r="F129" s="562">
        <f t="shared" ref="F129:O129" si="40">SUM(F130:F131)</f>
        <v>0</v>
      </c>
      <c r="G129" s="562">
        <f t="shared" si="40"/>
        <v>0</v>
      </c>
      <c r="H129" s="562">
        <f t="shared" si="40"/>
        <v>0</v>
      </c>
      <c r="I129" s="562">
        <f t="shared" si="40"/>
        <v>0</v>
      </c>
      <c r="J129" s="562">
        <f t="shared" si="40"/>
        <v>0</v>
      </c>
      <c r="K129" s="562">
        <f t="shared" si="40"/>
        <v>0</v>
      </c>
      <c r="L129" s="562">
        <f t="shared" si="40"/>
        <v>0</v>
      </c>
      <c r="M129" s="562">
        <f t="shared" si="40"/>
        <v>0</v>
      </c>
      <c r="N129" s="562">
        <f t="shared" si="40"/>
        <v>0</v>
      </c>
      <c r="O129" s="562">
        <f t="shared" si="40"/>
        <v>0</v>
      </c>
    </row>
    <row r="130" spans="1:15" s="545" customFormat="1" x14ac:dyDescent="0.25">
      <c r="A130" s="533" t="s">
        <v>152</v>
      </c>
      <c r="B130" s="540">
        <f t="shared" si="39"/>
        <v>0</v>
      </c>
      <c r="C130" s="540"/>
      <c r="D130" s="540"/>
      <c r="E130" s="542"/>
      <c r="F130" s="542"/>
      <c r="G130" s="542"/>
      <c r="H130" s="543"/>
      <c r="I130" s="543"/>
      <c r="J130" s="543"/>
      <c r="K130" s="543"/>
      <c r="L130" s="543"/>
      <c r="M130" s="543"/>
      <c r="N130" s="543"/>
      <c r="O130" s="543"/>
    </row>
    <row r="131" spans="1:15" s="532" customFormat="1" x14ac:dyDescent="0.25">
      <c r="A131" s="533" t="s">
        <v>153</v>
      </c>
      <c r="B131" s="540">
        <f t="shared" si="39"/>
        <v>0</v>
      </c>
      <c r="C131" s="540"/>
      <c r="D131" s="540"/>
      <c r="E131" s="542"/>
      <c r="F131" s="542"/>
      <c r="G131" s="542"/>
      <c r="H131" s="543"/>
      <c r="I131" s="543"/>
      <c r="J131" s="543"/>
      <c r="K131" s="543"/>
      <c r="L131" s="543"/>
      <c r="M131" s="543"/>
      <c r="N131" s="543"/>
      <c r="O131" s="543"/>
    </row>
    <row r="132" spans="1:15" s="556" customFormat="1" x14ac:dyDescent="0.25">
      <c r="A132" s="554" t="s">
        <v>154</v>
      </c>
      <c r="B132" s="557">
        <f>SUM(B133:B152)</f>
        <v>2484.46</v>
      </c>
      <c r="C132" s="557">
        <f>SUM(C133:C158)</f>
        <v>2702.45</v>
      </c>
      <c r="D132" s="564">
        <f t="shared" ref="D132:N132" si="41">SUM(D133:D152)</f>
        <v>1166.75</v>
      </c>
      <c r="E132" s="564">
        <f t="shared" si="41"/>
        <v>0</v>
      </c>
      <c r="F132" s="564">
        <f t="shared" si="41"/>
        <v>0</v>
      </c>
      <c r="G132" s="564">
        <f t="shared" si="41"/>
        <v>0</v>
      </c>
      <c r="H132" s="564">
        <f t="shared" si="41"/>
        <v>0</v>
      </c>
      <c r="I132" s="564">
        <f t="shared" si="41"/>
        <v>0</v>
      </c>
      <c r="J132" s="564">
        <f t="shared" si="41"/>
        <v>0</v>
      </c>
      <c r="K132" s="564">
        <f t="shared" si="41"/>
        <v>0</v>
      </c>
      <c r="L132" s="564">
        <f t="shared" si="41"/>
        <v>0</v>
      </c>
      <c r="M132" s="564">
        <f t="shared" si="41"/>
        <v>0</v>
      </c>
      <c r="N132" s="564">
        <f t="shared" si="41"/>
        <v>0</v>
      </c>
      <c r="O132" s="556">
        <f t="shared" ref="O132:O155" si="42">C132+D132+E132+F132+G132+H132+I132+J132+K132+L132+M132+N132</f>
        <v>3869.2</v>
      </c>
    </row>
    <row r="133" spans="1:15" x14ac:dyDescent="0.25">
      <c r="A133" s="46" t="s">
        <v>164</v>
      </c>
      <c r="B133" s="47">
        <f t="shared" ref="B133:B153" si="43">SUM(C133:N133)</f>
        <v>0</v>
      </c>
      <c r="C133" s="47"/>
      <c r="D133" s="47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17">
        <f t="shared" ref="O133:O152" si="44">C133+D133+E133+F133+G133+H133+I133+J133+K133+L133+M133+N133</f>
        <v>0</v>
      </c>
    </row>
    <row r="134" spans="1:15" s="49" customFormat="1" x14ac:dyDescent="0.25">
      <c r="A134" s="34" t="s">
        <v>165</v>
      </c>
      <c r="B134" s="36">
        <f t="shared" si="43"/>
        <v>146</v>
      </c>
      <c r="C134" s="36">
        <v>146</v>
      </c>
      <c r="D134" s="36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17">
        <f t="shared" si="44"/>
        <v>146</v>
      </c>
    </row>
    <row r="135" spans="1:15" s="38" customFormat="1" x14ac:dyDescent="0.25">
      <c r="A135" s="41" t="s">
        <v>166</v>
      </c>
      <c r="B135" s="42">
        <f t="shared" si="43"/>
        <v>0</v>
      </c>
      <c r="C135" s="42"/>
      <c r="D135" s="42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17">
        <f t="shared" si="44"/>
        <v>0</v>
      </c>
    </row>
    <row r="136" spans="1:15" s="41" customFormat="1" x14ac:dyDescent="0.25">
      <c r="A136" s="18" t="s">
        <v>163</v>
      </c>
      <c r="B136" s="19">
        <f t="shared" si="43"/>
        <v>2338.46</v>
      </c>
      <c r="C136" s="19">
        <f>1109.73+61.98</f>
        <v>1171.71</v>
      </c>
      <c r="D136" s="19">
        <f>1109.77+56.98</f>
        <v>1166.75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17">
        <f t="shared" si="44"/>
        <v>2338.46</v>
      </c>
    </row>
    <row r="137" spans="1:15" s="25" customFormat="1" x14ac:dyDescent="0.25">
      <c r="A137" s="46" t="s">
        <v>168</v>
      </c>
      <c r="B137" s="47">
        <f t="shared" si="43"/>
        <v>0</v>
      </c>
      <c r="C137" s="47"/>
      <c r="D137" s="47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17">
        <f t="shared" si="44"/>
        <v>0</v>
      </c>
    </row>
    <row r="138" spans="1:15" s="46" customFormat="1" x14ac:dyDescent="0.25">
      <c r="A138" s="34" t="s">
        <v>169</v>
      </c>
      <c r="B138" s="36">
        <f t="shared" si="43"/>
        <v>0</v>
      </c>
      <c r="C138" s="36"/>
      <c r="D138" s="36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17">
        <f t="shared" si="44"/>
        <v>0</v>
      </c>
    </row>
    <row r="139" spans="1:15" s="34" customFormat="1" x14ac:dyDescent="0.25">
      <c r="A139" s="41" t="s">
        <v>170</v>
      </c>
      <c r="B139" s="42">
        <f t="shared" si="43"/>
        <v>0</v>
      </c>
      <c r="C139" s="42"/>
      <c r="D139" s="42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17">
        <f t="shared" si="44"/>
        <v>0</v>
      </c>
    </row>
    <row r="140" spans="1:15" s="41" customFormat="1" x14ac:dyDescent="0.25">
      <c r="A140" s="18" t="s">
        <v>167</v>
      </c>
      <c r="B140" s="19">
        <f t="shared" si="43"/>
        <v>0</v>
      </c>
      <c r="C140" s="19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17">
        <f t="shared" si="44"/>
        <v>0</v>
      </c>
    </row>
    <row r="141" spans="1:15" s="25" customFormat="1" x14ac:dyDescent="0.25">
      <c r="A141" s="46" t="s">
        <v>160</v>
      </c>
      <c r="B141" s="47">
        <f t="shared" si="43"/>
        <v>0</v>
      </c>
      <c r="C141" s="47"/>
      <c r="D141" s="47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17">
        <f t="shared" si="44"/>
        <v>0</v>
      </c>
    </row>
    <row r="142" spans="1:15" s="46" customFormat="1" x14ac:dyDescent="0.25">
      <c r="A142" s="34" t="s">
        <v>161</v>
      </c>
      <c r="B142" s="36">
        <f t="shared" si="43"/>
        <v>0</v>
      </c>
      <c r="C142" s="36"/>
      <c r="D142" s="36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17">
        <f t="shared" si="44"/>
        <v>0</v>
      </c>
    </row>
    <row r="143" spans="1:15" s="34" customFormat="1" x14ac:dyDescent="0.25">
      <c r="A143" s="41" t="s">
        <v>162</v>
      </c>
      <c r="B143" s="42">
        <f t="shared" si="43"/>
        <v>0</v>
      </c>
      <c r="C143" s="42"/>
      <c r="D143" s="42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17">
        <f t="shared" si="44"/>
        <v>0</v>
      </c>
    </row>
    <row r="144" spans="1:15" s="41" customFormat="1" x14ac:dyDescent="0.25">
      <c r="A144" s="18" t="s">
        <v>159</v>
      </c>
      <c r="B144" s="19">
        <f t="shared" si="43"/>
        <v>0</v>
      </c>
      <c r="C144" s="19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17">
        <f t="shared" si="44"/>
        <v>0</v>
      </c>
    </row>
    <row r="145" spans="1:15" s="25" customFormat="1" x14ac:dyDescent="0.25">
      <c r="A145" s="46" t="s">
        <v>156</v>
      </c>
      <c r="B145" s="47">
        <f t="shared" si="43"/>
        <v>0</v>
      </c>
      <c r="C145" s="47"/>
      <c r="D145" s="47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17">
        <f t="shared" si="44"/>
        <v>0</v>
      </c>
    </row>
    <row r="146" spans="1:15" s="46" customFormat="1" x14ac:dyDescent="0.25">
      <c r="A146" s="34" t="s">
        <v>157</v>
      </c>
      <c r="B146" s="36">
        <f t="shared" si="43"/>
        <v>0</v>
      </c>
      <c r="C146" s="36"/>
      <c r="D146" s="36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17">
        <f t="shared" si="44"/>
        <v>0</v>
      </c>
    </row>
    <row r="147" spans="1:15" s="34" customFormat="1" x14ac:dyDescent="0.25">
      <c r="A147" s="41" t="s">
        <v>158</v>
      </c>
      <c r="B147" s="42">
        <f t="shared" si="43"/>
        <v>0</v>
      </c>
      <c r="C147" s="42"/>
      <c r="D147" s="42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17">
        <f t="shared" si="44"/>
        <v>0</v>
      </c>
    </row>
    <row r="148" spans="1:15" s="41" customFormat="1" x14ac:dyDescent="0.25">
      <c r="A148" s="18" t="s">
        <v>155</v>
      </c>
      <c r="B148" s="19">
        <f t="shared" si="43"/>
        <v>0</v>
      </c>
      <c r="C148" s="19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17">
        <f t="shared" si="44"/>
        <v>0</v>
      </c>
    </row>
    <row r="149" spans="1:15" s="25" customFormat="1" x14ac:dyDescent="0.25">
      <c r="A149" s="46" t="s">
        <v>172</v>
      </c>
      <c r="B149" s="47">
        <f t="shared" si="43"/>
        <v>0</v>
      </c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17">
        <f t="shared" si="44"/>
        <v>0</v>
      </c>
    </row>
    <row r="150" spans="1:15" s="46" customFormat="1" x14ac:dyDescent="0.25">
      <c r="A150" s="34" t="s">
        <v>173</v>
      </c>
      <c r="B150" s="36">
        <f t="shared" si="43"/>
        <v>0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17">
        <f t="shared" si="44"/>
        <v>0</v>
      </c>
    </row>
    <row r="151" spans="1:15" s="34" customFormat="1" x14ac:dyDescent="0.25">
      <c r="A151" s="41" t="s">
        <v>174</v>
      </c>
      <c r="B151" s="42">
        <f t="shared" si="43"/>
        <v>0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17">
        <f t="shared" si="44"/>
        <v>0</v>
      </c>
    </row>
    <row r="152" spans="1:15" s="44" customFormat="1" x14ac:dyDescent="0.25">
      <c r="A152" s="18" t="s">
        <v>171</v>
      </c>
      <c r="B152" s="19">
        <f t="shared" si="43"/>
        <v>0</v>
      </c>
      <c r="C152" s="19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17">
        <f t="shared" si="44"/>
        <v>0</v>
      </c>
    </row>
    <row r="153" spans="1:15" s="556" customFormat="1" x14ac:dyDescent="0.25">
      <c r="A153" s="554" t="s">
        <v>175</v>
      </c>
      <c r="B153" s="557">
        <f t="shared" si="43"/>
        <v>692.37</v>
      </c>
      <c r="C153" s="557">
        <f t="shared" ref="C153:N153" si="45">SUM(C154:C158)</f>
        <v>692.37</v>
      </c>
      <c r="D153" s="557">
        <f t="shared" si="45"/>
        <v>0</v>
      </c>
      <c r="E153" s="557">
        <f t="shared" si="45"/>
        <v>0</v>
      </c>
      <c r="F153" s="557">
        <f t="shared" si="45"/>
        <v>0</v>
      </c>
      <c r="G153" s="557">
        <f t="shared" si="45"/>
        <v>0</v>
      </c>
      <c r="H153" s="557">
        <f t="shared" si="45"/>
        <v>0</v>
      </c>
      <c r="I153" s="557">
        <f t="shared" si="45"/>
        <v>0</v>
      </c>
      <c r="J153" s="557">
        <f t="shared" si="45"/>
        <v>0</v>
      </c>
      <c r="K153" s="557">
        <f t="shared" si="45"/>
        <v>0</v>
      </c>
      <c r="L153" s="557">
        <f t="shared" si="45"/>
        <v>0</v>
      </c>
      <c r="M153" s="557">
        <f t="shared" si="45"/>
        <v>0</v>
      </c>
      <c r="N153" s="557">
        <f t="shared" si="45"/>
        <v>0</v>
      </c>
      <c r="O153" s="556">
        <f t="shared" si="42"/>
        <v>692.37</v>
      </c>
    </row>
    <row r="154" spans="1:15" s="49" customFormat="1" x14ac:dyDescent="0.25">
      <c r="A154" s="46" t="s">
        <v>176</v>
      </c>
      <c r="B154" s="47">
        <f t="shared" ref="B154:B158" si="46">SUM(C154:N154)</f>
        <v>0</v>
      </c>
      <c r="C154" s="47"/>
      <c r="D154" s="47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17">
        <f t="shared" si="42"/>
        <v>0</v>
      </c>
    </row>
    <row r="155" spans="1:15" s="38" customFormat="1" x14ac:dyDescent="0.25">
      <c r="A155" s="34" t="s">
        <v>177</v>
      </c>
      <c r="B155" s="36">
        <f t="shared" si="46"/>
        <v>0</v>
      </c>
      <c r="C155" s="36"/>
      <c r="D155" s="36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17">
        <f t="shared" si="42"/>
        <v>0</v>
      </c>
    </row>
    <row r="156" spans="1:15" s="44" customFormat="1" x14ac:dyDescent="0.25">
      <c r="A156" s="41" t="s">
        <v>178</v>
      </c>
      <c r="B156" s="42">
        <f t="shared" si="46"/>
        <v>0</v>
      </c>
      <c r="C156" s="42"/>
      <c r="D156" s="42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17">
        <f t="shared" ref="O156:O183" si="47">C156+D156+E156+F156+G156+H156+I156+J156+K156+L156+M156+N156</f>
        <v>0</v>
      </c>
    </row>
    <row r="157" spans="1:15" x14ac:dyDescent="0.25">
      <c r="A157" s="25" t="s">
        <v>179</v>
      </c>
      <c r="B157" s="406">
        <f t="shared" si="46"/>
        <v>0</v>
      </c>
      <c r="C157" s="406"/>
      <c r="D157" s="407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17">
        <f t="shared" si="47"/>
        <v>0</v>
      </c>
    </row>
    <row r="158" spans="1:15" s="57" customFormat="1" x14ac:dyDescent="0.25">
      <c r="A158" s="55" t="s">
        <v>279</v>
      </c>
      <c r="B158" s="53">
        <f t="shared" si="46"/>
        <v>692.37</v>
      </c>
      <c r="C158" s="53">
        <v>692.37</v>
      </c>
      <c r="D158" s="56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17">
        <f t="shared" si="47"/>
        <v>692.37</v>
      </c>
    </row>
    <row r="159" spans="1:15" s="556" customFormat="1" x14ac:dyDescent="0.25">
      <c r="A159" s="554" t="s">
        <v>181</v>
      </c>
      <c r="B159" s="557">
        <f>SUM(C159:N159)</f>
        <v>0</v>
      </c>
      <c r="C159" s="557">
        <f t="shared" ref="C159:N159" si="48">SUM(C160:C162)</f>
        <v>0</v>
      </c>
      <c r="D159" s="557">
        <f t="shared" si="48"/>
        <v>0</v>
      </c>
      <c r="E159" s="557">
        <f t="shared" si="48"/>
        <v>0</v>
      </c>
      <c r="F159" s="557">
        <f>SUM(F160:F162)</f>
        <v>0</v>
      </c>
      <c r="G159" s="557">
        <f>SUM(G160:G162)</f>
        <v>0</v>
      </c>
      <c r="H159" s="557">
        <f t="shared" si="48"/>
        <v>0</v>
      </c>
      <c r="I159" s="557">
        <f t="shared" si="48"/>
        <v>0</v>
      </c>
      <c r="J159" s="557">
        <f t="shared" si="48"/>
        <v>0</v>
      </c>
      <c r="K159" s="557">
        <f t="shared" si="48"/>
        <v>0</v>
      </c>
      <c r="L159" s="557">
        <f t="shared" si="48"/>
        <v>0</v>
      </c>
      <c r="M159" s="557">
        <f t="shared" si="48"/>
        <v>0</v>
      </c>
      <c r="N159" s="557">
        <f t="shared" si="48"/>
        <v>0</v>
      </c>
      <c r="O159" s="556">
        <f t="shared" si="47"/>
        <v>0</v>
      </c>
    </row>
    <row r="160" spans="1:15" x14ac:dyDescent="0.25">
      <c r="A160" s="18" t="s">
        <v>182</v>
      </c>
      <c r="B160" s="22">
        <f>SUM(C160:N160)</f>
        <v>0</v>
      </c>
      <c r="C160" s="19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17">
        <f t="shared" si="47"/>
        <v>0</v>
      </c>
    </row>
    <row r="161" spans="1:15" x14ac:dyDescent="0.25">
      <c r="A161" s="18" t="s">
        <v>183</v>
      </c>
      <c r="B161" s="22">
        <f t="shared" ref="B161:B162" si="49">SUM(C161:N161)</f>
        <v>0</v>
      </c>
      <c r="C161" s="19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17">
        <f t="shared" si="47"/>
        <v>0</v>
      </c>
    </row>
    <row r="162" spans="1:15" s="17" customFormat="1" x14ac:dyDescent="0.25">
      <c r="A162" s="18" t="s">
        <v>184</v>
      </c>
      <c r="B162" s="22">
        <f t="shared" si="49"/>
        <v>0</v>
      </c>
      <c r="C162" s="19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17">
        <f t="shared" si="47"/>
        <v>0</v>
      </c>
    </row>
    <row r="163" spans="1:15" s="556" customFormat="1" x14ac:dyDescent="0.25">
      <c r="A163" s="554" t="s">
        <v>185</v>
      </c>
      <c r="B163" s="557">
        <f t="shared" ref="B163:B176" si="50">SUM(C163:N163)</f>
        <v>183320.74</v>
      </c>
      <c r="C163" s="557">
        <f t="shared" ref="C163:N163" si="51">SUM(C164:C174)</f>
        <v>177678.91999999998</v>
      </c>
      <c r="D163" s="557">
        <f t="shared" si="51"/>
        <v>5641.82</v>
      </c>
      <c r="E163" s="557">
        <f t="shared" si="51"/>
        <v>0</v>
      </c>
      <c r="F163" s="557">
        <f t="shared" si="51"/>
        <v>0</v>
      </c>
      <c r="G163" s="557">
        <f t="shared" si="51"/>
        <v>0</v>
      </c>
      <c r="H163" s="557">
        <f t="shared" si="51"/>
        <v>0</v>
      </c>
      <c r="I163" s="557">
        <f t="shared" si="51"/>
        <v>0</v>
      </c>
      <c r="J163" s="557">
        <f t="shared" si="51"/>
        <v>0</v>
      </c>
      <c r="K163" s="557">
        <f t="shared" si="51"/>
        <v>0</v>
      </c>
      <c r="L163" s="557">
        <f t="shared" si="51"/>
        <v>0</v>
      </c>
      <c r="M163" s="557">
        <f t="shared" si="51"/>
        <v>0</v>
      </c>
      <c r="N163" s="557">
        <f t="shared" si="51"/>
        <v>0</v>
      </c>
      <c r="O163" s="556">
        <f t="shared" si="47"/>
        <v>183320.74</v>
      </c>
    </row>
    <row r="164" spans="1:15" ht="15.75" customHeight="1" x14ac:dyDescent="0.25">
      <c r="A164" s="533" t="s">
        <v>186</v>
      </c>
      <c r="B164" s="22">
        <f t="shared" si="50"/>
        <v>412.22</v>
      </c>
      <c r="C164" s="19">
        <v>185.68</v>
      </c>
      <c r="D164" s="19">
        <v>226.54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17">
        <f>C164+D164+E164+F164+G164+H164+I164+J164+K164+L164+M164+N164</f>
        <v>412.22</v>
      </c>
    </row>
    <row r="165" spans="1:15" x14ac:dyDescent="0.25">
      <c r="A165" s="533" t="s">
        <v>280</v>
      </c>
      <c r="B165" s="22">
        <f t="shared" si="50"/>
        <v>43297.07</v>
      </c>
      <c r="C165" s="19">
        <v>43297.07</v>
      </c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7"/>
    </row>
    <row r="166" spans="1:15" x14ac:dyDescent="0.25">
      <c r="A166" s="533" t="s">
        <v>190</v>
      </c>
      <c r="B166" s="22">
        <f t="shared" si="50"/>
        <v>1032.3499999999999</v>
      </c>
      <c r="C166" s="19"/>
      <c r="D166" s="19">
        <v>1032.3499999999999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17">
        <f>C166+D166+E166+F166+G166+H166+I166+J166+K166+L166+M166+N166</f>
        <v>1032.3499999999999</v>
      </c>
    </row>
    <row r="167" spans="1:15" s="17" customFormat="1" x14ac:dyDescent="0.25">
      <c r="A167" s="533" t="s">
        <v>139</v>
      </c>
      <c r="B167" s="22">
        <f t="shared" si="50"/>
        <v>835.3</v>
      </c>
      <c r="C167" s="19">
        <v>480.64</v>
      </c>
      <c r="D167" s="19">
        <v>354.66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 spans="1:15" s="17" customFormat="1" x14ac:dyDescent="0.25">
      <c r="A168" s="533" t="s">
        <v>281</v>
      </c>
      <c r="B168" s="22">
        <f t="shared" si="50"/>
        <v>4540.4399999999996</v>
      </c>
      <c r="C168" s="19">
        <f>12.28+36.67+2332.12</f>
        <v>2381.0699999999997</v>
      </c>
      <c r="D168" s="19">
        <v>2159.37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spans="1:15" s="17" customFormat="1" x14ac:dyDescent="0.25">
      <c r="A169" s="533" t="s">
        <v>282</v>
      </c>
      <c r="B169" s="22">
        <f t="shared" si="50"/>
        <v>9057.42</v>
      </c>
      <c r="C169" s="19">
        <v>7466.34</v>
      </c>
      <c r="D169" s="19">
        <f>22.16+1568.92</f>
        <v>1591.0800000000002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spans="1:15" s="17" customFormat="1" x14ac:dyDescent="0.25">
      <c r="A170" s="533" t="s">
        <v>283</v>
      </c>
      <c r="B170" s="22">
        <f t="shared" si="50"/>
        <v>169.52</v>
      </c>
      <c r="C170" s="19">
        <v>169.52</v>
      </c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 spans="1:15" s="17" customFormat="1" x14ac:dyDescent="0.25">
      <c r="A171" s="533" t="s">
        <v>284</v>
      </c>
      <c r="B171" s="22">
        <f t="shared" si="50"/>
        <v>123429.61</v>
      </c>
      <c r="C171" s="19">
        <v>123429.61</v>
      </c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 spans="1:15" s="17" customFormat="1" x14ac:dyDescent="0.25">
      <c r="A172" s="533" t="s">
        <v>285</v>
      </c>
      <c r="B172" s="22">
        <f t="shared" si="50"/>
        <v>457.38</v>
      </c>
      <c r="C172" s="19">
        <v>228.69</v>
      </c>
      <c r="D172" s="19">
        <v>228.69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17">
        <f>C172+D172+E172+F172+G172+H172+I172+J172+K172+L172+M172+N172</f>
        <v>457.38</v>
      </c>
    </row>
    <row r="173" spans="1:15" s="17" customFormat="1" x14ac:dyDescent="0.25">
      <c r="A173" s="533" t="s">
        <v>188</v>
      </c>
      <c r="B173" s="22">
        <f t="shared" si="50"/>
        <v>89.43</v>
      </c>
      <c r="C173" s="19">
        <v>40.299999999999997</v>
      </c>
      <c r="D173" s="19">
        <v>49.13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17">
        <f>C173+D173+E173+F173+G173+H173+I173+J173+K173+L173+M173+N173</f>
        <v>89.43</v>
      </c>
    </row>
    <row r="174" spans="1:15" s="17" customFormat="1" x14ac:dyDescent="0.25">
      <c r="A174" s="533" t="s">
        <v>189</v>
      </c>
      <c r="B174" s="22">
        <f t="shared" si="50"/>
        <v>0</v>
      </c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17">
        <f>C174+D174+E174+F174+G174+H174+I174+J174+K174+L174+M174+N174</f>
        <v>0</v>
      </c>
    </row>
    <row r="175" spans="1:15" s="556" customFormat="1" x14ac:dyDescent="0.25">
      <c r="A175" s="554" t="s">
        <v>191</v>
      </c>
      <c r="B175" s="557">
        <f t="shared" si="50"/>
        <v>39807.72</v>
      </c>
      <c r="C175" s="557">
        <f t="shared" ref="C175:N175" si="52">SUM(C176:C185)</f>
        <v>22186.77</v>
      </c>
      <c r="D175" s="557">
        <f t="shared" si="52"/>
        <v>17620.95</v>
      </c>
      <c r="E175" s="557">
        <f t="shared" si="52"/>
        <v>0</v>
      </c>
      <c r="F175" s="557">
        <f t="shared" si="52"/>
        <v>0</v>
      </c>
      <c r="G175" s="557">
        <f t="shared" si="52"/>
        <v>0</v>
      </c>
      <c r="H175" s="557">
        <f t="shared" si="52"/>
        <v>0</v>
      </c>
      <c r="I175" s="557">
        <f t="shared" si="52"/>
        <v>0</v>
      </c>
      <c r="J175" s="557">
        <f t="shared" si="52"/>
        <v>0</v>
      </c>
      <c r="K175" s="557">
        <f t="shared" si="52"/>
        <v>0</v>
      </c>
      <c r="L175" s="557">
        <f t="shared" si="52"/>
        <v>0</v>
      </c>
      <c r="M175" s="557">
        <f t="shared" si="52"/>
        <v>0</v>
      </c>
      <c r="N175" s="557">
        <f t="shared" si="52"/>
        <v>0</v>
      </c>
      <c r="O175" s="556">
        <f t="shared" si="47"/>
        <v>39807.72</v>
      </c>
    </row>
    <row r="176" spans="1:15" s="17" customFormat="1" x14ac:dyDescent="0.25">
      <c r="A176" s="18" t="s">
        <v>192</v>
      </c>
      <c r="B176" s="22">
        <f t="shared" si="50"/>
        <v>0</v>
      </c>
      <c r="C176" s="19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17">
        <f t="shared" si="47"/>
        <v>0</v>
      </c>
    </row>
    <row r="177" spans="1:15" s="17" customFormat="1" x14ac:dyDescent="0.25">
      <c r="A177" s="18" t="s">
        <v>193</v>
      </c>
      <c r="B177" s="22">
        <f t="shared" ref="B177:B185" si="53">SUM(C177:N177)</f>
        <v>7478.66</v>
      </c>
      <c r="C177" s="19">
        <v>7478.66</v>
      </c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17">
        <f t="shared" si="47"/>
        <v>7478.66</v>
      </c>
    </row>
    <row r="178" spans="1:15" s="17" customFormat="1" x14ac:dyDescent="0.25">
      <c r="A178" s="18" t="s">
        <v>195</v>
      </c>
      <c r="B178" s="22">
        <f t="shared" si="53"/>
        <v>0</v>
      </c>
      <c r="C178" s="19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17">
        <f t="shared" si="47"/>
        <v>0</v>
      </c>
    </row>
    <row r="179" spans="1:15" s="17" customFormat="1" x14ac:dyDescent="0.25">
      <c r="A179" s="18" t="s">
        <v>196</v>
      </c>
      <c r="B179" s="22">
        <f t="shared" si="53"/>
        <v>0</v>
      </c>
      <c r="C179" s="19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17">
        <f t="shared" si="47"/>
        <v>0</v>
      </c>
    </row>
    <row r="180" spans="1:15" s="17" customFormat="1" x14ac:dyDescent="0.25">
      <c r="A180" s="18" t="s">
        <v>286</v>
      </c>
      <c r="B180" s="22">
        <f t="shared" si="53"/>
        <v>21980.090000000004</v>
      </c>
      <c r="C180" s="19">
        <f>2357.38+1494.48+1933.48+3699.19+192.08+110</f>
        <v>9786.61</v>
      </c>
      <c r="D180" s="19">
        <f>2357.38+790.3+1949.17+1508.19+1461.39+3824.97+192.08+110</f>
        <v>12193.480000000001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17">
        <f t="shared" si="47"/>
        <v>21980.090000000004</v>
      </c>
    </row>
    <row r="181" spans="1:15" s="17" customFormat="1" x14ac:dyDescent="0.25">
      <c r="A181" s="18" t="s">
        <v>198</v>
      </c>
      <c r="B181" s="22">
        <f t="shared" si="53"/>
        <v>0</v>
      </c>
      <c r="C181" s="19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17">
        <f t="shared" si="47"/>
        <v>0</v>
      </c>
    </row>
    <row r="182" spans="1:15" x14ac:dyDescent="0.25">
      <c r="A182" s="18" t="s">
        <v>287</v>
      </c>
      <c r="B182" s="22">
        <f t="shared" si="53"/>
        <v>0</v>
      </c>
      <c r="C182" s="19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17">
        <f t="shared" si="47"/>
        <v>0</v>
      </c>
    </row>
    <row r="183" spans="1:15" x14ac:dyDescent="0.25">
      <c r="A183" s="18" t="s">
        <v>199</v>
      </c>
      <c r="B183" s="22">
        <f t="shared" si="53"/>
        <v>10348.969999999999</v>
      </c>
      <c r="C183" s="19">
        <f>2917.77+2003.73</f>
        <v>4921.5</v>
      </c>
      <c r="D183" s="19">
        <f>469.7+2917.77+2040</f>
        <v>5427.4699999999993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17">
        <f t="shared" si="47"/>
        <v>10348.969999999999</v>
      </c>
    </row>
    <row r="184" spans="1:15" s="17" customFormat="1" x14ac:dyDescent="0.25">
      <c r="A184" s="18" t="s">
        <v>288</v>
      </c>
      <c r="B184" s="22">
        <f t="shared" si="53"/>
        <v>0</v>
      </c>
      <c r="C184" s="19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17">
        <f t="shared" ref="O184:O192" si="54">C184+D184+E184+F184+G184+H184+I184+J184+K184+L184+M184+N184</f>
        <v>0</v>
      </c>
    </row>
    <row r="185" spans="1:15" s="17" customFormat="1" x14ac:dyDescent="0.25">
      <c r="A185" s="18" t="s">
        <v>202</v>
      </c>
      <c r="B185" s="22">
        <f t="shared" si="53"/>
        <v>0</v>
      </c>
      <c r="C185" s="19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17">
        <f t="shared" si="54"/>
        <v>0</v>
      </c>
    </row>
    <row r="186" spans="1:15" s="556" customFormat="1" x14ac:dyDescent="0.25">
      <c r="A186" s="554" t="s">
        <v>203</v>
      </c>
      <c r="B186" s="557">
        <f>SUM(C186:N186)</f>
        <v>266183.18</v>
      </c>
      <c r="C186" s="558">
        <f>SUM(C187:C191)</f>
        <v>164477.34</v>
      </c>
      <c r="D186" s="558">
        <f t="shared" ref="D186:N186" si="55">SUM(D187:D191)</f>
        <v>101705.84</v>
      </c>
      <c r="E186" s="558">
        <f t="shared" si="55"/>
        <v>0</v>
      </c>
      <c r="F186" s="558">
        <f>SUM(F187:F191)</f>
        <v>0</v>
      </c>
      <c r="G186" s="558">
        <f>SUM(G187:G191)</f>
        <v>0</v>
      </c>
      <c r="H186" s="558">
        <f t="shared" si="55"/>
        <v>0</v>
      </c>
      <c r="I186" s="558">
        <f t="shared" si="55"/>
        <v>0</v>
      </c>
      <c r="J186" s="558">
        <f t="shared" si="55"/>
        <v>0</v>
      </c>
      <c r="K186" s="558">
        <f t="shared" si="55"/>
        <v>0</v>
      </c>
      <c r="L186" s="558">
        <f t="shared" si="55"/>
        <v>0</v>
      </c>
      <c r="M186" s="558">
        <f t="shared" si="55"/>
        <v>0</v>
      </c>
      <c r="N186" s="558">
        <f t="shared" si="55"/>
        <v>0</v>
      </c>
      <c r="O186" s="556">
        <f t="shared" si="54"/>
        <v>266183.18</v>
      </c>
    </row>
    <row r="187" spans="1:15" x14ac:dyDescent="0.25">
      <c r="A187" s="18" t="s">
        <v>204</v>
      </c>
      <c r="B187" s="22">
        <f>SUM(C187:N187)</f>
        <v>101705.84</v>
      </c>
      <c r="C187" s="19"/>
      <c r="D187" s="19">
        <f>94696+7009.84</f>
        <v>101705.84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17">
        <f t="shared" si="54"/>
        <v>101705.84</v>
      </c>
    </row>
    <row r="188" spans="1:15" s="26" customFormat="1" x14ac:dyDescent="0.25">
      <c r="A188" s="18" t="s">
        <v>205</v>
      </c>
      <c r="B188" s="22">
        <f t="shared" ref="B188:B191" si="56">SUM(C188:N188)</f>
        <v>0</v>
      </c>
      <c r="C188" s="19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17">
        <f t="shared" si="54"/>
        <v>0</v>
      </c>
    </row>
    <row r="189" spans="1:15" s="17" customFormat="1" x14ac:dyDescent="0.25">
      <c r="A189" s="18" t="s">
        <v>206</v>
      </c>
      <c r="B189" s="22">
        <f t="shared" si="56"/>
        <v>164477.34</v>
      </c>
      <c r="C189" s="19">
        <f>70790.94+46843.2+46843.2</f>
        <v>164477.34</v>
      </c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17">
        <f t="shared" si="54"/>
        <v>164477.34</v>
      </c>
    </row>
    <row r="190" spans="1:15" s="17" customFormat="1" x14ac:dyDescent="0.25">
      <c r="A190" s="18" t="s">
        <v>207</v>
      </c>
      <c r="B190" s="22">
        <f t="shared" si="56"/>
        <v>0</v>
      </c>
      <c r="C190" s="19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17">
        <f t="shared" si="54"/>
        <v>0</v>
      </c>
    </row>
    <row r="191" spans="1:15" s="17" customFormat="1" x14ac:dyDescent="0.25">
      <c r="A191" s="18" t="s">
        <v>208</v>
      </c>
      <c r="B191" s="22">
        <f t="shared" si="56"/>
        <v>0</v>
      </c>
      <c r="C191" s="19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17">
        <f t="shared" si="54"/>
        <v>0</v>
      </c>
    </row>
    <row r="192" spans="1:15" s="17" customFormat="1" x14ac:dyDescent="0.25">
      <c r="A192" s="16" t="s">
        <v>209</v>
      </c>
      <c r="B192" s="21">
        <f>B5+B30+B58+B80+B87+B90+B105+B111+B119+B132+B153+B159+B175</f>
        <v>633587.53</v>
      </c>
      <c r="C192" s="21">
        <f t="shared" ref="C192:N192" si="57">C5+C30+C58+C80+C87+C90+C105+C111+C119+C132+C153+C159+C175+C28+C29+C56+C57+C75+C76</f>
        <v>316604.06000000006</v>
      </c>
      <c r="D192" s="21">
        <f t="shared" si="57"/>
        <v>318368.21000000002</v>
      </c>
      <c r="E192" s="21">
        <f t="shared" si="57"/>
        <v>0</v>
      </c>
      <c r="F192" s="21">
        <f t="shared" si="57"/>
        <v>0</v>
      </c>
      <c r="G192" s="21">
        <f t="shared" si="57"/>
        <v>0</v>
      </c>
      <c r="H192" s="21">
        <f t="shared" si="57"/>
        <v>0</v>
      </c>
      <c r="I192" s="21">
        <f t="shared" si="57"/>
        <v>0</v>
      </c>
      <c r="J192" s="21">
        <f t="shared" si="57"/>
        <v>0</v>
      </c>
      <c r="K192" s="21">
        <f t="shared" si="57"/>
        <v>0</v>
      </c>
      <c r="L192" s="21">
        <f t="shared" si="57"/>
        <v>0</v>
      </c>
      <c r="M192" s="21">
        <f t="shared" si="57"/>
        <v>0</v>
      </c>
      <c r="N192" s="21">
        <f t="shared" si="57"/>
        <v>0</v>
      </c>
      <c r="O192" s="17">
        <f t="shared" si="54"/>
        <v>634972.27</v>
      </c>
    </row>
    <row r="193" spans="1:15" x14ac:dyDescent="0.25">
      <c r="A193" s="27"/>
      <c r="B193" s="537">
        <f>B5+B30+B58+B77+B80+B87+B90+B105+B111+B119+B129+B132+B159+B175</f>
        <v>642657.69999999995</v>
      </c>
      <c r="C193" s="28"/>
      <c r="D193" s="28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17">
        <f>C193+D193+E193+F193+G193+H193+I193+J193+K193+L193+M193</f>
        <v>0</v>
      </c>
    </row>
    <row r="194" spans="1:15" x14ac:dyDescent="0.25">
      <c r="A194" s="3" t="s">
        <v>210</v>
      </c>
      <c r="B194" s="3"/>
      <c r="C194" s="28">
        <f>C80+C87+C90+C105+C111+C119+C132+C153+C159+C175</f>
        <v>104973.54000000001</v>
      </c>
      <c r="D194" s="28">
        <f t="shared" ref="D194:N194" si="58">D80+D87+D90+D105+D111+D119+D132+D153+D159+D175</f>
        <v>98454.78</v>
      </c>
      <c r="E194" s="28">
        <f t="shared" si="58"/>
        <v>0</v>
      </c>
      <c r="F194" s="28">
        <f t="shared" si="58"/>
        <v>0</v>
      </c>
      <c r="G194" s="28">
        <f t="shared" si="58"/>
        <v>0</v>
      </c>
      <c r="H194" s="28">
        <f t="shared" si="58"/>
        <v>0</v>
      </c>
      <c r="I194" s="28">
        <f t="shared" si="58"/>
        <v>0</v>
      </c>
      <c r="J194" s="28">
        <f t="shared" si="58"/>
        <v>0</v>
      </c>
      <c r="K194" s="28">
        <f t="shared" si="58"/>
        <v>0</v>
      </c>
      <c r="L194" s="28">
        <f t="shared" si="58"/>
        <v>0</v>
      </c>
      <c r="M194" s="28">
        <f t="shared" si="58"/>
        <v>0</v>
      </c>
      <c r="N194" s="28">
        <f t="shared" si="58"/>
        <v>0</v>
      </c>
      <c r="O194" s="17">
        <f>C194+D194+E194+F194+G194+H194+I194+J194+K194+L194+M194+N194</f>
        <v>203428.32</v>
      </c>
    </row>
    <row r="195" spans="1:15" x14ac:dyDescent="0.25">
      <c r="A195" s="3" t="s">
        <v>211</v>
      </c>
      <c r="B195" s="3"/>
      <c r="C195" s="28"/>
      <c r="D195" s="28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17">
        <f>C195+D195+E195+F195+G195+H195+I195+J195+K195+L195+M195</f>
        <v>0</v>
      </c>
    </row>
    <row r="196" spans="1:15" x14ac:dyDescent="0.25">
      <c r="A196" s="3" t="s">
        <v>212</v>
      </c>
      <c r="B196" s="3"/>
      <c r="C196" s="28">
        <f t="shared" ref="C196:H196" si="59">+C163</f>
        <v>177678.91999999998</v>
      </c>
      <c r="D196" s="28">
        <f t="shared" si="59"/>
        <v>5641.82</v>
      </c>
      <c r="E196" s="28">
        <f t="shared" si="59"/>
        <v>0</v>
      </c>
      <c r="F196" s="28">
        <f t="shared" si="59"/>
        <v>0</v>
      </c>
      <c r="G196" s="28">
        <f t="shared" si="59"/>
        <v>0</v>
      </c>
      <c r="H196" s="28">
        <f t="shared" si="59"/>
        <v>0</v>
      </c>
      <c r="I196" s="28"/>
      <c r="J196" s="28"/>
      <c r="K196" s="28"/>
      <c r="L196" s="28"/>
      <c r="M196" s="28"/>
      <c r="N196" s="28"/>
      <c r="O196" s="17">
        <f>C196+D196+E196+F196+G196+H196+I196+J196+K196+L196+M196</f>
        <v>183320.74</v>
      </c>
    </row>
    <row r="197" spans="1:15" x14ac:dyDescent="0.25">
      <c r="A197" s="3" t="s">
        <v>213</v>
      </c>
      <c r="B197" s="3"/>
      <c r="C197" s="28"/>
      <c r="D197" s="2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17">
        <f>C197+D197+E197+F197+G197+H197+I197+J197+K197+L197+M197</f>
        <v>0</v>
      </c>
    </row>
    <row r="198" spans="1:15" x14ac:dyDescent="0.25">
      <c r="O198" s="17">
        <f>C198+D198+E198+F198+G198+H198+I198+J198+K198+L198+M198</f>
        <v>0</v>
      </c>
    </row>
    <row r="199" spans="1:15" x14ac:dyDescent="0.25">
      <c r="A199" s="30" t="s">
        <v>214</v>
      </c>
      <c r="B199" s="30" t="s">
        <v>215</v>
      </c>
      <c r="C199" s="29">
        <f t="shared" ref="C199:N199" si="60">C200+C201+C202</f>
        <v>3077.9</v>
      </c>
      <c r="D199" s="29">
        <f t="shared" si="60"/>
        <v>8059.08</v>
      </c>
      <c r="E199" s="29">
        <f t="shared" si="60"/>
        <v>0</v>
      </c>
      <c r="F199" s="29">
        <f t="shared" si="60"/>
        <v>0</v>
      </c>
      <c r="G199" s="29">
        <f t="shared" si="60"/>
        <v>0</v>
      </c>
      <c r="H199" s="29">
        <f t="shared" si="60"/>
        <v>0</v>
      </c>
      <c r="I199" s="29">
        <f t="shared" si="60"/>
        <v>0</v>
      </c>
      <c r="J199" s="29">
        <f t="shared" si="60"/>
        <v>0</v>
      </c>
      <c r="K199" s="29">
        <f t="shared" si="60"/>
        <v>0</v>
      </c>
      <c r="L199" s="29">
        <f t="shared" si="60"/>
        <v>0</v>
      </c>
      <c r="M199" s="29">
        <f t="shared" si="60"/>
        <v>0</v>
      </c>
      <c r="N199" s="29">
        <f t="shared" si="60"/>
        <v>0</v>
      </c>
      <c r="O199" s="17">
        <f t="shared" ref="O199:O204" si="61">C199+D199+E199+F199+G199+H199+I199+J199+K199+L199+M199+N199</f>
        <v>11136.98</v>
      </c>
    </row>
    <row r="200" spans="1:15" x14ac:dyDescent="0.25">
      <c r="A200" s="39" t="s">
        <v>216</v>
      </c>
      <c r="B200" s="39">
        <f>SUM(C200:N200)</f>
        <v>3791.6483333333335</v>
      </c>
      <c r="C200" s="39">
        <f>C120+C124+C135+C139+C143+C147+C151+C155</f>
        <v>1060.095</v>
      </c>
      <c r="D200" s="39">
        <f t="shared" ref="D200:N200" si="62">D120+D124+D135+D139+D143+D147+D151+D155</f>
        <v>2731.5533333333333</v>
      </c>
      <c r="E200" s="39">
        <f t="shared" si="62"/>
        <v>0</v>
      </c>
      <c r="F200" s="39">
        <f t="shared" si="62"/>
        <v>0</v>
      </c>
      <c r="G200" s="39">
        <f t="shared" si="62"/>
        <v>0</v>
      </c>
      <c r="H200" s="39">
        <f t="shared" si="62"/>
        <v>0</v>
      </c>
      <c r="I200" s="39">
        <f t="shared" si="62"/>
        <v>0</v>
      </c>
      <c r="J200" s="39">
        <f t="shared" si="62"/>
        <v>0</v>
      </c>
      <c r="K200" s="39">
        <f t="shared" si="62"/>
        <v>0</v>
      </c>
      <c r="L200" s="39">
        <f t="shared" si="62"/>
        <v>0</v>
      </c>
      <c r="M200" s="39">
        <f t="shared" si="62"/>
        <v>0</v>
      </c>
      <c r="N200" s="39">
        <f t="shared" si="62"/>
        <v>0</v>
      </c>
      <c r="O200" s="17">
        <f t="shared" si="61"/>
        <v>3791.6483333333335</v>
      </c>
    </row>
    <row r="201" spans="1:15" x14ac:dyDescent="0.25">
      <c r="A201" s="40" t="s">
        <v>217</v>
      </c>
      <c r="B201" s="39">
        <f t="shared" ref="B201:B202" si="63">SUM(C201:N201)</f>
        <v>5770.1083333333336</v>
      </c>
      <c r="C201" s="40">
        <f t="shared" ref="C201:N201" si="64">C121+C125+C136+C140+C144+C148++C152++C156</f>
        <v>1871.8050000000001</v>
      </c>
      <c r="D201" s="40">
        <f t="shared" si="64"/>
        <v>3898.3033333333333</v>
      </c>
      <c r="E201" s="40">
        <f t="shared" si="64"/>
        <v>0</v>
      </c>
      <c r="F201" s="40">
        <f t="shared" si="64"/>
        <v>0</v>
      </c>
      <c r="G201" s="40">
        <f t="shared" si="64"/>
        <v>0</v>
      </c>
      <c r="H201" s="40">
        <f t="shared" si="64"/>
        <v>0</v>
      </c>
      <c r="I201" s="40">
        <f t="shared" si="64"/>
        <v>0</v>
      </c>
      <c r="J201" s="40">
        <f t="shared" si="64"/>
        <v>0</v>
      </c>
      <c r="K201" s="40">
        <f t="shared" si="64"/>
        <v>0</v>
      </c>
      <c r="L201" s="40">
        <f t="shared" si="64"/>
        <v>0</v>
      </c>
      <c r="M201" s="40">
        <f t="shared" si="64"/>
        <v>0</v>
      </c>
      <c r="N201" s="40">
        <f t="shared" si="64"/>
        <v>0</v>
      </c>
      <c r="O201" s="17">
        <f t="shared" si="61"/>
        <v>5770.1083333333336</v>
      </c>
    </row>
    <row r="202" spans="1:15" x14ac:dyDescent="0.25">
      <c r="A202" s="45" t="s">
        <v>218</v>
      </c>
      <c r="B202" s="39">
        <f t="shared" si="63"/>
        <v>1575.2233333333334</v>
      </c>
      <c r="C202" s="45">
        <f t="shared" ref="C202:N202" si="65">C122+C126+C134+C138+C142+C146+C150+C154</f>
        <v>146</v>
      </c>
      <c r="D202" s="45">
        <f t="shared" si="65"/>
        <v>1429.2233333333334</v>
      </c>
      <c r="E202" s="45">
        <f t="shared" si="65"/>
        <v>0</v>
      </c>
      <c r="F202" s="45">
        <f t="shared" si="65"/>
        <v>0</v>
      </c>
      <c r="G202" s="45">
        <f t="shared" si="65"/>
        <v>0</v>
      </c>
      <c r="H202" s="45">
        <f t="shared" si="65"/>
        <v>0</v>
      </c>
      <c r="I202" s="45">
        <f t="shared" si="65"/>
        <v>0</v>
      </c>
      <c r="J202" s="45">
        <f t="shared" si="65"/>
        <v>0</v>
      </c>
      <c r="K202" s="45">
        <f t="shared" si="65"/>
        <v>0</v>
      </c>
      <c r="L202" s="45">
        <f t="shared" si="65"/>
        <v>0</v>
      </c>
      <c r="M202" s="45">
        <f t="shared" si="65"/>
        <v>0</v>
      </c>
      <c r="N202" s="45">
        <f t="shared" si="65"/>
        <v>0</v>
      </c>
      <c r="O202" s="17">
        <f t="shared" si="61"/>
        <v>1575.2233333333334</v>
      </c>
    </row>
    <row r="203" spans="1:15" x14ac:dyDescent="0.25">
      <c r="A203" s="17"/>
      <c r="B203" s="17"/>
      <c r="C203" s="17">
        <f>C194-C199</f>
        <v>101895.64000000001</v>
      </c>
      <c r="D203" s="17">
        <f>D194-D199</f>
        <v>90395.7</v>
      </c>
      <c r="E203" s="17">
        <f t="shared" ref="E203:N203" si="66">E194-E199</f>
        <v>0</v>
      </c>
      <c r="F203" s="17">
        <f t="shared" si="66"/>
        <v>0</v>
      </c>
      <c r="G203" s="17">
        <f t="shared" si="66"/>
        <v>0</v>
      </c>
      <c r="H203" s="17">
        <f t="shared" si="66"/>
        <v>0</v>
      </c>
      <c r="I203" s="17">
        <f t="shared" si="66"/>
        <v>0</v>
      </c>
      <c r="J203" s="17">
        <f t="shared" si="66"/>
        <v>0</v>
      </c>
      <c r="K203" s="17">
        <f t="shared" si="66"/>
        <v>0</v>
      </c>
      <c r="L203" s="17">
        <f t="shared" si="66"/>
        <v>0</v>
      </c>
      <c r="M203" s="17">
        <f t="shared" si="66"/>
        <v>0</v>
      </c>
      <c r="N203" s="17">
        <f t="shared" si="66"/>
        <v>0</v>
      </c>
      <c r="O203" s="17">
        <f t="shared" si="61"/>
        <v>192291.34000000003</v>
      </c>
    </row>
    <row r="204" spans="1:15" x14ac:dyDescent="0.25">
      <c r="A204" s="30" t="s">
        <v>219</v>
      </c>
      <c r="B204" s="30"/>
      <c r="C204" s="28"/>
      <c r="D204" s="28"/>
      <c r="E204" s="29"/>
      <c r="F204" s="29"/>
      <c r="G204" s="29"/>
      <c r="H204" s="29"/>
      <c r="I204" s="29">
        <f t="shared" ref="I204:N204" si="67">I194-I200-I201-I202</f>
        <v>0</v>
      </c>
      <c r="J204" s="29">
        <f t="shared" si="67"/>
        <v>0</v>
      </c>
      <c r="K204" s="29">
        <f t="shared" si="67"/>
        <v>0</v>
      </c>
      <c r="L204" s="29">
        <f t="shared" si="67"/>
        <v>0</v>
      </c>
      <c r="M204" s="29">
        <f t="shared" si="67"/>
        <v>0</v>
      </c>
      <c r="N204" s="29">
        <f t="shared" si="67"/>
        <v>0</v>
      </c>
      <c r="O204" s="17">
        <f t="shared" si="61"/>
        <v>0</v>
      </c>
    </row>
    <row r="205" spans="1:15" x14ac:dyDescent="0.25">
      <c r="A205" s="17" t="s">
        <v>216</v>
      </c>
      <c r="B205" s="17"/>
      <c r="C205" s="28"/>
      <c r="D205" s="28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17">
        <f t="shared" ref="O205:O236" si="68">C205+D205+E205+F205+G205+H205+I205+J205+K205+L205+M205</f>
        <v>0</v>
      </c>
    </row>
    <row r="206" spans="1:15" x14ac:dyDescent="0.25">
      <c r="A206" s="17" t="s">
        <v>217</v>
      </c>
      <c r="B206" s="17"/>
      <c r="C206" s="28"/>
      <c r="D206" s="28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17">
        <f t="shared" si="68"/>
        <v>0</v>
      </c>
    </row>
    <row r="207" spans="1:15" x14ac:dyDescent="0.25">
      <c r="A207" s="17" t="s">
        <v>218</v>
      </c>
      <c r="B207" s="17"/>
      <c r="C207" s="28"/>
      <c r="D207" s="28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17">
        <f t="shared" si="68"/>
        <v>0</v>
      </c>
    </row>
    <row r="208" spans="1:15" x14ac:dyDescent="0.25">
      <c r="C208" s="28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17">
        <f t="shared" si="68"/>
        <v>0</v>
      </c>
    </row>
    <row r="209" spans="3:15" x14ac:dyDescent="0.25">
      <c r="C209" s="28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17">
        <f t="shared" si="68"/>
        <v>0</v>
      </c>
    </row>
    <row r="210" spans="3:15" x14ac:dyDescent="0.25">
      <c r="C210" s="28"/>
      <c r="D210" s="28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17">
        <f t="shared" si="68"/>
        <v>0</v>
      </c>
    </row>
    <row r="211" spans="3:15" x14ac:dyDescent="0.25">
      <c r="C211" s="28">
        <f>C192+C163+C200+C201+C202</f>
        <v>497360.88</v>
      </c>
      <c r="D211" s="28">
        <f>D192+D163+D200+D201+D202</f>
        <v>332069.11000000004</v>
      </c>
      <c r="E211" s="28">
        <f>E192+E163+E200+E201+E202</f>
        <v>0</v>
      </c>
      <c r="F211" s="28">
        <f>F192+F163+F200+F201+F202+F77</f>
        <v>0</v>
      </c>
      <c r="G211" s="28">
        <f>G192+G163+G200+G201+G202+G77</f>
        <v>0</v>
      </c>
      <c r="H211" s="28"/>
      <c r="I211" s="28"/>
      <c r="J211" s="28"/>
      <c r="K211" s="28"/>
      <c r="L211" s="28"/>
      <c r="M211" s="28"/>
      <c r="N211" s="28"/>
      <c r="O211" s="17">
        <f t="shared" si="68"/>
        <v>829429.99</v>
      </c>
    </row>
    <row r="212" spans="3:15" x14ac:dyDescent="0.25">
      <c r="O212" s="17">
        <f t="shared" si="68"/>
        <v>0</v>
      </c>
    </row>
    <row r="213" spans="3:15" x14ac:dyDescent="0.25">
      <c r="O213" s="17">
        <f t="shared" si="68"/>
        <v>0</v>
      </c>
    </row>
    <row r="214" spans="3:15" customFormat="1" x14ac:dyDescent="0.25">
      <c r="O214" s="17">
        <f t="shared" si="68"/>
        <v>0</v>
      </c>
    </row>
    <row r="215" spans="3:15" customFormat="1" x14ac:dyDescent="0.25">
      <c r="O215" s="17">
        <f t="shared" si="68"/>
        <v>0</v>
      </c>
    </row>
    <row r="216" spans="3:15" customFormat="1" x14ac:dyDescent="0.25">
      <c r="O216" s="17">
        <f t="shared" si="68"/>
        <v>0</v>
      </c>
    </row>
    <row r="217" spans="3:15" customFormat="1" x14ac:dyDescent="0.25">
      <c r="O217" s="17">
        <f t="shared" si="68"/>
        <v>0</v>
      </c>
    </row>
    <row r="218" spans="3:15" customFormat="1" x14ac:dyDescent="0.25">
      <c r="O218" s="17">
        <f t="shared" si="68"/>
        <v>0</v>
      </c>
    </row>
    <row r="219" spans="3:15" customFormat="1" x14ac:dyDescent="0.25">
      <c r="O219" s="17">
        <f t="shared" si="68"/>
        <v>0</v>
      </c>
    </row>
    <row r="220" spans="3:15" customFormat="1" x14ac:dyDescent="0.25">
      <c r="O220" s="17">
        <f t="shared" si="68"/>
        <v>0</v>
      </c>
    </row>
    <row r="221" spans="3:15" customFormat="1" x14ac:dyDescent="0.25">
      <c r="O221" s="17">
        <f t="shared" si="68"/>
        <v>0</v>
      </c>
    </row>
    <row r="222" spans="3:15" customFormat="1" x14ac:dyDescent="0.25">
      <c r="O222" s="17">
        <f t="shared" si="68"/>
        <v>0</v>
      </c>
    </row>
    <row r="223" spans="3:15" customFormat="1" x14ac:dyDescent="0.25">
      <c r="O223" s="17">
        <f t="shared" si="68"/>
        <v>0</v>
      </c>
    </row>
    <row r="224" spans="3:15" customFormat="1" x14ac:dyDescent="0.25">
      <c r="O224" s="17">
        <f t="shared" si="68"/>
        <v>0</v>
      </c>
    </row>
    <row r="225" spans="15:15" customFormat="1" x14ac:dyDescent="0.25">
      <c r="O225" s="17">
        <f t="shared" si="68"/>
        <v>0</v>
      </c>
    </row>
    <row r="226" spans="15:15" customFormat="1" x14ac:dyDescent="0.25">
      <c r="O226" s="17">
        <f t="shared" si="68"/>
        <v>0</v>
      </c>
    </row>
    <row r="227" spans="15:15" customFormat="1" x14ac:dyDescent="0.25">
      <c r="O227" s="17">
        <f t="shared" si="68"/>
        <v>0</v>
      </c>
    </row>
    <row r="228" spans="15:15" customFormat="1" x14ac:dyDescent="0.25">
      <c r="O228" s="17">
        <f t="shared" si="68"/>
        <v>0</v>
      </c>
    </row>
    <row r="229" spans="15:15" customFormat="1" x14ac:dyDescent="0.25">
      <c r="O229" s="17">
        <f t="shared" si="68"/>
        <v>0</v>
      </c>
    </row>
    <row r="230" spans="15:15" customFormat="1" x14ac:dyDescent="0.25">
      <c r="O230" s="17">
        <f t="shared" si="68"/>
        <v>0</v>
      </c>
    </row>
    <row r="231" spans="15:15" customFormat="1" x14ac:dyDescent="0.25">
      <c r="O231" s="17">
        <f t="shared" si="68"/>
        <v>0</v>
      </c>
    </row>
    <row r="232" spans="15:15" customFormat="1" x14ac:dyDescent="0.25">
      <c r="O232" s="17">
        <f t="shared" si="68"/>
        <v>0</v>
      </c>
    </row>
    <row r="233" spans="15:15" customFormat="1" x14ac:dyDescent="0.25">
      <c r="O233" s="17">
        <f t="shared" si="68"/>
        <v>0</v>
      </c>
    </row>
    <row r="234" spans="15:15" customFormat="1" x14ac:dyDescent="0.25">
      <c r="O234" s="17">
        <f t="shared" si="68"/>
        <v>0</v>
      </c>
    </row>
    <row r="235" spans="15:15" customFormat="1" x14ac:dyDescent="0.25">
      <c r="O235" s="17">
        <f t="shared" si="68"/>
        <v>0</v>
      </c>
    </row>
    <row r="236" spans="15:15" customFormat="1" x14ac:dyDescent="0.25">
      <c r="O236" s="17">
        <f t="shared" si="68"/>
        <v>0</v>
      </c>
    </row>
    <row r="237" spans="15:15" customFormat="1" x14ac:dyDescent="0.25">
      <c r="O237" s="17">
        <f t="shared" ref="O237:O268" si="69">C237+D237+E237+F237+G237+H237+I237+J237+K237+L237+M237</f>
        <v>0</v>
      </c>
    </row>
    <row r="238" spans="15:15" customFormat="1" x14ac:dyDescent="0.25">
      <c r="O238" s="17">
        <f t="shared" si="69"/>
        <v>0</v>
      </c>
    </row>
    <row r="239" spans="15:15" customFormat="1" x14ac:dyDescent="0.25">
      <c r="O239" s="17">
        <f t="shared" si="69"/>
        <v>0</v>
      </c>
    </row>
    <row r="240" spans="15:15" customFormat="1" x14ac:dyDescent="0.25">
      <c r="O240" s="17">
        <f t="shared" si="69"/>
        <v>0</v>
      </c>
    </row>
    <row r="241" spans="15:15" customFormat="1" x14ac:dyDescent="0.25">
      <c r="O241" s="17">
        <f t="shared" si="69"/>
        <v>0</v>
      </c>
    </row>
    <row r="242" spans="15:15" customFormat="1" x14ac:dyDescent="0.25">
      <c r="O242" s="17">
        <f t="shared" si="69"/>
        <v>0</v>
      </c>
    </row>
    <row r="243" spans="15:15" customFormat="1" x14ac:dyDescent="0.25">
      <c r="O243" s="17">
        <f t="shared" si="69"/>
        <v>0</v>
      </c>
    </row>
    <row r="244" spans="15:15" customFormat="1" x14ac:dyDescent="0.25">
      <c r="O244" s="17">
        <f t="shared" si="69"/>
        <v>0</v>
      </c>
    </row>
    <row r="245" spans="15:15" customFormat="1" x14ac:dyDescent="0.25">
      <c r="O245" s="17">
        <f t="shared" si="69"/>
        <v>0</v>
      </c>
    </row>
    <row r="246" spans="15:15" customFormat="1" x14ac:dyDescent="0.25">
      <c r="O246" s="17">
        <f t="shared" si="69"/>
        <v>0</v>
      </c>
    </row>
    <row r="247" spans="15:15" customFormat="1" x14ac:dyDescent="0.25">
      <c r="O247" s="17">
        <f t="shared" si="69"/>
        <v>0</v>
      </c>
    </row>
    <row r="248" spans="15:15" customFormat="1" x14ac:dyDescent="0.25">
      <c r="O248" s="17">
        <f t="shared" si="69"/>
        <v>0</v>
      </c>
    </row>
    <row r="249" spans="15:15" customFormat="1" x14ac:dyDescent="0.25">
      <c r="O249" s="17">
        <f t="shared" si="69"/>
        <v>0</v>
      </c>
    </row>
    <row r="250" spans="15:15" customFormat="1" x14ac:dyDescent="0.25">
      <c r="O250" s="17">
        <f t="shared" si="69"/>
        <v>0</v>
      </c>
    </row>
    <row r="251" spans="15:15" customFormat="1" x14ac:dyDescent="0.25">
      <c r="O251" s="17">
        <f t="shared" si="69"/>
        <v>0</v>
      </c>
    </row>
    <row r="252" spans="15:15" customFormat="1" x14ac:dyDescent="0.25">
      <c r="O252" s="17">
        <f t="shared" si="69"/>
        <v>0</v>
      </c>
    </row>
    <row r="253" spans="15:15" customFormat="1" x14ac:dyDescent="0.25">
      <c r="O253" s="17">
        <f t="shared" si="69"/>
        <v>0</v>
      </c>
    </row>
    <row r="254" spans="15:15" customFormat="1" x14ac:dyDescent="0.25">
      <c r="O254" s="17">
        <f t="shared" si="69"/>
        <v>0</v>
      </c>
    </row>
    <row r="255" spans="15:15" customFormat="1" x14ac:dyDescent="0.25">
      <c r="O255" s="17">
        <f t="shared" si="69"/>
        <v>0</v>
      </c>
    </row>
    <row r="256" spans="15:15" customFormat="1" x14ac:dyDescent="0.25">
      <c r="O256" s="17">
        <f t="shared" si="69"/>
        <v>0</v>
      </c>
    </row>
    <row r="257" spans="15:15" customFormat="1" x14ac:dyDescent="0.25">
      <c r="O257" s="17">
        <f t="shared" si="69"/>
        <v>0</v>
      </c>
    </row>
    <row r="258" spans="15:15" customFormat="1" x14ac:dyDescent="0.25">
      <c r="O258" s="17">
        <f t="shared" si="69"/>
        <v>0</v>
      </c>
    </row>
    <row r="259" spans="15:15" customFormat="1" x14ac:dyDescent="0.25">
      <c r="O259" s="17">
        <f t="shared" si="69"/>
        <v>0</v>
      </c>
    </row>
    <row r="260" spans="15:15" customFormat="1" x14ac:dyDescent="0.25">
      <c r="O260" s="17">
        <f t="shared" si="69"/>
        <v>0</v>
      </c>
    </row>
    <row r="261" spans="15:15" customFormat="1" x14ac:dyDescent="0.25">
      <c r="O261" s="17">
        <f t="shared" si="69"/>
        <v>0</v>
      </c>
    </row>
    <row r="262" spans="15:15" customFormat="1" x14ac:dyDescent="0.25">
      <c r="O262" s="17">
        <f t="shared" si="69"/>
        <v>0</v>
      </c>
    </row>
    <row r="263" spans="15:15" customFormat="1" x14ac:dyDescent="0.25">
      <c r="O263" s="17">
        <f t="shared" si="69"/>
        <v>0</v>
      </c>
    </row>
    <row r="264" spans="15:15" customFormat="1" x14ac:dyDescent="0.25">
      <c r="O264" s="17">
        <f t="shared" si="69"/>
        <v>0</v>
      </c>
    </row>
    <row r="265" spans="15:15" customFormat="1" x14ac:dyDescent="0.25">
      <c r="O265" s="17">
        <f t="shared" si="69"/>
        <v>0</v>
      </c>
    </row>
    <row r="266" spans="15:15" customFormat="1" x14ac:dyDescent="0.25">
      <c r="O266" s="17">
        <f t="shared" si="69"/>
        <v>0</v>
      </c>
    </row>
    <row r="267" spans="15:15" customFormat="1" x14ac:dyDescent="0.25">
      <c r="O267" s="17">
        <f t="shared" si="69"/>
        <v>0</v>
      </c>
    </row>
    <row r="268" spans="15:15" customFormat="1" x14ac:dyDescent="0.25">
      <c r="O268" s="17">
        <f t="shared" si="69"/>
        <v>0</v>
      </c>
    </row>
    <row r="269" spans="15:15" customFormat="1" x14ac:dyDescent="0.25">
      <c r="O269" s="17">
        <f t="shared" ref="O269:O295" si="70">C269+D269+E269+F269+G269+H269+I269+J269+K269+L269+M269</f>
        <v>0</v>
      </c>
    </row>
    <row r="270" spans="15:15" customFormat="1" x14ac:dyDescent="0.25">
      <c r="O270" s="17">
        <f t="shared" si="70"/>
        <v>0</v>
      </c>
    </row>
    <row r="271" spans="15:15" customFormat="1" x14ac:dyDescent="0.25">
      <c r="O271" s="17">
        <f t="shared" si="70"/>
        <v>0</v>
      </c>
    </row>
    <row r="272" spans="15:15" customFormat="1" x14ac:dyDescent="0.25">
      <c r="O272" s="17">
        <f t="shared" si="70"/>
        <v>0</v>
      </c>
    </row>
    <row r="273" spans="15:15" customFormat="1" x14ac:dyDescent="0.25">
      <c r="O273" s="17">
        <f t="shared" si="70"/>
        <v>0</v>
      </c>
    </row>
    <row r="274" spans="15:15" customFormat="1" x14ac:dyDescent="0.25">
      <c r="O274" s="17">
        <f t="shared" si="70"/>
        <v>0</v>
      </c>
    </row>
    <row r="275" spans="15:15" customFormat="1" x14ac:dyDescent="0.25">
      <c r="O275" s="17">
        <f t="shared" si="70"/>
        <v>0</v>
      </c>
    </row>
    <row r="276" spans="15:15" customFormat="1" x14ac:dyDescent="0.25">
      <c r="O276" s="17">
        <f t="shared" si="70"/>
        <v>0</v>
      </c>
    </row>
    <row r="277" spans="15:15" customFormat="1" x14ac:dyDescent="0.25">
      <c r="O277" s="17">
        <f t="shared" si="70"/>
        <v>0</v>
      </c>
    </row>
    <row r="278" spans="15:15" customFormat="1" x14ac:dyDescent="0.25">
      <c r="O278" s="17">
        <f t="shared" si="70"/>
        <v>0</v>
      </c>
    </row>
    <row r="279" spans="15:15" customFormat="1" x14ac:dyDescent="0.25">
      <c r="O279" s="17">
        <f t="shared" si="70"/>
        <v>0</v>
      </c>
    </row>
    <row r="280" spans="15:15" customFormat="1" x14ac:dyDescent="0.25">
      <c r="O280" s="17">
        <f t="shared" si="70"/>
        <v>0</v>
      </c>
    </row>
    <row r="281" spans="15:15" customFormat="1" x14ac:dyDescent="0.25">
      <c r="O281" s="17">
        <f t="shared" si="70"/>
        <v>0</v>
      </c>
    </row>
    <row r="282" spans="15:15" customFormat="1" x14ac:dyDescent="0.25">
      <c r="O282" s="17">
        <f t="shared" si="70"/>
        <v>0</v>
      </c>
    </row>
    <row r="283" spans="15:15" customFormat="1" x14ac:dyDescent="0.25">
      <c r="O283" s="17">
        <f t="shared" si="70"/>
        <v>0</v>
      </c>
    </row>
    <row r="284" spans="15:15" customFormat="1" x14ac:dyDescent="0.25">
      <c r="O284" s="17">
        <f t="shared" si="70"/>
        <v>0</v>
      </c>
    </row>
    <row r="285" spans="15:15" customFormat="1" x14ac:dyDescent="0.25">
      <c r="O285" s="17">
        <f t="shared" si="70"/>
        <v>0</v>
      </c>
    </row>
    <row r="286" spans="15:15" customFormat="1" x14ac:dyDescent="0.25">
      <c r="O286" s="17">
        <f t="shared" si="70"/>
        <v>0</v>
      </c>
    </row>
    <row r="287" spans="15:15" customFormat="1" x14ac:dyDescent="0.25">
      <c r="O287" s="17">
        <f t="shared" si="70"/>
        <v>0</v>
      </c>
    </row>
    <row r="288" spans="15:15" customFormat="1" x14ac:dyDescent="0.25">
      <c r="O288" s="17">
        <f t="shared" si="70"/>
        <v>0</v>
      </c>
    </row>
    <row r="289" spans="15:15" customFormat="1" x14ac:dyDescent="0.25">
      <c r="O289" s="17">
        <f t="shared" si="70"/>
        <v>0</v>
      </c>
    </row>
    <row r="290" spans="15:15" customFormat="1" x14ac:dyDescent="0.25">
      <c r="O290" s="17">
        <f t="shared" si="70"/>
        <v>0</v>
      </c>
    </row>
    <row r="291" spans="15:15" customFormat="1" x14ac:dyDescent="0.25">
      <c r="O291" s="17">
        <f t="shared" si="70"/>
        <v>0</v>
      </c>
    </row>
    <row r="292" spans="15:15" customFormat="1" x14ac:dyDescent="0.25">
      <c r="O292" s="17">
        <f t="shared" si="70"/>
        <v>0</v>
      </c>
    </row>
    <row r="293" spans="15:15" customFormat="1" x14ac:dyDescent="0.25">
      <c r="O293" s="17">
        <f t="shared" si="70"/>
        <v>0</v>
      </c>
    </row>
    <row r="294" spans="15:15" customFormat="1" x14ac:dyDescent="0.25">
      <c r="O294" s="17">
        <f t="shared" si="70"/>
        <v>0</v>
      </c>
    </row>
    <row r="295" spans="15:15" customFormat="1" x14ac:dyDescent="0.25">
      <c r="O295" s="17">
        <f t="shared" si="70"/>
        <v>0</v>
      </c>
    </row>
    <row r="296" spans="15:15" customFormat="1" x14ac:dyDescent="0.25"/>
    <row r="297" spans="15:15" customFormat="1" x14ac:dyDescent="0.25"/>
    <row r="298" spans="15:15" customFormat="1" x14ac:dyDescent="0.25"/>
    <row r="299" spans="15:15" customFormat="1" x14ac:dyDescent="0.25"/>
    <row r="300" spans="15:15" customFormat="1" x14ac:dyDescent="0.25"/>
    <row r="301" spans="15:15" customFormat="1" x14ac:dyDescent="0.25"/>
    <row r="302" spans="15:15" customFormat="1" x14ac:dyDescent="0.25"/>
    <row r="303" spans="15:15" customFormat="1" x14ac:dyDescent="0.25"/>
    <row r="304" spans="15:15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</sheetData>
  <autoFilter ref="A2:O295" xr:uid="{9EC051FC-82AD-4B88-8C95-A8ECCFFEEE4C}"/>
  <sortState xmlns:xlrd2="http://schemas.microsoft.com/office/spreadsheetml/2017/richdata2" ref="A133:O152">
    <sortCondition ref="A133:A152"/>
  </sortState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FCA0-14F0-42A8-B4CA-C10038A4A6C2}">
  <sheetPr>
    <tabColor rgb="FFFFC000"/>
  </sheetPr>
  <dimension ref="A1:R408"/>
  <sheetViews>
    <sheetView showGridLines="0" zoomScaleNormal="10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C41" sqref="C41"/>
    </sheetView>
  </sheetViews>
  <sheetFormatPr defaultColWidth="9.140625" defaultRowHeight="27.4" customHeight="1" x14ac:dyDescent="0.2"/>
  <cols>
    <col min="1" max="1" width="48.5703125" style="151" customWidth="1"/>
    <col min="2" max="2" width="16.7109375" style="567" customWidth="1"/>
    <col min="3" max="4" width="16.7109375" style="146" customWidth="1"/>
    <col min="5" max="5" width="16.7109375" style="152" customWidth="1"/>
    <col min="6" max="6" width="16.7109375" style="567" customWidth="1"/>
    <col min="7" max="8" width="16.7109375" style="146" customWidth="1"/>
    <col min="9" max="9" width="16.7109375" style="152" customWidth="1"/>
    <col min="10" max="10" width="16.7109375" style="319" customWidth="1"/>
    <col min="11" max="13" width="16.7109375" style="153" customWidth="1"/>
    <col min="14" max="14" width="16.7109375" style="154" customWidth="1"/>
    <col min="15" max="15" width="16.7109375" style="153" customWidth="1"/>
    <col min="16" max="16" width="10.28515625" style="153" customWidth="1"/>
    <col min="17" max="17" width="14.5703125" style="146" bestFit="1" customWidth="1"/>
    <col min="18" max="18" width="16.140625" style="146" bestFit="1" customWidth="1"/>
    <col min="19" max="16384" width="9.140625" style="146"/>
  </cols>
  <sheetData>
    <row r="1" spans="1:18" s="220" customFormat="1" ht="27.4" customHeight="1" thickBot="1" x14ac:dyDescent="0.3">
      <c r="A1" s="215" t="s">
        <v>289</v>
      </c>
      <c r="B1" s="660" t="s">
        <v>33</v>
      </c>
      <c r="C1" s="660"/>
      <c r="D1" s="660"/>
      <c r="E1" s="660"/>
      <c r="F1" s="651" t="s">
        <v>34</v>
      </c>
      <c r="G1" s="652"/>
      <c r="H1" s="652"/>
      <c r="I1" s="653"/>
      <c r="J1" s="300"/>
      <c r="K1" s="300"/>
      <c r="L1" s="216"/>
      <c r="M1" s="216"/>
      <c r="N1" s="217"/>
      <c r="O1" s="218">
        <v>11</v>
      </c>
      <c r="P1" s="219"/>
      <c r="Q1" s="220" t="s">
        <v>290</v>
      </c>
    </row>
    <row r="2" spans="1:18" s="171" customFormat="1" ht="27.4" customHeight="1" thickBot="1" x14ac:dyDescent="0.25">
      <c r="A2" s="167" t="s">
        <v>221</v>
      </c>
      <c r="B2" s="166" t="s">
        <v>222</v>
      </c>
      <c r="C2" s="166" t="s">
        <v>239</v>
      </c>
      <c r="D2" s="166" t="s">
        <v>291</v>
      </c>
      <c r="E2" s="631" t="s">
        <v>300</v>
      </c>
      <c r="F2" s="627" t="s">
        <v>222</v>
      </c>
      <c r="G2" s="627" t="s">
        <v>239</v>
      </c>
      <c r="H2" s="627" t="s">
        <v>291</v>
      </c>
      <c r="I2" s="631" t="s">
        <v>300</v>
      </c>
      <c r="J2" s="301" t="s">
        <v>292</v>
      </c>
      <c r="K2" s="168" t="s">
        <v>293</v>
      </c>
      <c r="L2" s="168" t="s">
        <v>239</v>
      </c>
      <c r="M2" s="168" t="s">
        <v>294</v>
      </c>
      <c r="N2" s="169" t="s">
        <v>291</v>
      </c>
      <c r="O2" s="170" t="s">
        <v>295</v>
      </c>
      <c r="P2" s="170"/>
    </row>
    <row r="3" spans="1:18" s="165" customFormat="1" ht="27.4" customHeight="1" x14ac:dyDescent="0.25">
      <c r="A3" s="156" t="s">
        <v>223</v>
      </c>
      <c r="B3" s="157">
        <f>'DRE 2026'!C3</f>
        <v>671666.67</v>
      </c>
      <c r="C3" s="157">
        <v>444545.69</v>
      </c>
      <c r="D3" s="157">
        <f>+C3-B3</f>
        <v>-227120.98000000004</v>
      </c>
      <c r="E3" s="285">
        <f>C3/B3</f>
        <v>0.66185462202553536</v>
      </c>
      <c r="F3" s="157">
        <f>'DRE 2026'!D3</f>
        <v>671666.67</v>
      </c>
      <c r="G3" s="157">
        <v>534752.84</v>
      </c>
      <c r="H3" s="157">
        <f>+G3-F3</f>
        <v>-136913.83000000007</v>
      </c>
      <c r="I3" s="285">
        <f>G3/F3</f>
        <v>0.79615807049053056</v>
      </c>
      <c r="J3" s="302">
        <f>'DRE 2026'!B3</f>
        <v>8060000.04</v>
      </c>
      <c r="K3" s="158">
        <f>'DRE 2026'!C3+'DRE 2026'!D3</f>
        <v>1343333.34</v>
      </c>
      <c r="L3" s="344">
        <f>C3</f>
        <v>444545.69</v>
      </c>
      <c r="M3" s="159">
        <f>L3-K3</f>
        <v>-898787.65000000014</v>
      </c>
      <c r="N3" s="160">
        <f>L3/K3</f>
        <v>0.33092731101276768</v>
      </c>
      <c r="O3" s="161">
        <f>J3-L3</f>
        <v>7615454.3499999996</v>
      </c>
      <c r="P3" s="162"/>
      <c r="Q3" s="163">
        <f>C3</f>
        <v>444545.69</v>
      </c>
      <c r="R3" s="164">
        <f>L3-Q3</f>
        <v>0</v>
      </c>
    </row>
    <row r="4" spans="1:18" s="349" customFormat="1" ht="27.4" customHeight="1" x14ac:dyDescent="0.25">
      <c r="A4" s="339" t="s">
        <v>296</v>
      </c>
      <c r="B4" s="565"/>
      <c r="C4" s="340">
        <f>'Base_Resultado Mensal_V2'!C4</f>
        <v>279821.07</v>
      </c>
      <c r="D4" s="340"/>
      <c r="E4" s="341"/>
      <c r="F4" s="565"/>
      <c r="G4" s="340">
        <f>'Base_Resultado Mensal_V2'!D4</f>
        <v>319233.58</v>
      </c>
      <c r="H4" s="340"/>
      <c r="I4" s="341"/>
      <c r="J4" s="343"/>
      <c r="K4" s="344">
        <f>'DRE 2026'!C3+'DRE 2026'!D3</f>
        <v>1343333.34</v>
      </c>
      <c r="L4" s="344">
        <f>'Base_Resultado Mensal_V2'!C4+'Base_Resultado Mensal_V2'!D4+'Base_Resultado Mensal_V2'!E4+'Base_Resultado Mensal_V2'!F4+'Base_Resultado Mensal_V2'!G4+'Base_Resultado Mensal_V2'!H4+'Base_Resultado Mensal_V2'!I4+'Base_Resultado Mensal_V2'!J4+'Base_Resultado Mensal_V2'!K4+'Base_Resultado Mensal_V2'!L4+'Base_Resultado Mensal_V2'!M4+'Base_Resultado Mensal_V2'!N4</f>
        <v>599054.65</v>
      </c>
      <c r="M4" s="345">
        <f>L4-K3</f>
        <v>-744278.69000000006</v>
      </c>
      <c r="N4" s="346"/>
      <c r="O4" s="344"/>
      <c r="P4" s="342"/>
      <c r="Q4" s="163">
        <f>'Base_Resultado Mensal_V2'!O4</f>
        <v>599054.65</v>
      </c>
      <c r="R4" s="348">
        <f>L4-Q4</f>
        <v>0</v>
      </c>
    </row>
    <row r="5" spans="1:18" s="176" customFormat="1" ht="27.4" customHeight="1" x14ac:dyDescent="0.25">
      <c r="A5" s="172" t="s">
        <v>224</v>
      </c>
      <c r="B5" s="173" t="s">
        <v>222</v>
      </c>
      <c r="C5" s="173" t="s">
        <v>239</v>
      </c>
      <c r="D5" s="174" t="s">
        <v>291</v>
      </c>
      <c r="E5" s="286" t="s">
        <v>291</v>
      </c>
      <c r="F5" s="173" t="s">
        <v>222</v>
      </c>
      <c r="G5" s="173" t="s">
        <v>239</v>
      </c>
      <c r="H5" s="174" t="s">
        <v>291</v>
      </c>
      <c r="I5" s="628" t="s">
        <v>291</v>
      </c>
      <c r="J5" s="303"/>
      <c r="K5" s="155"/>
      <c r="L5" s="155"/>
      <c r="M5" s="155"/>
      <c r="N5" s="155" t="s">
        <v>291</v>
      </c>
      <c r="O5" s="155"/>
      <c r="P5" s="175"/>
      <c r="Q5" s="163"/>
    </row>
    <row r="6" spans="1:18" s="349" customFormat="1" ht="27.4" customHeight="1" x14ac:dyDescent="0.25">
      <c r="A6" s="339" t="s">
        <v>225</v>
      </c>
      <c r="B6" s="565">
        <f>SUM(B7:B11)</f>
        <v>213417.59000000005</v>
      </c>
      <c r="C6" s="340">
        <f>SUM(C7:C12)</f>
        <v>211630.52000000002</v>
      </c>
      <c r="D6" s="340">
        <f>+B6-C6</f>
        <v>1787.0700000000361</v>
      </c>
      <c r="E6" s="341"/>
      <c r="F6" s="565">
        <f>SUM(F7:F11)</f>
        <v>208717.59000000005</v>
      </c>
      <c r="G6" s="340">
        <f>SUM(G7:G12)</f>
        <v>219913.43</v>
      </c>
      <c r="H6" s="340">
        <f>+F6-G6</f>
        <v>-11195.839999999938</v>
      </c>
      <c r="I6" s="341"/>
      <c r="J6" s="343">
        <f>SUM(J7:J11)</f>
        <v>2403882.6477500005</v>
      </c>
      <c r="K6" s="344">
        <f>SUM(K7:K11)</f>
        <v>213417.59000000005</v>
      </c>
      <c r="L6" s="344">
        <f>L7+L8+L9+L10+L11+L12</f>
        <v>211630.52000000002</v>
      </c>
      <c r="M6" s="345">
        <f>K6-L6</f>
        <v>1787.0700000000361</v>
      </c>
      <c r="N6" s="346">
        <f>L6/K6</f>
        <v>0.99162641654795169</v>
      </c>
      <c r="O6" s="344">
        <f>J6-L6</f>
        <v>2192252.1277500005</v>
      </c>
      <c r="P6" s="342"/>
      <c r="Q6" s="163">
        <f>SUM(Q7:Q12)</f>
        <v>431543.95</v>
      </c>
      <c r="R6" s="348">
        <f t="shared" ref="R6:R24" si="0">L6-Q6</f>
        <v>-219913.43</v>
      </c>
    </row>
    <row r="7" spans="1:18" s="187" customFormat="1" ht="27.4" customHeight="1" x14ac:dyDescent="0.25">
      <c r="A7" s="177" t="str">
        <f>+'Base_Resultado Mensal_V2'!A5</f>
        <v>Custo equipe - Contencioso</v>
      </c>
      <c r="B7" s="178">
        <f>'DRE 2026'!C6</f>
        <v>74354.065000000002</v>
      </c>
      <c r="C7" s="178">
        <f>'Base_Resultado Mensal_V2'!C5</f>
        <v>73576.315000000002</v>
      </c>
      <c r="D7" s="178">
        <f>+B7-C7</f>
        <v>777.75</v>
      </c>
      <c r="E7" s="287">
        <f>C7/B7</f>
        <v>0.98953991284807363</v>
      </c>
      <c r="F7" s="178">
        <f>'DRE 2026'!D6</f>
        <v>72754.065000000002</v>
      </c>
      <c r="G7" s="178">
        <f>'Base_Resultado Mensal_V2'!D5</f>
        <v>76342.345000000001</v>
      </c>
      <c r="H7" s="178">
        <f>+F7-G7</f>
        <v>-3588.2799999999988</v>
      </c>
      <c r="I7" s="287">
        <f>G7/F7</f>
        <v>1.0493206805695323</v>
      </c>
      <c r="J7" s="304">
        <f>'DRE 2026'!B6</f>
        <v>881797.73424999986</v>
      </c>
      <c r="K7" s="179">
        <f>'DRE 2026'!C6</f>
        <v>74354.065000000002</v>
      </c>
      <c r="L7" s="179">
        <f t="shared" ref="L7:L12" si="1">C7</f>
        <v>73576.315000000002</v>
      </c>
      <c r="M7" s="181">
        <f>K7-L7</f>
        <v>777.75</v>
      </c>
      <c r="N7" s="182">
        <f>L7/K7</f>
        <v>0.98953991284807363</v>
      </c>
      <c r="O7" s="183">
        <f>J7-L7</f>
        <v>808221.4192499998</v>
      </c>
      <c r="P7" s="184"/>
      <c r="Q7" s="163">
        <f>'Base_Resultado Mensal_V2'!O5</f>
        <v>149918.66</v>
      </c>
      <c r="R7" s="348">
        <f t="shared" si="0"/>
        <v>-76342.345000000001</v>
      </c>
    </row>
    <row r="8" spans="1:18" s="425" customFormat="1" ht="27.4" customHeight="1" x14ac:dyDescent="0.25">
      <c r="A8" s="417" t="str">
        <f>'Base_Resultado Mensal_V2'!A28</f>
        <v>Participação/Comissão - Contencioso</v>
      </c>
      <c r="B8" s="418"/>
      <c r="C8" s="418">
        <f>'Base_Resultado Mensal_V2'!C28+'Base_Resultado Mensal_V2'!C29</f>
        <v>0</v>
      </c>
      <c r="D8" s="418"/>
      <c r="E8" s="419"/>
      <c r="F8" s="418"/>
      <c r="G8" s="418">
        <f>'Base_Resultado Mensal_V2'!D28+'Base_Resultado Mensal_V2'!D29</f>
        <v>0</v>
      </c>
      <c r="H8" s="418"/>
      <c r="I8" s="419"/>
      <c r="J8" s="420"/>
      <c r="K8" s="179"/>
      <c r="L8" s="179">
        <f t="shared" si="1"/>
        <v>0</v>
      </c>
      <c r="M8" s="421"/>
      <c r="N8" s="422"/>
      <c r="O8" s="423"/>
      <c r="P8" s="424"/>
      <c r="Q8" s="163">
        <f>'Base_Resultado Mensal_V2'!O28+'Base_Resultado Mensal_V2'!O29</f>
        <v>0</v>
      </c>
      <c r="R8" s="348">
        <f t="shared" si="0"/>
        <v>0</v>
      </c>
    </row>
    <row r="9" spans="1:18" s="196" customFormat="1" ht="27.4" customHeight="1" x14ac:dyDescent="0.25">
      <c r="A9" s="188" t="str">
        <f>+'Base_Resultado Mensal_V2'!A30</f>
        <v>Custo equipe - Econômico</v>
      </c>
      <c r="B9" s="189">
        <f>'DRE 2026'!C7</f>
        <v>76879.165000000023</v>
      </c>
      <c r="C9" s="189">
        <f>'Base_Resultado Mensal_V2'!C30</f>
        <v>76041.035000000003</v>
      </c>
      <c r="D9" s="189">
        <f t="shared" ref="D9:D11" si="2">+B9-C9</f>
        <v>838.13000000001921</v>
      </c>
      <c r="E9" s="288">
        <f t="shared" ref="E9:E11" si="3">C9/B9</f>
        <v>0.98909808658821907</v>
      </c>
      <c r="F9" s="189">
        <f>'DRE 2026'!D7</f>
        <v>75379.165000000023</v>
      </c>
      <c r="G9" s="189">
        <f>'Base_Resultado Mensal_V2'!D30</f>
        <v>80276.744999999995</v>
      </c>
      <c r="H9" s="189">
        <f>+F9-G9</f>
        <v>-4897.5799999999726</v>
      </c>
      <c r="I9" s="288">
        <f>G9/F9</f>
        <v>1.0649725955441396</v>
      </c>
      <c r="J9" s="305">
        <f>'DRE 2026'!B7</f>
        <v>914114.75250000018</v>
      </c>
      <c r="K9" s="179">
        <f>'DRE 2026'!C7</f>
        <v>76879.165000000023</v>
      </c>
      <c r="L9" s="179">
        <f t="shared" si="1"/>
        <v>76041.035000000003</v>
      </c>
      <c r="M9" s="191">
        <f t="shared" ref="M9:M24" si="4">K9-L9</f>
        <v>838.13000000001921</v>
      </c>
      <c r="N9" s="192">
        <f t="shared" ref="N9:N24" si="5">L9/K9</f>
        <v>0.98909808658821907</v>
      </c>
      <c r="O9" s="193">
        <f>J9-L9</f>
        <v>838073.71750000014</v>
      </c>
      <c r="P9" s="194"/>
      <c r="Q9" s="163">
        <f>'Base_Resultado Mensal_V2'!O30</f>
        <v>156317.78</v>
      </c>
      <c r="R9" s="348">
        <f t="shared" si="0"/>
        <v>-80276.744999999995</v>
      </c>
    </row>
    <row r="10" spans="1:18" s="433" customFormat="1" ht="27.4" customHeight="1" x14ac:dyDescent="0.25">
      <c r="A10" s="426" t="str">
        <f>'Base_Resultado Mensal_V2'!A56</f>
        <v>Participação/comissão - Economico</v>
      </c>
      <c r="B10" s="427"/>
      <c r="C10" s="427">
        <f>'Base_Resultado Mensal_V2'!C28+'Base_Resultado Mensal_V2'!C29</f>
        <v>0</v>
      </c>
      <c r="D10" s="427"/>
      <c r="E10" s="428"/>
      <c r="F10" s="427"/>
      <c r="G10" s="427">
        <f>'Base_Resultado Mensal_V2'!D56+'Base_Resultado Mensal_V2'!D57</f>
        <v>1500</v>
      </c>
      <c r="H10" s="427"/>
      <c r="I10" s="428"/>
      <c r="J10" s="429"/>
      <c r="K10" s="179"/>
      <c r="L10" s="179">
        <f t="shared" si="1"/>
        <v>0</v>
      </c>
      <c r="M10" s="430"/>
      <c r="N10" s="242"/>
      <c r="O10" s="431"/>
      <c r="P10" s="432"/>
      <c r="Q10" s="163">
        <f>'Base_Resultado Mensal_V2'!O56+'Base_Resultado Mensal_V2'!O57</f>
        <v>1500</v>
      </c>
      <c r="R10" s="348">
        <f t="shared" si="0"/>
        <v>-1500</v>
      </c>
    </row>
    <row r="11" spans="1:18" s="203" customFormat="1" ht="27.4" customHeight="1" x14ac:dyDescent="0.25">
      <c r="A11" s="197" t="str">
        <f>+'Base_Resultado Mensal_V2'!A58</f>
        <v>Custo equipe - Arbitragem e Compliance</v>
      </c>
      <c r="B11" s="198">
        <f>'DRE 2026'!C8</f>
        <v>62184.360000000008</v>
      </c>
      <c r="C11" s="198">
        <f>'Base_Resultado Mensal_V2'!C58</f>
        <v>62013.17</v>
      </c>
      <c r="D11" s="198">
        <f t="shared" si="2"/>
        <v>171.1900000000096</v>
      </c>
      <c r="E11" s="289">
        <f t="shared" si="3"/>
        <v>0.99724705697702754</v>
      </c>
      <c r="F11" s="198">
        <f>'DRE 2026'!D8</f>
        <v>60584.360000000008</v>
      </c>
      <c r="G11" s="198">
        <f>'Base_Resultado Mensal_V2'!D58</f>
        <v>61794.340000000004</v>
      </c>
      <c r="H11" s="198">
        <f>+F11-G11</f>
        <v>-1209.9799999999959</v>
      </c>
      <c r="I11" s="289">
        <f>G11/F11</f>
        <v>1.0199718211102666</v>
      </c>
      <c r="J11" s="306">
        <f>'DRE 2026'!B8</f>
        <v>607970.16100000008</v>
      </c>
      <c r="K11" s="179">
        <f>'DRE 2026'!C8</f>
        <v>62184.360000000008</v>
      </c>
      <c r="L11" s="179">
        <f t="shared" si="1"/>
        <v>62013.17</v>
      </c>
      <c r="M11" s="199">
        <f t="shared" si="4"/>
        <v>171.1900000000096</v>
      </c>
      <c r="N11" s="200">
        <f t="shared" si="5"/>
        <v>0.99724705697702754</v>
      </c>
      <c r="O11" s="201">
        <f>J11-L11</f>
        <v>545956.99100000004</v>
      </c>
      <c r="P11" s="202"/>
      <c r="Q11" s="163">
        <f>'Base_Resultado Mensal_V2'!O58</f>
        <v>123807.51000000001</v>
      </c>
      <c r="R11" s="348">
        <f t="shared" si="0"/>
        <v>-61794.340000000011</v>
      </c>
    </row>
    <row r="12" spans="1:18" s="441" customFormat="1" ht="27.4" customHeight="1" x14ac:dyDescent="0.25">
      <c r="A12" s="434" t="str">
        <f>'Base_Resultado Mensal_V2'!A75</f>
        <v>Participação/comissão - Arbitragem</v>
      </c>
      <c r="B12" s="198"/>
      <c r="C12" s="198">
        <f>'Base_Resultado Mensal_V2'!C75+'Base_Resultado Mensal_V2'!C76</f>
        <v>0</v>
      </c>
      <c r="D12" s="198"/>
      <c r="E12" s="198"/>
      <c r="F12" s="198"/>
      <c r="G12" s="198">
        <f>'Base_Resultado Mensal_V2'!D75+'Base_Resultado Mensal_V2'!D76</f>
        <v>0</v>
      </c>
      <c r="H12" s="198"/>
      <c r="I12" s="198"/>
      <c r="J12" s="435"/>
      <c r="K12" s="436"/>
      <c r="L12" s="179">
        <f t="shared" si="1"/>
        <v>0</v>
      </c>
      <c r="M12" s="437"/>
      <c r="N12" s="438"/>
      <c r="O12" s="439"/>
      <c r="P12" s="440"/>
      <c r="Q12" s="163">
        <f>'Base_Resultado Mensal_V2'!O75+'Base_Resultado Mensal_V2'!O76</f>
        <v>0</v>
      </c>
      <c r="R12" s="348">
        <f t="shared" si="0"/>
        <v>0</v>
      </c>
    </row>
    <row r="13" spans="1:18" s="349" customFormat="1" ht="27.4" customHeight="1" x14ac:dyDescent="0.25">
      <c r="A13" s="339" t="s">
        <v>226</v>
      </c>
      <c r="B13" s="565">
        <f>SUM(B14:B24)</f>
        <v>102906.66333333333</v>
      </c>
      <c r="C13" s="340">
        <f>SUM(C14:C24)</f>
        <v>104973.54000000001</v>
      </c>
      <c r="D13" s="340">
        <f>(B13-C13)</f>
        <v>-2066.8766666666779</v>
      </c>
      <c r="E13" s="341"/>
      <c r="F13" s="565">
        <f>SUM(F14:F24)</f>
        <v>100790.32713333333</v>
      </c>
      <c r="G13" s="340">
        <f>SUM(G14:G24)</f>
        <v>98454.78</v>
      </c>
      <c r="H13" s="340">
        <f>(F13-G13)</f>
        <v>2335.5471333333262</v>
      </c>
      <c r="I13" s="341"/>
      <c r="J13" s="343">
        <f>SUM(J14:J24)</f>
        <v>1331793.8110333332</v>
      </c>
      <c r="K13" s="344">
        <f>SUM(K14:K24)</f>
        <v>102906.66333333333</v>
      </c>
      <c r="L13" s="344">
        <f>SUM(L14:L24)</f>
        <v>104973.54000000001</v>
      </c>
      <c r="M13" s="345">
        <f t="shared" si="4"/>
        <v>-2066.8766666666779</v>
      </c>
      <c r="N13" s="346">
        <f t="shared" si="5"/>
        <v>1.0200849643717598</v>
      </c>
      <c r="O13" s="344">
        <f>J13-L13</f>
        <v>1226820.2710333331</v>
      </c>
      <c r="P13" s="342"/>
      <c r="Q13" s="347">
        <f>SUM(Q14:Q24)</f>
        <v>202043.57999999996</v>
      </c>
      <c r="R13" s="348">
        <f t="shared" si="0"/>
        <v>-97070.03999999995</v>
      </c>
    </row>
    <row r="14" spans="1:18" s="187" customFormat="1" ht="27.4" customHeight="1" x14ac:dyDescent="0.25">
      <c r="A14" s="177" t="str">
        <f>+'Base_Resultado Mensal_V2'!A80</f>
        <v>Ocupação</v>
      </c>
      <c r="B14" s="178">
        <f>'DRE 2026'!C10</f>
        <v>27197.48</v>
      </c>
      <c r="C14" s="178">
        <f>'Base_Resultado Mensal_V2'!C80</f>
        <v>32337.05</v>
      </c>
      <c r="D14" s="178">
        <f t="shared" ref="D14:D24" si="6">+B14-C14</f>
        <v>-5139.57</v>
      </c>
      <c r="E14" s="290">
        <f t="shared" ref="E14:E19" si="7">(C14/B14)</f>
        <v>1.1889722871383672</v>
      </c>
      <c r="F14" s="178">
        <f>'DRE 2026'!D10</f>
        <v>34236.379999999997</v>
      </c>
      <c r="G14" s="178">
        <f>'Base_Resultado Mensal_V2'!D80</f>
        <v>39406.76</v>
      </c>
      <c r="H14" s="178">
        <f t="shared" ref="H14:H24" si="8">+F14-G14</f>
        <v>-5170.3800000000047</v>
      </c>
      <c r="I14" s="290">
        <f t="shared" ref="I14:I19" si="9">(G14/F14)</f>
        <v>1.1510200552745355</v>
      </c>
      <c r="J14" s="304">
        <f>'DRE 2026'!B10</f>
        <v>410635.67999999993</v>
      </c>
      <c r="K14" s="204">
        <f>'DRE 2026'!C10</f>
        <v>27197.48</v>
      </c>
      <c r="L14" s="180">
        <f t="shared" ref="L14:L24" si="10">C14</f>
        <v>32337.05</v>
      </c>
      <c r="M14" s="181">
        <f t="shared" si="4"/>
        <v>-5139.57</v>
      </c>
      <c r="N14" s="182">
        <f t="shared" si="5"/>
        <v>1.1889722871383672</v>
      </c>
      <c r="O14" s="183">
        <f t="shared" ref="O14:O23" si="11">J14-L14</f>
        <v>378298.62999999995</v>
      </c>
      <c r="P14" s="184"/>
      <c r="Q14" s="185">
        <f>'Base_Resultado Mensal_V2'!B80</f>
        <v>71743.81</v>
      </c>
      <c r="R14" s="186">
        <f>L14-Q14</f>
        <v>-39406.759999999995</v>
      </c>
    </row>
    <row r="15" spans="1:18" s="196" customFormat="1" ht="27.4" customHeight="1" x14ac:dyDescent="0.25">
      <c r="A15" s="188" t="str">
        <f>+'Base_Resultado Mensal_V2'!A87</f>
        <v>Telecomunicações</v>
      </c>
      <c r="B15" s="178">
        <f>'DRE 2026'!C11</f>
        <v>890</v>
      </c>
      <c r="C15" s="189">
        <f>'Base_Resultado Mensal_V2'!C87</f>
        <v>807.15999999999985</v>
      </c>
      <c r="D15" s="178">
        <f t="shared" si="6"/>
        <v>82.840000000000146</v>
      </c>
      <c r="E15" s="291">
        <f t="shared" si="7"/>
        <v>0.90692134831460658</v>
      </c>
      <c r="F15" s="178">
        <f>'DRE 2026'!D11</f>
        <v>839.76380000000006</v>
      </c>
      <c r="G15" s="189">
        <f>'Base_Resultado Mensal_V2'!D87</f>
        <v>807.15999999999985</v>
      </c>
      <c r="H15" s="178">
        <f t="shared" si="8"/>
        <v>32.603800000000206</v>
      </c>
      <c r="I15" s="291">
        <f t="shared" si="9"/>
        <v>0.96117503517060365</v>
      </c>
      <c r="J15" s="304">
        <f>'DRE 2026'!B11</f>
        <v>10127.401800000001</v>
      </c>
      <c r="K15" s="204">
        <f>'DRE 2026'!C11</f>
        <v>890</v>
      </c>
      <c r="L15" s="180">
        <f t="shared" si="10"/>
        <v>807.15999999999985</v>
      </c>
      <c r="M15" s="191">
        <f t="shared" si="4"/>
        <v>82.840000000000146</v>
      </c>
      <c r="N15" s="192">
        <f t="shared" si="5"/>
        <v>0.90692134831460658</v>
      </c>
      <c r="O15" s="193">
        <f t="shared" si="11"/>
        <v>9320.2418000000016</v>
      </c>
      <c r="P15" s="194"/>
      <c r="Q15" s="185">
        <f>'Base_Resultado Mensal_V2'!B87</f>
        <v>1614.3199999999997</v>
      </c>
      <c r="R15" s="206">
        <f t="shared" si="0"/>
        <v>-807.15999999999985</v>
      </c>
    </row>
    <row r="16" spans="1:18" s="196" customFormat="1" ht="27.4" customHeight="1" x14ac:dyDescent="0.25">
      <c r="A16" s="188" t="str">
        <f>+'Base_Resultado Mensal_V2'!A90</f>
        <v>Despesas Gerais</v>
      </c>
      <c r="B16" s="178">
        <f>'DRE 2026'!C12</f>
        <v>7255</v>
      </c>
      <c r="C16" s="189">
        <f>'Base_Resultado Mensal_V2'!C90</f>
        <v>6773.44</v>
      </c>
      <c r="D16" s="178">
        <f t="shared" si="6"/>
        <v>481.5600000000004</v>
      </c>
      <c r="E16" s="291">
        <f t="shared" si="7"/>
        <v>0.93362370778773252</v>
      </c>
      <c r="F16" s="178">
        <f>'DRE 2026'!D12</f>
        <v>5505</v>
      </c>
      <c r="G16" s="189">
        <f>'Base_Resultado Mensal_V2'!D90</f>
        <v>5243.68</v>
      </c>
      <c r="H16" s="178">
        <f t="shared" si="8"/>
        <v>261.31999999999971</v>
      </c>
      <c r="I16" s="291">
        <f t="shared" si="9"/>
        <v>0.95253042688465039</v>
      </c>
      <c r="J16" s="304">
        <f>'DRE 2026'!B12</f>
        <v>74921.849999999977</v>
      </c>
      <c r="K16" s="204">
        <f>'DRE 2026'!C12</f>
        <v>7255</v>
      </c>
      <c r="L16" s="180">
        <f t="shared" si="10"/>
        <v>6773.44</v>
      </c>
      <c r="M16" s="191">
        <f t="shared" si="4"/>
        <v>481.5600000000004</v>
      </c>
      <c r="N16" s="192">
        <f t="shared" si="5"/>
        <v>0.93362370778773252</v>
      </c>
      <c r="O16" s="193">
        <f t="shared" si="11"/>
        <v>68148.409999999974</v>
      </c>
      <c r="P16" s="194"/>
      <c r="Q16" s="185">
        <f>'Base_Resultado Mensal_V2'!B90</f>
        <v>12017.119999999999</v>
      </c>
      <c r="R16" s="206">
        <f t="shared" si="0"/>
        <v>-5243.6799999999994</v>
      </c>
    </row>
    <row r="17" spans="1:18" s="196" customFormat="1" ht="27.4" customHeight="1" x14ac:dyDescent="0.25">
      <c r="A17" s="188" t="str">
        <f>+'Base_Resultado Mensal_V2'!A105</f>
        <v>Consultoria</v>
      </c>
      <c r="B17" s="178">
        <f>'DRE 2026'!C13</f>
        <v>23240.799999999999</v>
      </c>
      <c r="C17" s="189">
        <f>'Base_Resultado Mensal_V2'!C105</f>
        <v>30035.14</v>
      </c>
      <c r="D17" s="178">
        <f t="shared" si="6"/>
        <v>-6794.34</v>
      </c>
      <c r="E17" s="291">
        <f t="shared" si="7"/>
        <v>1.2923453581632303</v>
      </c>
      <c r="F17" s="178">
        <f>'DRE 2026'!D13</f>
        <v>23035.8</v>
      </c>
      <c r="G17" s="189">
        <f>'Base_Resultado Mensal_V2'!D105</f>
        <v>22509.85</v>
      </c>
      <c r="H17" s="178">
        <f t="shared" si="8"/>
        <v>525.95000000000073</v>
      </c>
      <c r="I17" s="291">
        <f t="shared" si="9"/>
        <v>0.977168146971236</v>
      </c>
      <c r="J17" s="304">
        <f>'DRE 2026'!B13</f>
        <v>244264.88299999997</v>
      </c>
      <c r="K17" s="204">
        <f>'DRE 2026'!C13</f>
        <v>23240.799999999999</v>
      </c>
      <c r="L17" s="180">
        <f t="shared" si="10"/>
        <v>30035.14</v>
      </c>
      <c r="M17" s="191">
        <f t="shared" si="4"/>
        <v>-6794.34</v>
      </c>
      <c r="N17" s="192">
        <f t="shared" si="5"/>
        <v>1.2923453581632303</v>
      </c>
      <c r="O17" s="193">
        <f t="shared" si="11"/>
        <v>214229.74299999996</v>
      </c>
      <c r="P17" s="194"/>
      <c r="Q17" s="185">
        <f>'Base_Resultado Mensal_V2'!B105</f>
        <v>52544.99</v>
      </c>
      <c r="R17" s="206">
        <f t="shared" si="0"/>
        <v>-22509.85</v>
      </c>
    </row>
    <row r="18" spans="1:18" s="196" customFormat="1" ht="27.4" customHeight="1" x14ac:dyDescent="0.25">
      <c r="A18" s="188" t="str">
        <f>+'Base_Resultado Mensal_V2'!A111</f>
        <v>Salários Administração</v>
      </c>
      <c r="B18" s="178">
        <f>'DRE 2026'!C14</f>
        <v>6426.58</v>
      </c>
      <c r="C18" s="189">
        <f>'Base_Resultado Mensal_V2'!C111</f>
        <v>5139.13</v>
      </c>
      <c r="D18" s="178">
        <f t="shared" si="6"/>
        <v>1287.4499999999998</v>
      </c>
      <c r="E18" s="291">
        <f t="shared" si="7"/>
        <v>0.79966794158012511</v>
      </c>
      <c r="F18" s="178">
        <f>'DRE 2026'!D14</f>
        <v>6776.58</v>
      </c>
      <c r="G18" s="189">
        <f>'Base_Resultado Mensal_V2'!D111</f>
        <v>4807.3</v>
      </c>
      <c r="H18" s="178">
        <f t="shared" si="8"/>
        <v>1969.2799999999997</v>
      </c>
      <c r="I18" s="291">
        <f t="shared" si="9"/>
        <v>0.70939913643755403</v>
      </c>
      <c r="J18" s="304">
        <f>'DRE 2026'!B14</f>
        <v>82659.531000000017</v>
      </c>
      <c r="K18" s="204">
        <f>'DRE 2026'!C14</f>
        <v>6426.58</v>
      </c>
      <c r="L18" s="180">
        <f t="shared" si="10"/>
        <v>5139.13</v>
      </c>
      <c r="M18" s="191">
        <f t="shared" si="4"/>
        <v>1287.4499999999998</v>
      </c>
      <c r="N18" s="192">
        <f t="shared" si="5"/>
        <v>0.79966794158012511</v>
      </c>
      <c r="O18" s="193">
        <f t="shared" si="11"/>
        <v>77520.401000000013</v>
      </c>
      <c r="P18" s="194"/>
      <c r="Q18" s="185">
        <f>'Base_Resultado Mensal_V2'!B111</f>
        <v>9946.43</v>
      </c>
      <c r="R18" s="206">
        <f t="shared" si="0"/>
        <v>-4807.3</v>
      </c>
    </row>
    <row r="19" spans="1:18" s="196" customFormat="1" ht="27.4" customHeight="1" x14ac:dyDescent="0.25">
      <c r="A19" s="188" t="str">
        <f>+'Base_Resultado Mensal_V2'!A119</f>
        <v xml:space="preserve">Administrativas </v>
      </c>
      <c r="B19" s="178">
        <f>'DRE 2026'!C15</f>
        <v>2996.8033333333333</v>
      </c>
      <c r="C19" s="189">
        <f>'Base_Resultado Mensal_V2'!C119</f>
        <v>4300.0300000000007</v>
      </c>
      <c r="D19" s="178">
        <f t="shared" si="6"/>
        <v>-1303.2266666666674</v>
      </c>
      <c r="E19" s="291">
        <f t="shared" si="7"/>
        <v>1.4348722694515603</v>
      </c>
      <c r="F19" s="178">
        <f>'DRE 2026'!D15</f>
        <v>2996.8033333333333</v>
      </c>
      <c r="G19" s="189">
        <f>'Base_Resultado Mensal_V2'!D119</f>
        <v>6892.33</v>
      </c>
      <c r="H19" s="178">
        <f t="shared" si="8"/>
        <v>-3895.5266666666666</v>
      </c>
      <c r="I19" s="291">
        <f t="shared" si="9"/>
        <v>2.299893998160262</v>
      </c>
      <c r="J19" s="304">
        <f>'DRE 2026'!B15</f>
        <v>91084.465233333336</v>
      </c>
      <c r="K19" s="204">
        <f>'DRE 2026'!C15</f>
        <v>2996.8033333333333</v>
      </c>
      <c r="L19" s="180">
        <f t="shared" si="10"/>
        <v>4300.0300000000007</v>
      </c>
      <c r="M19" s="191">
        <f t="shared" si="4"/>
        <v>-1303.2266666666674</v>
      </c>
      <c r="N19" s="192">
        <f t="shared" si="5"/>
        <v>1.4348722694515603</v>
      </c>
      <c r="O19" s="193">
        <f t="shared" si="11"/>
        <v>86784.435233333337</v>
      </c>
      <c r="P19" s="194"/>
      <c r="Q19" s="185">
        <f>'Base_Resultado Mensal_V2'!B119</f>
        <v>11192.36</v>
      </c>
      <c r="R19" s="206">
        <f t="shared" si="0"/>
        <v>-6892.33</v>
      </c>
    </row>
    <row r="20" spans="1:18" s="196" customFormat="1" ht="27.4" customHeight="1" x14ac:dyDescent="0.25">
      <c r="A20" s="188" t="str">
        <f>'Base_Resultado Mensal_V2'!A129</f>
        <v>Taxas / Despesas Financeiras</v>
      </c>
      <c r="B20" s="178">
        <f>'DRE 2026'!C16</f>
        <v>0</v>
      </c>
      <c r="C20" s="189">
        <f>'Base_Resultado Mensal_V2'!C129</f>
        <v>0</v>
      </c>
      <c r="D20" s="178">
        <f t="shared" si="6"/>
        <v>0</v>
      </c>
      <c r="E20" s="291"/>
      <c r="F20" s="178">
        <f>'DRE 2026'!D16</f>
        <v>0</v>
      </c>
      <c r="G20" s="189">
        <f>'Base_Resultado Mensal_V2'!D129</f>
        <v>0</v>
      </c>
      <c r="H20" s="178">
        <f t="shared" si="8"/>
        <v>0</v>
      </c>
      <c r="I20" s="291"/>
      <c r="J20" s="304">
        <f>'DRE 2026'!B16</f>
        <v>0</v>
      </c>
      <c r="K20" s="204">
        <f>'DRE 2026'!C16</f>
        <v>0</v>
      </c>
      <c r="L20" s="180">
        <f t="shared" si="10"/>
        <v>0</v>
      </c>
      <c r="M20" s="191">
        <f t="shared" si="4"/>
        <v>0</v>
      </c>
      <c r="N20" s="192"/>
      <c r="O20" s="193">
        <f t="shared" si="11"/>
        <v>0</v>
      </c>
      <c r="P20" s="194"/>
      <c r="Q20" s="185">
        <f>'Base_Resultado Mensal_V2'!B129</f>
        <v>0</v>
      </c>
      <c r="R20" s="206">
        <f t="shared" si="0"/>
        <v>0</v>
      </c>
    </row>
    <row r="21" spans="1:18" s="196" customFormat="1" ht="27.4" customHeight="1" x14ac:dyDescent="0.25">
      <c r="A21" s="188" t="str">
        <f>+'Base_Resultado Mensal_V2'!A132</f>
        <v>Investimentos em Prospecção</v>
      </c>
      <c r="B21" s="178">
        <f>'DRE 2026'!C17</f>
        <v>4500</v>
      </c>
      <c r="C21" s="189">
        <f>'Base_Resultado Mensal_V2'!C132</f>
        <v>2702.45</v>
      </c>
      <c r="D21" s="178">
        <f t="shared" si="6"/>
        <v>1797.5500000000002</v>
      </c>
      <c r="E21" s="291">
        <f>(C21/B21)</f>
        <v>0.60054444444444444</v>
      </c>
      <c r="F21" s="178">
        <f>'DRE 2026'!D17</f>
        <v>4500</v>
      </c>
      <c r="G21" s="189">
        <f>'Base_Resultado Mensal_V2'!D132</f>
        <v>1166.75</v>
      </c>
      <c r="H21" s="178">
        <f t="shared" si="8"/>
        <v>3333.25</v>
      </c>
      <c r="I21" s="291">
        <f>(G21/F21)</f>
        <v>0.25927777777777777</v>
      </c>
      <c r="J21" s="304">
        <f>'DRE 2026'!B17</f>
        <v>96000</v>
      </c>
      <c r="K21" s="204">
        <f>'DRE 2026'!C17</f>
        <v>4500</v>
      </c>
      <c r="L21" s="180">
        <f t="shared" si="10"/>
        <v>2702.45</v>
      </c>
      <c r="M21" s="191">
        <f t="shared" si="4"/>
        <v>1797.5500000000002</v>
      </c>
      <c r="N21" s="192">
        <f t="shared" si="5"/>
        <v>0.60054444444444444</v>
      </c>
      <c r="O21" s="193">
        <f t="shared" si="11"/>
        <v>93297.55</v>
      </c>
      <c r="P21" s="194"/>
      <c r="Q21" s="185">
        <f>'Base_Resultado Mensal_V2'!B132</f>
        <v>2484.46</v>
      </c>
      <c r="R21" s="206">
        <f t="shared" si="0"/>
        <v>217.98999999999978</v>
      </c>
    </row>
    <row r="22" spans="1:18" s="196" customFormat="1" ht="27.4" customHeight="1" x14ac:dyDescent="0.25">
      <c r="A22" s="188" t="str">
        <f>'Base_Resultado Mensal_V2'!A159</f>
        <v>Endomarketing</v>
      </c>
      <c r="B22" s="178">
        <f>'DRE 2026'!C18</f>
        <v>100</v>
      </c>
      <c r="C22" s="189">
        <f>'Base_Resultado Mensal_V2'!C159</f>
        <v>0</v>
      </c>
      <c r="D22" s="178">
        <f t="shared" si="6"/>
        <v>100</v>
      </c>
      <c r="E22" s="291">
        <f>(C22/B22)</f>
        <v>0</v>
      </c>
      <c r="F22" s="178">
        <f>'DRE 2026'!D18</f>
        <v>100</v>
      </c>
      <c r="G22" s="189">
        <f>'Base_Resultado Mensal_V2'!D159</f>
        <v>0</v>
      </c>
      <c r="H22" s="178">
        <f t="shared" si="8"/>
        <v>100</v>
      </c>
      <c r="I22" s="291">
        <f>(G22/F22)</f>
        <v>0</v>
      </c>
      <c r="J22" s="304">
        <f>'DRE 2026'!B18</f>
        <v>1200</v>
      </c>
      <c r="K22" s="204">
        <f>'DRE 2026'!C18</f>
        <v>100</v>
      </c>
      <c r="L22" s="180">
        <f t="shared" si="10"/>
        <v>0</v>
      </c>
      <c r="M22" s="191">
        <f t="shared" si="4"/>
        <v>100</v>
      </c>
      <c r="N22" s="192">
        <f t="shared" si="5"/>
        <v>0</v>
      </c>
      <c r="O22" s="193">
        <f t="shared" si="11"/>
        <v>1200</v>
      </c>
      <c r="P22" s="194"/>
      <c r="Q22" s="185">
        <f>'Base_Resultado Mensal_V2'!B159</f>
        <v>0</v>
      </c>
      <c r="R22" s="206">
        <f t="shared" si="0"/>
        <v>0</v>
      </c>
    </row>
    <row r="23" spans="1:18" s="196" customFormat="1" ht="27.4" customHeight="1" x14ac:dyDescent="0.25">
      <c r="A23" s="188" t="str">
        <f>'Base_Resultado Mensal_V2'!A153</f>
        <v>Gestão do Conhecimento</v>
      </c>
      <c r="B23" s="178">
        <f>'DRE 2026'!C19</f>
        <v>0</v>
      </c>
      <c r="C23" s="189">
        <f>'Base_Resultado Mensal_V2'!C153</f>
        <v>692.37</v>
      </c>
      <c r="D23" s="178">
        <f t="shared" si="6"/>
        <v>-692.37</v>
      </c>
      <c r="E23" s="291"/>
      <c r="F23" s="178">
        <f>'DRE 2026'!D19</f>
        <v>0</v>
      </c>
      <c r="G23" s="189">
        <f>'Base_Resultado Mensal_V2'!D153</f>
        <v>0</v>
      </c>
      <c r="H23" s="178">
        <f t="shared" si="8"/>
        <v>0</v>
      </c>
      <c r="I23" s="291"/>
      <c r="J23" s="304">
        <f>'DRE 2026'!B19</f>
        <v>2300</v>
      </c>
      <c r="K23" s="204">
        <f>'DRE 2026'!C19</f>
        <v>0</v>
      </c>
      <c r="L23" s="180">
        <f t="shared" si="10"/>
        <v>692.37</v>
      </c>
      <c r="M23" s="191">
        <f t="shared" si="4"/>
        <v>-692.37</v>
      </c>
      <c r="N23" s="192" t="e">
        <f t="shared" si="5"/>
        <v>#DIV/0!</v>
      </c>
      <c r="O23" s="193">
        <f t="shared" si="11"/>
        <v>1607.63</v>
      </c>
      <c r="P23" s="194"/>
      <c r="Q23" s="185">
        <f>'Base_Resultado Mensal_V2'!B153</f>
        <v>692.37</v>
      </c>
      <c r="R23" s="206">
        <f t="shared" si="0"/>
        <v>0</v>
      </c>
    </row>
    <row r="24" spans="1:18" s="214" customFormat="1" ht="27.4" customHeight="1" thickBot="1" x14ac:dyDescent="0.3">
      <c r="A24" s="207" t="str">
        <f>+'Base_Resultado Mensal_V2'!A175</f>
        <v xml:space="preserve">Informática </v>
      </c>
      <c r="B24" s="178">
        <f>'DRE 2026'!C20</f>
        <v>30300</v>
      </c>
      <c r="C24" s="208">
        <f>'Base_Resultado Mensal_V2'!C175</f>
        <v>22186.77</v>
      </c>
      <c r="D24" s="178">
        <f t="shared" si="6"/>
        <v>8113.23</v>
      </c>
      <c r="E24" s="292">
        <f>(C24/B24)</f>
        <v>0.73223663366336633</v>
      </c>
      <c r="F24" s="178">
        <f>'DRE 2026'!D20</f>
        <v>22800</v>
      </c>
      <c r="G24" s="208">
        <f>'Base_Resultado Mensal_V2'!D175</f>
        <v>17620.95</v>
      </c>
      <c r="H24" s="178">
        <f t="shared" si="8"/>
        <v>5179.0499999999993</v>
      </c>
      <c r="I24" s="292">
        <f>(G24/F24)</f>
        <v>0.77284868421052633</v>
      </c>
      <c r="J24" s="304">
        <f>'DRE 2026'!B20</f>
        <v>318600</v>
      </c>
      <c r="K24" s="204">
        <f>'DRE 2026'!C20</f>
        <v>30300</v>
      </c>
      <c r="L24" s="180">
        <f t="shared" si="10"/>
        <v>22186.77</v>
      </c>
      <c r="M24" s="209">
        <f t="shared" si="4"/>
        <v>8113.23</v>
      </c>
      <c r="N24" s="210">
        <f t="shared" si="5"/>
        <v>0.73223663366336633</v>
      </c>
      <c r="O24" s="211">
        <f>J24-L24</f>
        <v>296413.23</v>
      </c>
      <c r="P24" s="212"/>
      <c r="Q24" s="185">
        <f>'Base_Resultado Mensal_V2'!B175</f>
        <v>39807.72</v>
      </c>
      <c r="R24" s="213">
        <f t="shared" si="0"/>
        <v>-17620.95</v>
      </c>
    </row>
    <row r="25" spans="1:18" s="354" customFormat="1" ht="27.4" customHeight="1" x14ac:dyDescent="0.25">
      <c r="A25" s="350" t="s">
        <v>228</v>
      </c>
      <c r="B25" s="351">
        <f>B3-B6-B13</f>
        <v>355342.41666666663</v>
      </c>
      <c r="C25" s="351">
        <f>C4-C6-C13</f>
        <v>-36782.99000000002</v>
      </c>
      <c r="D25" s="351"/>
      <c r="E25" s="352"/>
      <c r="F25" s="351">
        <f>F3-F6-F13</f>
        <v>362158.75286666665</v>
      </c>
      <c r="G25" s="351">
        <f>G4-G6-G13</f>
        <v>865.37000000002445</v>
      </c>
      <c r="H25" s="351"/>
      <c r="I25" s="352"/>
      <c r="J25" s="307">
        <f>J3-J6-J13</f>
        <v>4324323.5812166668</v>
      </c>
      <c r="K25" s="221">
        <f>K3-K6-K13</f>
        <v>1027009.0866666667</v>
      </c>
      <c r="L25" s="608">
        <f>L4-L6-L13</f>
        <v>282450.58999999997</v>
      </c>
      <c r="M25" s="221"/>
      <c r="N25" s="222"/>
      <c r="O25" s="221"/>
      <c r="P25" s="351"/>
      <c r="Q25" s="608">
        <f>Q4-Q6-Q13</f>
        <v>-34532.879999999946</v>
      </c>
      <c r="R25" s="353"/>
    </row>
    <row r="26" spans="1:18" s="359" customFormat="1" ht="27.4" customHeight="1" thickBot="1" x14ac:dyDescent="0.3">
      <c r="A26" s="355" t="s">
        <v>229</v>
      </c>
      <c r="B26" s="223">
        <f>B25/B3</f>
        <v>0.52904577901217964</v>
      </c>
      <c r="C26" s="607">
        <f>C25/C4</f>
        <v>-0.13145182383871243</v>
      </c>
      <c r="D26" s="356"/>
      <c r="E26" s="357"/>
      <c r="F26" s="223">
        <f>F25/F3</f>
        <v>0.53919417032657979</v>
      </c>
      <c r="G26" s="607">
        <f>G25/G4</f>
        <v>2.7107737224887946E-3</v>
      </c>
      <c r="H26" s="356"/>
      <c r="I26" s="357"/>
      <c r="J26" s="223">
        <f>J25/J3</f>
        <v>0.53651657068933056</v>
      </c>
      <c r="K26" s="223">
        <f>K25/K3</f>
        <v>0.76452288950608982</v>
      </c>
      <c r="L26" s="607">
        <f>L25/L4</f>
        <v>0.47149386120281339</v>
      </c>
      <c r="M26" s="223"/>
      <c r="N26" s="223"/>
      <c r="O26" s="223"/>
      <c r="P26" s="223"/>
      <c r="Q26" s="607">
        <f>Q25/Q4</f>
        <v>-5.7645625486756419E-2</v>
      </c>
      <c r="R26" s="358"/>
    </row>
    <row r="27" spans="1:18" customFormat="1" ht="27.4" customHeight="1" x14ac:dyDescent="0.25">
      <c r="A27" s="404">
        <v>0.15</v>
      </c>
      <c r="B27" s="58"/>
      <c r="F27" s="58"/>
    </row>
    <row r="28" spans="1:18" s="230" customFormat="1" ht="27.4" customHeight="1" x14ac:dyDescent="0.25">
      <c r="A28" s="224" t="s">
        <v>230</v>
      </c>
      <c r="B28" s="225">
        <f>'DRE 2026'!C23</f>
        <v>150750.00050000002</v>
      </c>
      <c r="C28" s="225">
        <f>C4*$A$27</f>
        <v>41973.160499999998</v>
      </c>
      <c r="D28" s="225"/>
      <c r="E28" s="293"/>
      <c r="F28" s="225">
        <f>'DRE 2026'!D23</f>
        <v>150750.00050000002</v>
      </c>
      <c r="G28" s="225">
        <f>'Base_Resultado Mensal_V2'!D163</f>
        <v>5641.82</v>
      </c>
      <c r="H28" s="178">
        <f>+F28-G28</f>
        <v>145108.18050000002</v>
      </c>
      <c r="I28" s="293"/>
      <c r="J28" s="308">
        <f>'DRE 2026'!B23</f>
        <v>1809000.0060000008</v>
      </c>
      <c r="K28" s="226">
        <f>'DRE 2026'!C23</f>
        <v>150750.00050000002</v>
      </c>
      <c r="L28" s="190">
        <f>C28</f>
        <v>41973.160499999998</v>
      </c>
      <c r="M28" s="227"/>
      <c r="N28" s="182"/>
      <c r="O28" s="228"/>
      <c r="P28" s="228"/>
      <c r="Q28" s="185"/>
      <c r="R28" s="229">
        <f>L28-Q28</f>
        <v>41973.160499999998</v>
      </c>
    </row>
    <row r="29" spans="1:18" s="244" customFormat="1" ht="27.4" customHeight="1" x14ac:dyDescent="0.25">
      <c r="A29" s="238" t="s">
        <v>297</v>
      </c>
      <c r="B29" s="239">
        <f>'DRE 2026'!C24</f>
        <v>8117</v>
      </c>
      <c r="C29" s="239">
        <v>8117</v>
      </c>
      <c r="D29" s="239"/>
      <c r="E29" s="294"/>
      <c r="F29" s="239">
        <v>8117</v>
      </c>
      <c r="G29" s="239">
        <f>F29</f>
        <v>8117</v>
      </c>
      <c r="H29" s="178">
        <f>+F29-G29</f>
        <v>0</v>
      </c>
      <c r="I29" s="294"/>
      <c r="J29" s="309">
        <f>'DRE 2026'!B24</f>
        <v>97404</v>
      </c>
      <c r="K29" s="240">
        <f>'DRE 2026'!C24</f>
        <v>8117</v>
      </c>
      <c r="L29" s="190">
        <f>C29</f>
        <v>8117</v>
      </c>
      <c r="M29" s="241"/>
      <c r="N29" s="242"/>
      <c r="O29" s="243"/>
      <c r="P29" s="243"/>
      <c r="Q29" s="185"/>
      <c r="R29" s="229">
        <f>L29-Q29</f>
        <v>8117</v>
      </c>
    </row>
    <row r="30" spans="1:18" s="349" customFormat="1" ht="27.4" customHeight="1" x14ac:dyDescent="0.25">
      <c r="A30" s="360" t="s">
        <v>231</v>
      </c>
      <c r="B30" s="565">
        <f>B25-B28-B29</f>
        <v>196475.4161666666</v>
      </c>
      <c r="C30" s="340">
        <f>C25-C28-C29</f>
        <v>-86873.150500000018</v>
      </c>
      <c r="D30" s="340"/>
      <c r="E30" s="341"/>
      <c r="F30" s="565">
        <f>F25-F28-F29</f>
        <v>203291.75236666662</v>
      </c>
      <c r="G30" s="340">
        <f>G25-G28-G29</f>
        <v>-12893.449999999975</v>
      </c>
      <c r="H30" s="340"/>
      <c r="I30" s="341"/>
      <c r="J30" s="343">
        <f>J25-J28-J29</f>
        <v>2417919.5752166659</v>
      </c>
      <c r="K30" s="344">
        <f>K25-K28-K29</f>
        <v>868142.08616666659</v>
      </c>
      <c r="L30" s="609">
        <f>L25-L28-L29</f>
        <v>232360.42949999997</v>
      </c>
      <c r="M30" s="345"/>
      <c r="N30" s="346"/>
      <c r="O30" s="344"/>
      <c r="P30" s="342"/>
      <c r="Q30" s="185"/>
      <c r="R30" s="348">
        <f>L30-Q30</f>
        <v>232360.42949999997</v>
      </c>
    </row>
    <row r="31" spans="1:18" s="365" customFormat="1" ht="27.4" customHeight="1" x14ac:dyDescent="0.25">
      <c r="A31" s="361" t="s">
        <v>232</v>
      </c>
      <c r="B31" s="245">
        <f>B30/B3</f>
        <v>0.29251922857310547</v>
      </c>
      <c r="C31" s="605">
        <f>C30/C4</f>
        <v>-0.3104596465877284</v>
      </c>
      <c r="D31" s="362"/>
      <c r="E31" s="363"/>
      <c r="F31" s="245">
        <f>F30/F3</f>
        <v>0.30266761988750551</v>
      </c>
      <c r="G31" s="605">
        <f>G30/G4</f>
        <v>-4.0388764866152158E-2</v>
      </c>
      <c r="H31" s="362"/>
      <c r="I31" s="363"/>
      <c r="J31" s="310">
        <f>J30/J3</f>
        <v>0.29999002025025623</v>
      </c>
      <c r="K31" s="245">
        <f>K30/K3</f>
        <v>0.64625961428655265</v>
      </c>
      <c r="L31" s="605">
        <f>L30/L4</f>
        <v>0.38787851742741664</v>
      </c>
      <c r="M31" s="245"/>
      <c r="N31" s="245"/>
      <c r="O31" s="245"/>
      <c r="P31" s="245"/>
      <c r="Q31" s="185"/>
      <c r="R31" s="364"/>
    </row>
    <row r="32" spans="1:18" s="371" customFormat="1" ht="27.4" customHeight="1" x14ac:dyDescent="0.25">
      <c r="A32" s="366" t="s">
        <v>298</v>
      </c>
      <c r="B32" s="367">
        <f>B30*10%</f>
        <v>19647.541616666662</v>
      </c>
      <c r="C32" s="367">
        <f>C30*10%</f>
        <v>-8687.3150500000029</v>
      </c>
      <c r="D32" s="367"/>
      <c r="E32" s="368"/>
      <c r="F32" s="367">
        <f>F30*10%</f>
        <v>20329.175236666662</v>
      </c>
      <c r="G32" s="367">
        <f>G30*10%</f>
        <v>-1289.3449999999975</v>
      </c>
      <c r="H32" s="367"/>
      <c r="I32" s="368"/>
      <c r="J32" s="369">
        <f>J30*10%</f>
        <v>241791.9575216666</v>
      </c>
      <c r="K32" s="367">
        <f>K30*10%</f>
        <v>86814.20861666667</v>
      </c>
      <c r="L32" s="606">
        <f>L30*10%-9.9</f>
        <v>23226.142949999998</v>
      </c>
      <c r="M32" s="235"/>
      <c r="N32" s="235"/>
      <c r="O32" s="235"/>
      <c r="P32" s="235"/>
      <c r="Q32" s="185"/>
      <c r="R32" s="370">
        <f>L32-Q32</f>
        <v>23226.142949999998</v>
      </c>
    </row>
    <row r="33" spans="1:18" customFormat="1" ht="27.4" customHeight="1" x14ac:dyDescent="0.25">
      <c r="B33" s="58"/>
      <c r="F33" s="58"/>
      <c r="L33" s="51"/>
    </row>
    <row r="34" spans="1:18" s="250" customFormat="1" ht="27.4" customHeight="1" x14ac:dyDescent="0.35">
      <c r="A34" s="246">
        <v>0.15</v>
      </c>
      <c r="B34" s="657" t="s">
        <v>247</v>
      </c>
      <c r="C34" s="658"/>
      <c r="D34" s="659"/>
      <c r="E34" s="247"/>
      <c r="F34" s="654" t="s">
        <v>34</v>
      </c>
      <c r="G34" s="655"/>
      <c r="H34" s="656"/>
      <c r="I34" s="629"/>
      <c r="J34" s="311"/>
      <c r="K34" s="248"/>
      <c r="L34" s="248"/>
      <c r="M34" s="248"/>
      <c r="N34" s="249"/>
      <c r="O34" s="248"/>
      <c r="P34" s="248"/>
      <c r="R34" s="251"/>
    </row>
    <row r="35" spans="1:18" ht="27.4" customHeight="1" x14ac:dyDescent="0.2">
      <c r="A35" s="252" t="s">
        <v>299</v>
      </c>
      <c r="B35" s="145" t="s">
        <v>222</v>
      </c>
      <c r="C35" s="145" t="s">
        <v>239</v>
      </c>
      <c r="D35" s="145" t="s">
        <v>291</v>
      </c>
      <c r="E35" s="295" t="s">
        <v>300</v>
      </c>
      <c r="F35" s="630" t="s">
        <v>222</v>
      </c>
      <c r="G35" s="630" t="s">
        <v>239</v>
      </c>
      <c r="H35" s="630" t="s">
        <v>291</v>
      </c>
      <c r="I35" s="631" t="s">
        <v>300</v>
      </c>
      <c r="J35" s="299" t="s">
        <v>292</v>
      </c>
      <c r="K35" s="147" t="s">
        <v>293</v>
      </c>
      <c r="L35" s="147" t="s">
        <v>239</v>
      </c>
      <c r="M35" s="147" t="s">
        <v>294</v>
      </c>
      <c r="N35" s="148" t="s">
        <v>300</v>
      </c>
      <c r="O35" s="149" t="s">
        <v>295</v>
      </c>
      <c r="P35" s="149"/>
      <c r="R35" s="150"/>
    </row>
    <row r="36" spans="1:18" s="349" customFormat="1" ht="27.4" customHeight="1" x14ac:dyDescent="0.25">
      <c r="A36" s="339" t="s">
        <v>296</v>
      </c>
      <c r="B36" s="565">
        <f>($B$3-($B$3/4))/2</f>
        <v>251875.00125000003</v>
      </c>
      <c r="C36" s="573">
        <f>57491+'Resumo_Recebidas 2025_2026'!M142+'Resumo_Recebidas 2025_2026'!O153</f>
        <v>72613.090702949994</v>
      </c>
      <c r="D36" s="340">
        <f>C36-B36</f>
        <v>-179261.91054705004</v>
      </c>
      <c r="E36" s="341">
        <f>C36/B36</f>
        <v>0.2882901849829767</v>
      </c>
      <c r="F36" s="565">
        <f>B36</f>
        <v>251875.00125000003</v>
      </c>
      <c r="G36" s="573">
        <f>133203+'Resumo_Recebidas 2025_2026'!M144+'Resumo_Recebidas 2025_2026'!O155</f>
        <v>138600.12850000002</v>
      </c>
      <c r="H36" s="340">
        <f>G36-F36</f>
        <v>-113274.87275000001</v>
      </c>
      <c r="I36" s="341">
        <f>G36/F36</f>
        <v>0.55027346029640967</v>
      </c>
      <c r="J36" s="343">
        <f>($J$3-($J$3/4))/2</f>
        <v>3022500.0150000001</v>
      </c>
      <c r="K36" s="344">
        <f>B36</f>
        <v>251875.00125000003</v>
      </c>
      <c r="L36" s="344">
        <f>C36</f>
        <v>72613.090702949994</v>
      </c>
      <c r="M36" s="345">
        <f>L36-K36</f>
        <v>-179261.91054705004</v>
      </c>
      <c r="N36" s="346">
        <f>L36/K36</f>
        <v>0.2882901849829767</v>
      </c>
      <c r="O36" s="344">
        <f>J36-L36</f>
        <v>2949886.9242970501</v>
      </c>
      <c r="P36" s="342"/>
      <c r="Q36" s="347">
        <f>L36</f>
        <v>72613.090702949994</v>
      </c>
      <c r="R36" s="348">
        <f>L36-Q36</f>
        <v>0</v>
      </c>
    </row>
    <row r="37" spans="1:18" customFormat="1" ht="27.4" customHeight="1" x14ac:dyDescent="0.25">
      <c r="B37" s="58"/>
      <c r="F37" s="58"/>
    </row>
    <row r="38" spans="1:18" s="328" customFormat="1" ht="27.4" customHeight="1" x14ac:dyDescent="0.25">
      <c r="A38" s="320" t="s">
        <v>224</v>
      </c>
      <c r="B38" s="321" t="s">
        <v>222</v>
      </c>
      <c r="C38" s="321" t="s">
        <v>239</v>
      </c>
      <c r="D38" s="322" t="s">
        <v>291</v>
      </c>
      <c r="E38" s="632" t="s">
        <v>300</v>
      </c>
      <c r="F38" s="321" t="s">
        <v>222</v>
      </c>
      <c r="G38" s="321" t="s">
        <v>239</v>
      </c>
      <c r="H38" s="322" t="s">
        <v>291</v>
      </c>
      <c r="I38" s="632" t="s">
        <v>300</v>
      </c>
      <c r="J38" s="324" t="s">
        <v>292</v>
      </c>
      <c r="K38" s="325" t="s">
        <v>293</v>
      </c>
      <c r="L38" s="325" t="s">
        <v>239</v>
      </c>
      <c r="M38" s="325" t="s">
        <v>294</v>
      </c>
      <c r="N38" s="325" t="s">
        <v>300</v>
      </c>
      <c r="O38" s="325" t="s">
        <v>295</v>
      </c>
      <c r="P38" s="326"/>
      <c r="Q38" s="327"/>
    </row>
    <row r="39" spans="1:18" s="349" customFormat="1" ht="27.4" customHeight="1" x14ac:dyDescent="0.25">
      <c r="A39" s="339" t="s">
        <v>301</v>
      </c>
      <c r="B39" s="565">
        <f>+B7</f>
        <v>74354.065000000002</v>
      </c>
      <c r="C39" s="340">
        <f>+'Base_Resultado Mensal_V2'!C5</f>
        <v>73576.315000000002</v>
      </c>
      <c r="D39" s="340">
        <f>+B39-C39</f>
        <v>777.75</v>
      </c>
      <c r="E39" s="341">
        <f>C39/B39</f>
        <v>0.98953991284807363</v>
      </c>
      <c r="F39" s="565">
        <f>+F7</f>
        <v>72754.065000000002</v>
      </c>
      <c r="G39" s="340">
        <f>'Base_Resultado Mensal_V2'!D5</f>
        <v>76342.345000000001</v>
      </c>
      <c r="H39" s="340">
        <f>+F39-G39</f>
        <v>-3588.2799999999988</v>
      </c>
      <c r="I39" s="341">
        <f>G39/F39</f>
        <v>1.0493206805695323</v>
      </c>
      <c r="J39" s="343">
        <f>'Base_Resultado Mensal_V2'!B5</f>
        <v>149918.66</v>
      </c>
      <c r="K39" s="344">
        <f>B39</f>
        <v>74354.065000000002</v>
      </c>
      <c r="L39" s="344">
        <f>C39</f>
        <v>73576.315000000002</v>
      </c>
      <c r="M39" s="345">
        <f>K39-L39</f>
        <v>777.75</v>
      </c>
      <c r="N39" s="346">
        <f>L39/K39</f>
        <v>0.98953991284807363</v>
      </c>
      <c r="O39" s="344">
        <f>J39-L39</f>
        <v>76342.345000000001</v>
      </c>
      <c r="P39" s="342"/>
      <c r="Q39" s="347">
        <f>'Base_Resultado Mensal_V2'!B5</f>
        <v>149918.66</v>
      </c>
      <c r="R39" s="348">
        <f>L39-Q39</f>
        <v>-76342.345000000001</v>
      </c>
    </row>
    <row r="40" spans="1:18" s="450" customFormat="1" ht="27.4" customHeight="1" x14ac:dyDescent="0.25">
      <c r="A40" s="442" t="str">
        <f>A8</f>
        <v>Participação/Comissão - Contencioso</v>
      </c>
      <c r="B40" s="566"/>
      <c r="C40" s="443">
        <f>C8</f>
        <v>0</v>
      </c>
      <c r="D40" s="443"/>
      <c r="E40" s="444"/>
      <c r="F40" s="566"/>
      <c r="G40" s="443">
        <f>'Base_Resultado Mensal_V2'!D28</f>
        <v>0</v>
      </c>
      <c r="H40" s="443"/>
      <c r="I40" s="633"/>
      <c r="J40" s="635"/>
      <c r="K40" s="446"/>
      <c r="L40" s="344">
        <f>C40</f>
        <v>0</v>
      </c>
      <c r="M40" s="447"/>
      <c r="N40" s="444"/>
      <c r="O40" s="446"/>
      <c r="P40" s="445"/>
      <c r="Q40" s="448">
        <f>L40</f>
        <v>0</v>
      </c>
      <c r="R40" s="449"/>
    </row>
    <row r="41" spans="1:18" s="196" customFormat="1" ht="27.4" customHeight="1" x14ac:dyDescent="0.25">
      <c r="A41" s="188" t="s">
        <v>302</v>
      </c>
      <c r="B41" s="253">
        <f>'Orçamento 2026'!D191</f>
        <v>2110.4899999999998</v>
      </c>
      <c r="C41" s="189">
        <f>+'Base_Resultado Mensal_V2'!C200</f>
        <v>1060.095</v>
      </c>
      <c r="D41" s="189">
        <f>(B41-C41)</f>
        <v>1050.3949999999998</v>
      </c>
      <c r="E41" s="288">
        <f t="shared" ref="E41:E42" si="12">C41/B41</f>
        <v>0.50229804452994331</v>
      </c>
      <c r="F41" s="253">
        <f>'Orçamento 2026'!E191</f>
        <v>2110.4899999999998</v>
      </c>
      <c r="G41" s="189"/>
      <c r="H41" s="189">
        <f>(F41-G41)</f>
        <v>2110.4899999999998</v>
      </c>
      <c r="I41" s="288">
        <f>G41/F41</f>
        <v>0</v>
      </c>
      <c r="J41" s="312">
        <f>'Base_Resultado Mensal_V2'!B200</f>
        <v>3791.6483333333335</v>
      </c>
      <c r="K41" s="205">
        <f>B41</f>
        <v>2110.4899999999998</v>
      </c>
      <c r="L41" s="191">
        <f>C41</f>
        <v>1060.095</v>
      </c>
      <c r="M41" s="191">
        <f t="shared" ref="M41:M42" si="13">K41-L41</f>
        <v>1050.3949999999998</v>
      </c>
      <c r="N41" s="192">
        <f t="shared" ref="N41:N42" si="14">L41/K41</f>
        <v>0.50229804452994331</v>
      </c>
      <c r="O41" s="191">
        <f>J41-L41</f>
        <v>2731.5533333333333</v>
      </c>
      <c r="P41" s="254"/>
      <c r="Q41" s="185">
        <f>'Base_Resultado Mensal_V2'!O200</f>
        <v>3791.6483333333335</v>
      </c>
      <c r="R41" s="206">
        <f>L41-Q41</f>
        <v>-2731.5533333333333</v>
      </c>
    </row>
    <row r="42" spans="1:18" s="196" customFormat="1" ht="27.4" customHeight="1" x14ac:dyDescent="0.25">
      <c r="A42" s="188" t="s">
        <v>210</v>
      </c>
      <c r="B42" s="253">
        <f>(B13-B41)*'Rateio Mensal'!M2</f>
        <v>36974.282979077907</v>
      </c>
      <c r="C42" s="255">
        <f>'Rateio Mensal'!I2</f>
        <v>35425.446697227795</v>
      </c>
      <c r="D42" s="189">
        <f>B42-C42</f>
        <v>1548.8362818501118</v>
      </c>
      <c r="E42" s="288">
        <f t="shared" si="12"/>
        <v>0.95811044442088222</v>
      </c>
      <c r="F42" s="253">
        <f>(F13-F41)*'Rateio Mensal'!M2</f>
        <v>36197.963690855591</v>
      </c>
      <c r="G42" s="255"/>
      <c r="H42" s="189">
        <f>F42-G42</f>
        <v>36197.963690855591</v>
      </c>
      <c r="I42" s="288">
        <f>G42/F42</f>
        <v>0</v>
      </c>
      <c r="J42" s="313">
        <f>(J13-J21)*'Rateio Mensal'!M3</f>
        <v>469930.32491461694</v>
      </c>
      <c r="K42" s="205">
        <f>B42</f>
        <v>36974.282979077907</v>
      </c>
      <c r="L42" s="191">
        <f>C42</f>
        <v>35425.446697227795</v>
      </c>
      <c r="M42" s="191">
        <f t="shared" si="13"/>
        <v>1548.8362818501118</v>
      </c>
      <c r="N42" s="192">
        <f t="shared" si="14"/>
        <v>0.95811044442088222</v>
      </c>
      <c r="O42" s="191">
        <f>J42-L42</f>
        <v>434504.87821738917</v>
      </c>
      <c r="P42" s="254"/>
      <c r="Q42" s="185">
        <f>L42</f>
        <v>35425.446697227795</v>
      </c>
      <c r="R42" s="206">
        <f>L42-Q42</f>
        <v>0</v>
      </c>
    </row>
    <row r="43" spans="1:18" s="371" customFormat="1" ht="27.4" customHeight="1" x14ac:dyDescent="0.25">
      <c r="A43" s="366" t="s">
        <v>228</v>
      </c>
      <c r="B43" s="367">
        <f>B36-B39-B41-B42</f>
        <v>138436.16327092214</v>
      </c>
      <c r="C43" s="367">
        <f>C36-C39-C41-C42-C40</f>
        <v>-37448.765994277805</v>
      </c>
      <c r="D43" s="367"/>
      <c r="E43" s="368"/>
      <c r="F43" s="367">
        <f>F36-F39-F41-F42</f>
        <v>140812.48255914444</v>
      </c>
      <c r="G43" s="367"/>
      <c r="H43" s="367"/>
      <c r="I43" s="368"/>
      <c r="J43" s="314">
        <f>+J36-(J39+J41+J42)</f>
        <v>2398859.3817520496</v>
      </c>
      <c r="K43" s="257">
        <f>+K36-(K39+K41+K42)</f>
        <v>138436.16327092212</v>
      </c>
      <c r="L43" s="367">
        <f>L36-L39-L41-L42-L40</f>
        <v>-37448.765994277805</v>
      </c>
      <c r="M43" s="191"/>
      <c r="N43" s="192"/>
      <c r="O43" s="191"/>
      <c r="P43" s="258"/>
      <c r="Q43" s="367">
        <f>Q36-Q39-Q41-Q42-Q40</f>
        <v>-116522.66432761113</v>
      </c>
      <c r="R43" s="370">
        <f>L43-Q43</f>
        <v>79073.898333333316</v>
      </c>
    </row>
    <row r="44" spans="1:18" s="371" customFormat="1" ht="27.4" customHeight="1" x14ac:dyDescent="0.25">
      <c r="A44" s="366" t="s">
        <v>229</v>
      </c>
      <c r="B44" s="235">
        <f>B43/B36</f>
        <v>0.54962248172265615</v>
      </c>
      <c r="C44" s="603">
        <f>C43/C36</f>
        <v>-0.51573023034476628</v>
      </c>
      <c r="D44" s="367"/>
      <c r="E44" s="368"/>
      <c r="F44" s="235">
        <f>F43/F36</f>
        <v>0.55905699994172975</v>
      </c>
      <c r="G44" s="603"/>
      <c r="H44" s="367"/>
      <c r="I44" s="368"/>
      <c r="J44" s="315">
        <f>J43/J36</f>
        <v>0.79366728530919439</v>
      </c>
      <c r="K44" s="237">
        <f>K43/K36</f>
        <v>0.54962248172265604</v>
      </c>
      <c r="L44" s="604">
        <f>L43/L36</f>
        <v>-0.51573023034476628</v>
      </c>
      <c r="M44" s="236"/>
      <c r="N44" s="235"/>
      <c r="O44" s="236"/>
      <c r="P44" s="259"/>
      <c r="Q44" s="604">
        <f>Q43/Q36</f>
        <v>-1.6047060275162928</v>
      </c>
      <c r="R44" s="370"/>
    </row>
    <row r="45" spans="1:18" customFormat="1" ht="27.4" customHeight="1" x14ac:dyDescent="0.25">
      <c r="B45" s="58"/>
      <c r="F45" s="58"/>
    </row>
    <row r="46" spans="1:18" s="268" customFormat="1" ht="27.4" customHeight="1" x14ac:dyDescent="0.25">
      <c r="A46" s="260" t="s">
        <v>185</v>
      </c>
      <c r="B46" s="261">
        <f>B36*$A$34</f>
        <v>37781.250187500002</v>
      </c>
      <c r="C46" s="261">
        <f>C36*$A$34</f>
        <v>10891.963605442499</v>
      </c>
      <c r="D46" s="189">
        <f>(B46-C46)</f>
        <v>26889.286582057503</v>
      </c>
      <c r="E46" s="288">
        <f>C46/B46</f>
        <v>0.2882901849829767</v>
      </c>
      <c r="F46" s="261">
        <f>F36*$A$34</f>
        <v>37781.250187500002</v>
      </c>
      <c r="G46" s="261"/>
      <c r="H46" s="261"/>
      <c r="I46" s="297"/>
      <c r="J46" s="316">
        <f>J36*$A$34</f>
        <v>453375.00225000002</v>
      </c>
      <c r="K46" s="263">
        <f>B46</f>
        <v>37781.250187500002</v>
      </c>
      <c r="L46" s="264">
        <f>+L36*$A$34</f>
        <v>10891.963605442499</v>
      </c>
      <c r="M46" s="265"/>
      <c r="N46" s="262"/>
      <c r="O46" s="265"/>
      <c r="P46" s="256"/>
      <c r="Q46" s="266"/>
      <c r="R46" s="267"/>
    </row>
    <row r="47" spans="1:18" s="279" customFormat="1" ht="27.4" customHeight="1" x14ac:dyDescent="0.25">
      <c r="A47" s="269" t="s">
        <v>297</v>
      </c>
      <c r="B47" s="270">
        <f>B29*'Rateio Mensal'!M2</f>
        <v>2977.4965161492446</v>
      </c>
      <c r="C47" s="271">
        <f>C29*'Rateio Mensal'!C2</f>
        <v>2821.9887606711923</v>
      </c>
      <c r="D47" s="189">
        <f>B47-C47</f>
        <v>155.50775547805233</v>
      </c>
      <c r="E47" s="288">
        <f>C47/B47</f>
        <v>0.9477723132051995</v>
      </c>
      <c r="F47" s="270">
        <f>F29*'Rateio Mensal'!M2</f>
        <v>2977.4965161492446</v>
      </c>
      <c r="G47" s="271"/>
      <c r="H47" s="272"/>
      <c r="I47" s="298"/>
      <c r="J47" s="317">
        <f>J29*'Rateio Mensal'!M3</f>
        <v>37039.425961932342</v>
      </c>
      <c r="K47" s="263">
        <f>B47</f>
        <v>2977.4965161492446</v>
      </c>
      <c r="L47" s="205">
        <f>C47</f>
        <v>2821.9887606711923</v>
      </c>
      <c r="M47" s="275"/>
      <c r="N47" s="273"/>
      <c r="O47" s="275"/>
      <c r="P47" s="276"/>
      <c r="Q47" s="277"/>
      <c r="R47" s="278"/>
    </row>
    <row r="48" spans="1:18" s="349" customFormat="1" ht="27.4" customHeight="1" x14ac:dyDescent="0.25">
      <c r="A48" s="360" t="s">
        <v>231</v>
      </c>
      <c r="B48" s="565">
        <f>B43-B46-B47</f>
        <v>97677.4165672729</v>
      </c>
      <c r="C48" s="340">
        <f>C43-C46-C47</f>
        <v>-51162.718360391496</v>
      </c>
      <c r="D48" s="340"/>
      <c r="E48" s="341"/>
      <c r="F48" s="565">
        <f>F43-F46-F47</f>
        <v>100053.73585549519</v>
      </c>
      <c r="G48" s="340">
        <f>G43-G46-G47</f>
        <v>0</v>
      </c>
      <c r="H48" s="340"/>
      <c r="I48" s="341"/>
      <c r="J48" s="343">
        <f>J43-J46-J47</f>
        <v>1908444.9535401172</v>
      </c>
      <c r="K48" s="344">
        <f>K43-K46-K47</f>
        <v>97677.41656727287</v>
      </c>
      <c r="L48" s="345">
        <f>L43-L46-L47</f>
        <v>-51162.718360391496</v>
      </c>
      <c r="M48" s="345"/>
      <c r="N48" s="346"/>
      <c r="O48" s="344"/>
      <c r="P48" s="342"/>
      <c r="Q48" s="378"/>
      <c r="R48" s="347"/>
    </row>
    <row r="49" spans="1:18" s="377" customFormat="1" ht="27.4" customHeight="1" x14ac:dyDescent="0.25">
      <c r="A49" s="374" t="s">
        <v>232</v>
      </c>
      <c r="B49" s="283">
        <f>B48/B36</f>
        <v>0.38780115566261614</v>
      </c>
      <c r="C49" s="405">
        <f>C48/C36</f>
        <v>-0.70459359139099353</v>
      </c>
      <c r="D49" s="227"/>
      <c r="E49" s="375"/>
      <c r="F49" s="283">
        <f>F48/F36</f>
        <v>0.39723567388168968</v>
      </c>
      <c r="G49" s="405">
        <f>G48/G36</f>
        <v>0</v>
      </c>
      <c r="H49" s="227"/>
      <c r="I49" s="375"/>
      <c r="J49" s="318">
        <f>J48/J36</f>
        <v>0.63141271929493015</v>
      </c>
      <c r="K49" s="280">
        <f>K48/K36</f>
        <v>0.38780115566261603</v>
      </c>
      <c r="L49" s="281">
        <f>L48/L36</f>
        <v>-0.70459359139099353</v>
      </c>
      <c r="M49" s="282"/>
      <c r="N49" s="283"/>
      <c r="O49" s="282"/>
      <c r="P49" s="284"/>
      <c r="Q49" s="378"/>
      <c r="R49" s="376"/>
    </row>
    <row r="50" spans="1:18" s="373" customFormat="1" ht="27.4" customHeight="1" x14ac:dyDescent="0.25">
      <c r="A50" s="260" t="s">
        <v>233</v>
      </c>
      <c r="B50" s="261">
        <f>B48*10%</f>
        <v>9767.7416567272903</v>
      </c>
      <c r="C50" s="261">
        <f>C48*10%</f>
        <v>-5116.27183603915</v>
      </c>
      <c r="D50" s="261"/>
      <c r="E50" s="297"/>
      <c r="F50" s="261">
        <f>F48*10%</f>
        <v>10005.37358554952</v>
      </c>
      <c r="G50" s="261">
        <f>G48*10%</f>
        <v>0</v>
      </c>
      <c r="H50" s="261"/>
      <c r="I50" s="297"/>
      <c r="J50" s="372">
        <f>J48*10%</f>
        <v>190844.49535401174</v>
      </c>
      <c r="K50" s="261">
        <f>K48*10%</f>
        <v>9767.7416567272867</v>
      </c>
      <c r="L50" s="379">
        <f>L48*10%</f>
        <v>-5116.27183603915</v>
      </c>
      <c r="M50" s="262"/>
      <c r="N50" s="262"/>
      <c r="O50" s="262"/>
      <c r="P50" s="262"/>
      <c r="Q50" s="378"/>
      <c r="R50" s="267"/>
    </row>
    <row r="51" spans="1:18" customFormat="1" ht="27.4" customHeight="1" x14ac:dyDescent="0.25">
      <c r="B51" s="58"/>
      <c r="F51" s="58"/>
    </row>
    <row r="52" spans="1:18" s="250" customFormat="1" ht="27.4" customHeight="1" x14ac:dyDescent="0.35">
      <c r="A52" s="246"/>
      <c r="B52" s="654" t="s">
        <v>247</v>
      </c>
      <c r="C52" s="655"/>
      <c r="D52" s="655"/>
      <c r="E52" s="656"/>
      <c r="F52" s="654" t="s">
        <v>34</v>
      </c>
      <c r="G52" s="655"/>
      <c r="H52" s="656"/>
      <c r="I52" s="629"/>
      <c r="J52" s="311"/>
      <c r="K52" s="248"/>
      <c r="L52" s="248"/>
      <c r="M52" s="248"/>
      <c r="N52" s="249"/>
      <c r="O52" s="248"/>
      <c r="P52" s="248"/>
      <c r="R52" s="251"/>
    </row>
    <row r="53" spans="1:18" ht="27.4" customHeight="1" x14ac:dyDescent="0.2">
      <c r="A53" s="252" t="s">
        <v>303</v>
      </c>
      <c r="B53" s="145" t="s">
        <v>222</v>
      </c>
      <c r="C53" s="145" t="s">
        <v>239</v>
      </c>
      <c r="D53" s="145" t="s">
        <v>291</v>
      </c>
      <c r="E53" s="295" t="s">
        <v>300</v>
      </c>
      <c r="F53" s="630" t="s">
        <v>222</v>
      </c>
      <c r="G53" s="630" t="s">
        <v>239</v>
      </c>
      <c r="H53" s="630" t="s">
        <v>291</v>
      </c>
      <c r="I53" s="631" t="s">
        <v>300</v>
      </c>
      <c r="J53" s="299" t="s">
        <v>292</v>
      </c>
      <c r="K53" s="147" t="s">
        <v>293</v>
      </c>
      <c r="L53" s="147" t="s">
        <v>239</v>
      </c>
      <c r="M53" s="147" t="s">
        <v>294</v>
      </c>
      <c r="N53" s="148" t="s">
        <v>300</v>
      </c>
      <c r="O53" s="149" t="s">
        <v>295</v>
      </c>
      <c r="P53" s="149"/>
      <c r="R53" s="150"/>
    </row>
    <row r="54" spans="1:18" s="349" customFormat="1" ht="27.4" customHeight="1" x14ac:dyDescent="0.25">
      <c r="A54" s="339" t="s">
        <v>296</v>
      </c>
      <c r="B54" s="565">
        <f>($B$3-($B$3/4))/2</f>
        <v>251875.00125000003</v>
      </c>
      <c r="C54" s="573">
        <f>105769+'Resumo_Recebidas 2025_2026'!M143+'Resumo_Recebidas 2025_2026'!O154</f>
        <v>120362.57434894999</v>
      </c>
      <c r="D54" s="340">
        <f>C54-B54</f>
        <v>-131512.42690105003</v>
      </c>
      <c r="E54" s="341">
        <f>C54/B54</f>
        <v>0.47786629777316963</v>
      </c>
      <c r="F54" s="565">
        <f>B54</f>
        <v>251875.00125000003</v>
      </c>
      <c r="G54" s="573">
        <f>117627+'Resumo_Recebidas 2025_2026'!O156</f>
        <v>118661.55349999999</v>
      </c>
      <c r="H54" s="340">
        <f>G54-F54</f>
        <v>-133213.44775000005</v>
      </c>
      <c r="I54" s="341">
        <f>G54/F54</f>
        <v>0.47111286515576734</v>
      </c>
      <c r="J54" s="343">
        <f>($J$3-($J$3/4))/2</f>
        <v>3022500.0150000001</v>
      </c>
      <c r="K54" s="344">
        <f>B54</f>
        <v>251875.00125000003</v>
      </c>
      <c r="L54" s="344">
        <f>C54</f>
        <v>120362.57434894999</v>
      </c>
      <c r="M54" s="345">
        <f>L54-K54</f>
        <v>-131512.42690105003</v>
      </c>
      <c r="N54" s="346">
        <f>L54/K54</f>
        <v>0.47786629777316963</v>
      </c>
      <c r="O54" s="344">
        <f>J54-L54</f>
        <v>2902137.4406510503</v>
      </c>
      <c r="P54" s="342"/>
      <c r="Q54" s="347">
        <f>L54</f>
        <v>120362.57434894999</v>
      </c>
      <c r="R54" s="348">
        <f>L54-Q54</f>
        <v>0</v>
      </c>
    </row>
    <row r="55" spans="1:18" customFormat="1" ht="27.4" customHeight="1" x14ac:dyDescent="0.25">
      <c r="B55" s="58"/>
      <c r="F55" s="58"/>
    </row>
    <row r="56" spans="1:18" s="328" customFormat="1" ht="27.4" customHeight="1" x14ac:dyDescent="0.25">
      <c r="A56" s="320" t="s">
        <v>224</v>
      </c>
      <c r="B56" s="321" t="s">
        <v>222</v>
      </c>
      <c r="C56" s="321" t="s">
        <v>239</v>
      </c>
      <c r="D56" s="322" t="s">
        <v>291</v>
      </c>
      <c r="E56" s="323" t="s">
        <v>300</v>
      </c>
      <c r="F56" s="321"/>
      <c r="G56" s="321"/>
      <c r="H56" s="322" t="s">
        <v>291</v>
      </c>
      <c r="I56" s="632" t="s">
        <v>300</v>
      </c>
      <c r="J56" s="324" t="s">
        <v>292</v>
      </c>
      <c r="K56" s="325" t="s">
        <v>293</v>
      </c>
      <c r="L56" s="325" t="s">
        <v>239</v>
      </c>
      <c r="M56" s="325" t="s">
        <v>294</v>
      </c>
      <c r="N56" s="325" t="s">
        <v>300</v>
      </c>
      <c r="O56" s="325" t="s">
        <v>295</v>
      </c>
      <c r="P56" s="326"/>
      <c r="Q56" s="327"/>
    </row>
    <row r="57" spans="1:18" s="349" customFormat="1" ht="27.4" customHeight="1" x14ac:dyDescent="0.25">
      <c r="A57" s="339" t="s">
        <v>301</v>
      </c>
      <c r="B57" s="565">
        <f>+B9</f>
        <v>76879.165000000023</v>
      </c>
      <c r="C57" s="340">
        <f>'Base_Resultado Mensal_V2'!C30</f>
        <v>76041.035000000003</v>
      </c>
      <c r="D57" s="340">
        <f>+B57-C57</f>
        <v>838.13000000001921</v>
      </c>
      <c r="E57" s="341">
        <f>C57/B57</f>
        <v>0.98909808658821907</v>
      </c>
      <c r="F57" s="565">
        <f>+F9</f>
        <v>75379.165000000023</v>
      </c>
      <c r="G57" s="340">
        <f>'Base_Resultado Mensal_V2'!D30</f>
        <v>80276.744999999995</v>
      </c>
      <c r="H57" s="340">
        <f>+F57-G57</f>
        <v>-4897.5799999999726</v>
      </c>
      <c r="I57" s="341">
        <f>G57/F57</f>
        <v>1.0649725955441396</v>
      </c>
      <c r="J57" s="343">
        <f>J9</f>
        <v>914114.75250000018</v>
      </c>
      <c r="K57" s="344">
        <f>B57</f>
        <v>76879.165000000023</v>
      </c>
      <c r="L57" s="344">
        <f>C57</f>
        <v>76041.035000000003</v>
      </c>
      <c r="M57" s="345">
        <f>K57-L57</f>
        <v>838.13000000001921</v>
      </c>
      <c r="N57" s="346">
        <f>L57/K57</f>
        <v>0.98909808658821907</v>
      </c>
      <c r="O57" s="344">
        <f>J57-L57</f>
        <v>838073.71750000014</v>
      </c>
      <c r="P57" s="342"/>
      <c r="Q57" s="347">
        <f>L57</f>
        <v>76041.035000000003</v>
      </c>
      <c r="R57" s="348">
        <f>L57-Q57</f>
        <v>0</v>
      </c>
    </row>
    <row r="58" spans="1:18" s="450" customFormat="1" ht="27.4" customHeight="1" x14ac:dyDescent="0.25">
      <c r="A58" s="442" t="str">
        <f>A10</f>
        <v>Participação/comissão - Economico</v>
      </c>
      <c r="B58" s="566"/>
      <c r="C58" s="443">
        <f>C10</f>
        <v>0</v>
      </c>
      <c r="D58" s="443"/>
      <c r="E58" s="444"/>
      <c r="F58" s="566"/>
      <c r="G58" s="443">
        <f>'Base_Resultado Mensal_V2'!D56</f>
        <v>1500</v>
      </c>
      <c r="H58" s="443"/>
      <c r="I58" s="633"/>
      <c r="J58" s="635"/>
      <c r="K58" s="344"/>
      <c r="L58" s="344">
        <f>C58</f>
        <v>0</v>
      </c>
      <c r="M58" s="447"/>
      <c r="N58" s="444"/>
      <c r="O58" s="446"/>
      <c r="P58" s="445"/>
      <c r="Q58" s="451">
        <f>'Base_Resultado Mensal_V2'!O56+'Base_Resultado Mensal_V2'!O57</f>
        <v>1500</v>
      </c>
      <c r="R58" s="449"/>
    </row>
    <row r="59" spans="1:18" s="196" customFormat="1" ht="27.4" customHeight="1" x14ac:dyDescent="0.25">
      <c r="A59" s="188" t="s">
        <v>302</v>
      </c>
      <c r="B59" s="253">
        <f>'Orçamento 2026'!D192</f>
        <v>3174.8233333333333</v>
      </c>
      <c r="C59" s="189">
        <f>+'Base_Resultado Mensal_V2'!C201</f>
        <v>1871.8050000000001</v>
      </c>
      <c r="D59" s="189">
        <f t="shared" ref="D59" si="15">+B59-C59</f>
        <v>1303.0183333333332</v>
      </c>
      <c r="E59" s="288">
        <f t="shared" ref="E59:E60" si="16">C59/B59</f>
        <v>0.58957768778735198</v>
      </c>
      <c r="F59" s="253">
        <f>'Orçamento 2026'!E192</f>
        <v>3174.8233333333333</v>
      </c>
      <c r="G59" s="189"/>
      <c r="H59" s="189">
        <f>+F59-G59</f>
        <v>3174.8233333333333</v>
      </c>
      <c r="I59" s="288">
        <f>G59/F59</f>
        <v>0</v>
      </c>
      <c r="J59" s="312">
        <f>'Base_Resultado Mensal_V2'!B201</f>
        <v>5770.1083333333336</v>
      </c>
      <c r="K59" s="205">
        <f>B59</f>
        <v>3174.8233333333333</v>
      </c>
      <c r="L59" s="191">
        <f>C59</f>
        <v>1871.8050000000001</v>
      </c>
      <c r="M59" s="191">
        <f t="shared" ref="M59" si="17">K59-L59</f>
        <v>1303.0183333333332</v>
      </c>
      <c r="N59" s="192">
        <f t="shared" ref="N59:N60" si="18">L59/K59</f>
        <v>0.58957768778735198</v>
      </c>
      <c r="O59" s="191">
        <f>J59-L59</f>
        <v>3898.3033333333333</v>
      </c>
      <c r="P59" s="254"/>
      <c r="Q59" s="195">
        <f>L59</f>
        <v>1871.8050000000001</v>
      </c>
      <c r="R59" s="206">
        <f>L59-Q59</f>
        <v>0</v>
      </c>
    </row>
    <row r="60" spans="1:18" s="196" customFormat="1" ht="27.4" customHeight="1" x14ac:dyDescent="0.25">
      <c r="A60" s="188" t="s">
        <v>210</v>
      </c>
      <c r="B60" s="253">
        <f>(B13-B59)*'Rateio Mensal'!M3</f>
        <v>37924.624283677076</v>
      </c>
      <c r="C60" s="255">
        <f>'Rateio Mensal'!I3</f>
        <v>36612.157488378332</v>
      </c>
      <c r="D60" s="189">
        <f>+B60-C60</f>
        <v>1312.4667952987438</v>
      </c>
      <c r="E60" s="288">
        <f t="shared" si="16"/>
        <v>0.96539275417782755</v>
      </c>
      <c r="F60" s="253">
        <f>(F13-F59)*'Rateio Mensal'!M3</f>
        <v>37119.853658338718</v>
      </c>
      <c r="G60" s="255"/>
      <c r="H60" s="189">
        <f>+F60-G60</f>
        <v>37119.853658338718</v>
      </c>
      <c r="I60" s="288">
        <f>G60/F60</f>
        <v>0</v>
      </c>
      <c r="J60" s="313">
        <f>(J13-J21)*'Rateio Mensal'!M4</f>
        <v>312546.77218123327</v>
      </c>
      <c r="K60" s="205">
        <f>B60</f>
        <v>37924.624283677076</v>
      </c>
      <c r="L60" s="191">
        <f>C60</f>
        <v>36612.157488378332</v>
      </c>
      <c r="M60" s="191">
        <f>K60-L60</f>
        <v>1312.4667952987438</v>
      </c>
      <c r="N60" s="192">
        <f t="shared" si="18"/>
        <v>0.96539275417782755</v>
      </c>
      <c r="O60" s="191">
        <f>J60-L60</f>
        <v>275934.61469285493</v>
      </c>
      <c r="P60" s="254"/>
      <c r="Q60" s="195">
        <f>L60</f>
        <v>36612.157488378332</v>
      </c>
      <c r="R60" s="206">
        <f>L60-Q60</f>
        <v>0</v>
      </c>
    </row>
    <row r="61" spans="1:18" s="233" customFormat="1" ht="27.4" customHeight="1" x14ac:dyDescent="0.25">
      <c r="A61" s="231" t="s">
        <v>228</v>
      </c>
      <c r="B61" s="232">
        <f>B54-B57-B59-B60</f>
        <v>133896.38863298958</v>
      </c>
      <c r="C61" s="232">
        <f>C54-C57-C59-C60-C58</f>
        <v>5837.5768605716512</v>
      </c>
      <c r="D61" s="232"/>
      <c r="E61" s="296"/>
      <c r="F61" s="232">
        <f>F54-F57-F59-F60</f>
        <v>136201.15925832794</v>
      </c>
      <c r="G61" s="232"/>
      <c r="H61" s="232"/>
      <c r="I61" s="296"/>
      <c r="J61" s="314">
        <f>+J54-(J57+J59+J60)</f>
        <v>1790068.3819854334</v>
      </c>
      <c r="K61" s="232">
        <f>K54-K57-K59-K60-K58</f>
        <v>133896.38863298958</v>
      </c>
      <c r="L61" s="232">
        <f>L54-L57-L59-L60-L58</f>
        <v>5837.5768605716512</v>
      </c>
      <c r="M61" s="191"/>
      <c r="N61" s="192"/>
      <c r="O61" s="191"/>
      <c r="P61" s="258"/>
      <c r="Q61" s="195"/>
      <c r="R61" s="206"/>
    </row>
    <row r="62" spans="1:18" s="233" customFormat="1" ht="27.4" customHeight="1" x14ac:dyDescent="0.25">
      <c r="A62" s="231" t="s">
        <v>229</v>
      </c>
      <c r="B62" s="234">
        <f>B61/B54</f>
        <v>0.53159856265406003</v>
      </c>
      <c r="C62" s="234">
        <f>C61/C54</f>
        <v>4.8499933572769889E-2</v>
      </c>
      <c r="D62" s="232"/>
      <c r="E62" s="296"/>
      <c r="F62" s="634">
        <f>F61/F54</f>
        <v>0.54074901670428444</v>
      </c>
      <c r="G62" s="634"/>
      <c r="H62" s="232"/>
      <c r="I62" s="296"/>
      <c r="J62" s="315">
        <f>J61/J54</f>
        <v>0.59224760069535787</v>
      </c>
      <c r="K62" s="237">
        <f>K61/K54</f>
        <v>0.53159856265406003</v>
      </c>
      <c r="L62" s="237">
        <f>L61/L54</f>
        <v>4.8499933572769889E-2</v>
      </c>
      <c r="M62" s="236"/>
      <c r="N62" s="235"/>
      <c r="O62" s="236"/>
      <c r="P62" s="259"/>
      <c r="R62" s="206"/>
    </row>
    <row r="63" spans="1:18" customFormat="1" ht="27.4" customHeight="1" x14ac:dyDescent="0.25">
      <c r="B63" s="58"/>
      <c r="F63" s="58"/>
    </row>
    <row r="64" spans="1:18" s="268" customFormat="1" ht="27.4" customHeight="1" x14ac:dyDescent="0.25">
      <c r="A64" s="260" t="s">
        <v>185</v>
      </c>
      <c r="B64" s="261">
        <f>B54*$A$34</f>
        <v>37781.250187500002</v>
      </c>
      <c r="C64" s="261">
        <f>C54*$A$34</f>
        <v>18054.386152342497</v>
      </c>
      <c r="D64" s="189">
        <f>(B64-C64)</f>
        <v>19726.864035157505</v>
      </c>
      <c r="E64" s="288">
        <f>C64/B64</f>
        <v>0.47786629777316963</v>
      </c>
      <c r="F64" s="261">
        <f>F54*$A$34</f>
        <v>37781.250187500002</v>
      </c>
      <c r="G64" s="261"/>
      <c r="H64" s="261"/>
      <c r="I64" s="297"/>
      <c r="J64" s="316">
        <f>J54*$A$34</f>
        <v>453375.00225000002</v>
      </c>
      <c r="K64" s="263">
        <f>B64</f>
        <v>37781.250187500002</v>
      </c>
      <c r="L64" s="264">
        <f>C64</f>
        <v>18054.386152342497</v>
      </c>
      <c r="M64" s="265"/>
      <c r="N64" s="262"/>
      <c r="O64" s="265"/>
      <c r="P64" s="256"/>
      <c r="Q64" s="266"/>
      <c r="R64" s="267"/>
    </row>
    <row r="65" spans="1:18" s="279" customFormat="1" ht="27.4" customHeight="1" x14ac:dyDescent="0.25">
      <c r="A65" s="269" t="s">
        <v>297</v>
      </c>
      <c r="B65" s="270">
        <f>B29*'Rateio Mensal'!M3</f>
        <v>3086.6188301610282</v>
      </c>
      <c r="C65" s="271">
        <f>C29*'Rateio Mensal'!C3</f>
        <v>2916.5220644687734</v>
      </c>
      <c r="D65" s="189">
        <f>B65-C65</f>
        <v>170.09676569225485</v>
      </c>
      <c r="E65" s="288">
        <f>C65/B65</f>
        <v>0.94489220242222749</v>
      </c>
      <c r="F65" s="270">
        <f>F29*'Rateio Mensal'!M3</f>
        <v>3086.6188301610282</v>
      </c>
      <c r="G65" s="271">
        <f>G29*'Rateio Mensal'!G3</f>
        <v>0</v>
      </c>
      <c r="H65" s="272"/>
      <c r="I65" s="298"/>
      <c r="J65" s="317">
        <f>J29*'Rateio Mensal'!M4</f>
        <v>24634.615844276708</v>
      </c>
      <c r="K65" s="263">
        <f>B65</f>
        <v>3086.6188301610282</v>
      </c>
      <c r="L65" s="274">
        <f>C65</f>
        <v>2916.5220644687734</v>
      </c>
      <c r="M65" s="275"/>
      <c r="N65" s="273"/>
      <c r="O65" s="275"/>
      <c r="P65" s="276"/>
      <c r="Q65" s="277"/>
      <c r="R65" s="278"/>
    </row>
    <row r="66" spans="1:18" s="349" customFormat="1" ht="27.4" customHeight="1" x14ac:dyDescent="0.25">
      <c r="A66" s="360" t="s">
        <v>231</v>
      </c>
      <c r="B66" s="565">
        <f>B61-B64-B65</f>
        <v>93028.519615328551</v>
      </c>
      <c r="C66" s="340">
        <f>C61-C64-C65</f>
        <v>-15133.331356239618</v>
      </c>
      <c r="D66" s="340"/>
      <c r="E66" s="341"/>
      <c r="F66" s="565">
        <f>F61-F64-F65</f>
        <v>95333.290240666916</v>
      </c>
      <c r="G66" s="340">
        <f>G61-G64-G65</f>
        <v>0</v>
      </c>
      <c r="H66" s="340"/>
      <c r="I66" s="341"/>
      <c r="J66" s="343">
        <f>J61-J64-J65</f>
        <v>1312058.7638911568</v>
      </c>
      <c r="K66" s="344">
        <f>K61-K64-K65</f>
        <v>93028.519615328551</v>
      </c>
      <c r="L66" s="340">
        <f>L61-L64-L65</f>
        <v>-15133.331356239618</v>
      </c>
      <c r="M66" s="345"/>
      <c r="N66" s="346"/>
      <c r="O66" s="344"/>
      <c r="P66" s="342"/>
      <c r="Q66" s="378"/>
      <c r="R66" s="348"/>
    </row>
    <row r="67" spans="1:18" s="377" customFormat="1" ht="27.4" customHeight="1" x14ac:dyDescent="0.25">
      <c r="A67" s="374" t="s">
        <v>232</v>
      </c>
      <c r="B67" s="283">
        <f>B66/B54</f>
        <v>0.36934399663979572</v>
      </c>
      <c r="C67" s="405">
        <f>C66/C54</f>
        <v>-0.12573120372422175</v>
      </c>
      <c r="D67" s="227"/>
      <c r="E67" s="375"/>
      <c r="F67" s="283">
        <f>F66/F54</f>
        <v>0.37849445069002019</v>
      </c>
      <c r="G67" s="405">
        <f>G66/G54</f>
        <v>0</v>
      </c>
      <c r="H67" s="227"/>
      <c r="I67" s="375"/>
      <c r="J67" s="318">
        <f>J66/J54</f>
        <v>0.43409719020006576</v>
      </c>
      <c r="K67" s="280">
        <f>K66/K54</f>
        <v>0.36934399663979572</v>
      </c>
      <c r="L67" s="405">
        <f>L66/L54</f>
        <v>-0.12573120372422175</v>
      </c>
      <c r="M67" s="282"/>
      <c r="N67" s="283"/>
      <c r="O67" s="282"/>
      <c r="P67" s="284"/>
      <c r="Q67" s="378"/>
      <c r="R67" s="376"/>
    </row>
    <row r="68" spans="1:18" s="373" customFormat="1" ht="27.4" customHeight="1" x14ac:dyDescent="0.25">
      <c r="A68" s="260" t="s">
        <v>233</v>
      </c>
      <c r="B68" s="261">
        <f>B66*10%</f>
        <v>9302.8519615328551</v>
      </c>
      <c r="C68" s="261">
        <f>C66*10%</f>
        <v>-1513.3331356239619</v>
      </c>
      <c r="D68" s="261"/>
      <c r="E68" s="297"/>
      <c r="F68" s="261">
        <f>F66*10%</f>
        <v>9533.329024066692</v>
      </c>
      <c r="G68" s="261">
        <f>G66*10%</f>
        <v>0</v>
      </c>
      <c r="H68" s="261"/>
      <c r="I68" s="297"/>
      <c r="J68" s="372">
        <f>J66*10%</f>
        <v>131205.87638911567</v>
      </c>
      <c r="K68" s="261">
        <f>K66*10%</f>
        <v>9302.8519615328551</v>
      </c>
      <c r="L68" s="261">
        <f>L66*10%</f>
        <v>-1513.3331356239619</v>
      </c>
      <c r="M68" s="262"/>
      <c r="N68" s="262"/>
      <c r="O68" s="262"/>
      <c r="P68" s="262"/>
      <c r="Q68" s="378"/>
      <c r="R68" s="267"/>
    </row>
    <row r="69" spans="1:18" customFormat="1" ht="27.4" customHeight="1" x14ac:dyDescent="0.25">
      <c r="B69" s="58"/>
      <c r="F69" s="58"/>
    </row>
    <row r="70" spans="1:18" s="250" customFormat="1" ht="27.4" customHeight="1" x14ac:dyDescent="0.35">
      <c r="A70" s="246"/>
      <c r="B70" s="657" t="s">
        <v>247</v>
      </c>
      <c r="C70" s="658"/>
      <c r="D70" s="659"/>
      <c r="E70" s="247"/>
      <c r="F70" s="654" t="s">
        <v>34</v>
      </c>
      <c r="G70" s="655"/>
      <c r="H70" s="655"/>
      <c r="I70" s="655"/>
      <c r="J70" s="311"/>
      <c r="K70" s="248"/>
      <c r="L70" s="248"/>
      <c r="M70" s="248"/>
      <c r="N70" s="249"/>
      <c r="O70" s="248"/>
      <c r="P70" s="248"/>
      <c r="R70" s="251"/>
    </row>
    <row r="71" spans="1:18" ht="27.4" customHeight="1" x14ac:dyDescent="0.2">
      <c r="A71" s="252" t="s">
        <v>304</v>
      </c>
      <c r="B71" s="145" t="s">
        <v>222</v>
      </c>
      <c r="C71" s="145" t="s">
        <v>239</v>
      </c>
      <c r="D71" s="145" t="s">
        <v>291</v>
      </c>
      <c r="E71" s="295" t="s">
        <v>300</v>
      </c>
      <c r="F71" s="630" t="s">
        <v>222</v>
      </c>
      <c r="G71" s="630" t="s">
        <v>239</v>
      </c>
      <c r="H71" s="630" t="s">
        <v>291</v>
      </c>
      <c r="I71" s="631" t="s">
        <v>300</v>
      </c>
      <c r="J71" s="299" t="s">
        <v>292</v>
      </c>
      <c r="K71" s="147" t="s">
        <v>293</v>
      </c>
      <c r="L71" s="147" t="s">
        <v>239</v>
      </c>
      <c r="M71" s="147" t="s">
        <v>294</v>
      </c>
      <c r="N71" s="148" t="s">
        <v>300</v>
      </c>
      <c r="O71" s="149" t="s">
        <v>295</v>
      </c>
      <c r="P71" s="149"/>
      <c r="R71" s="150"/>
    </row>
    <row r="72" spans="1:18" s="349" customFormat="1" ht="27.4" customHeight="1" x14ac:dyDescent="0.25">
      <c r="A72" s="339" t="s">
        <v>296</v>
      </c>
      <c r="B72" s="565">
        <f>($B$3/4)</f>
        <v>167916.66750000001</v>
      </c>
      <c r="C72" s="573">
        <f>116562-('Resumo_Recebidas 2025_2026'!M136+'Resumo_Recebidas 2025_2026'!M153)</f>
        <v>86846.334948100004</v>
      </c>
      <c r="D72" s="340">
        <f>C72-B72</f>
        <v>-81070.332551900006</v>
      </c>
      <c r="E72" s="341">
        <f>C72/B72</f>
        <v>0.51719901449390071</v>
      </c>
      <c r="F72" s="565">
        <f>B72</f>
        <v>167916.66750000001</v>
      </c>
      <c r="G72" s="573">
        <f>68404-('Resumo_Recebidas 2025_2026'!M144+'Resumo_Recebidas 2025_2026'!M155)</f>
        <v>61972.317999999999</v>
      </c>
      <c r="H72" s="340">
        <f>G72-F72</f>
        <v>-105944.34950000001</v>
      </c>
      <c r="I72" s="341">
        <f>G72/F72</f>
        <v>0.36906591181605003</v>
      </c>
      <c r="J72" s="343">
        <f>($J$3/4)</f>
        <v>2015000.01</v>
      </c>
      <c r="K72" s="344">
        <f>B72</f>
        <v>167916.66750000001</v>
      </c>
      <c r="L72" s="344">
        <f>C72</f>
        <v>86846.334948100004</v>
      </c>
      <c r="M72" s="345">
        <f>L72-K72</f>
        <v>-81070.332551900006</v>
      </c>
      <c r="N72" s="346">
        <f>L72/K72</f>
        <v>0.51719901449390071</v>
      </c>
      <c r="O72" s="344">
        <f>J72-L72</f>
        <v>1928153.6750519001</v>
      </c>
      <c r="P72" s="342"/>
      <c r="Q72" s="347"/>
      <c r="R72" s="348"/>
    </row>
    <row r="73" spans="1:18" customFormat="1" ht="27.4" customHeight="1" x14ac:dyDescent="0.25">
      <c r="B73" s="58"/>
      <c r="F73" s="58"/>
    </row>
    <row r="74" spans="1:18" s="328" customFormat="1" ht="27.4" customHeight="1" x14ac:dyDescent="0.25">
      <c r="A74" s="320" t="s">
        <v>224</v>
      </c>
      <c r="B74" s="321" t="s">
        <v>222</v>
      </c>
      <c r="C74" s="321" t="s">
        <v>239</v>
      </c>
      <c r="D74" s="322" t="s">
        <v>291</v>
      </c>
      <c r="E74" s="323" t="s">
        <v>300</v>
      </c>
      <c r="F74" s="630" t="s">
        <v>222</v>
      </c>
      <c r="G74" s="630" t="s">
        <v>239</v>
      </c>
      <c r="H74" s="630" t="s">
        <v>291</v>
      </c>
      <c r="I74" s="631" t="s">
        <v>300</v>
      </c>
      <c r="J74" s="324" t="s">
        <v>292</v>
      </c>
      <c r="K74" s="325" t="s">
        <v>293</v>
      </c>
      <c r="L74" s="325" t="s">
        <v>239</v>
      </c>
      <c r="M74" s="325" t="s">
        <v>294</v>
      </c>
      <c r="N74" s="325" t="s">
        <v>300</v>
      </c>
      <c r="O74" s="325" t="s">
        <v>295</v>
      </c>
      <c r="P74" s="326"/>
      <c r="Q74" s="327"/>
    </row>
    <row r="75" spans="1:18" s="349" customFormat="1" ht="27.4" customHeight="1" x14ac:dyDescent="0.25">
      <c r="A75" s="339" t="s">
        <v>301</v>
      </c>
      <c r="B75" s="565">
        <f>+B11</f>
        <v>62184.360000000008</v>
      </c>
      <c r="C75" s="340">
        <f>'Base_Resultado Mensal_V2'!C58</f>
        <v>62013.17</v>
      </c>
      <c r="D75" s="340">
        <f>+B75-C75</f>
        <v>171.1900000000096</v>
      </c>
      <c r="E75" s="341">
        <f t="shared" ref="E75:E78" si="19">(C75/B75)-1</f>
        <v>-2.752943022972465E-3</v>
      </c>
      <c r="F75" s="565">
        <f>+F11</f>
        <v>60584.360000000008</v>
      </c>
      <c r="G75" s="340"/>
      <c r="H75" s="340">
        <f>+F75-G75</f>
        <v>60584.360000000008</v>
      </c>
      <c r="I75" s="341">
        <f>(G75/F75)-1</f>
        <v>-1</v>
      </c>
      <c r="J75" s="343">
        <f>'Base_Resultado Mensal_V2'!B58</f>
        <v>123807.51000000001</v>
      </c>
      <c r="K75" s="344">
        <f>B75</f>
        <v>62184.360000000008</v>
      </c>
      <c r="L75" s="344">
        <f>C75</f>
        <v>62013.17</v>
      </c>
      <c r="M75" s="345">
        <f>K75-L75</f>
        <v>171.1900000000096</v>
      </c>
      <c r="N75" s="346">
        <f>L75/K75</f>
        <v>0.99724705697702754</v>
      </c>
      <c r="O75" s="344">
        <f>J75-L75</f>
        <v>61794.340000000011</v>
      </c>
      <c r="P75" s="342"/>
      <c r="Q75" s="347">
        <f>L75</f>
        <v>62013.17</v>
      </c>
      <c r="R75" s="348">
        <f>L75-Q75</f>
        <v>0</v>
      </c>
    </row>
    <row r="76" spans="1:18" s="450" customFormat="1" ht="27.4" customHeight="1" x14ac:dyDescent="0.25">
      <c r="A76" s="442" t="str">
        <f>A12</f>
        <v>Participação/comissão - Arbitragem</v>
      </c>
      <c r="B76" s="566"/>
      <c r="C76" s="443">
        <f>C12</f>
        <v>0</v>
      </c>
      <c r="D76" s="443"/>
      <c r="E76" s="444"/>
      <c r="F76" s="566"/>
      <c r="G76" s="443"/>
      <c r="H76" s="443"/>
      <c r="I76" s="633"/>
      <c r="J76" s="635"/>
      <c r="K76" s="446"/>
      <c r="L76" s="344">
        <f>C76</f>
        <v>0</v>
      </c>
      <c r="M76" s="447"/>
      <c r="N76" s="444"/>
      <c r="O76" s="446"/>
      <c r="P76" s="445"/>
      <c r="Q76" s="451"/>
      <c r="R76" s="449"/>
    </row>
    <row r="77" spans="1:18" s="196" customFormat="1" ht="27.4" customHeight="1" x14ac:dyDescent="0.25">
      <c r="A77" s="188" t="s">
        <v>302</v>
      </c>
      <c r="B77" s="253">
        <f>'Orçamento 2026'!D193</f>
        <v>1901.49</v>
      </c>
      <c r="C77" s="189">
        <f>+'Base_Resultado Mensal_V2'!C202</f>
        <v>146</v>
      </c>
      <c r="D77" s="189">
        <f t="shared" ref="D77" si="20">+B77-C77</f>
        <v>1755.49</v>
      </c>
      <c r="E77" s="288">
        <f t="shared" si="19"/>
        <v>-0.92321810790485359</v>
      </c>
      <c r="F77" s="253">
        <f>'Base_Resultado Mensal_V2'!D202</f>
        <v>1429.2233333333334</v>
      </c>
      <c r="G77" s="189"/>
      <c r="H77" s="189">
        <f>+F77-G77</f>
        <v>1429.2233333333334</v>
      </c>
      <c r="I77" s="288">
        <f>(G77/F77)-1</f>
        <v>-1</v>
      </c>
      <c r="J77" s="312">
        <f>'Base_Resultado Mensal_V2'!B202</f>
        <v>1575.2233333333334</v>
      </c>
      <c r="K77" s="205">
        <f>B77</f>
        <v>1901.49</v>
      </c>
      <c r="L77" s="191">
        <f>C77</f>
        <v>146</v>
      </c>
      <c r="M77" s="191">
        <f t="shared" ref="M77:M78" si="21">K77-L77</f>
        <v>1755.49</v>
      </c>
      <c r="N77" s="192">
        <f>L77/K77</f>
        <v>7.6781892095146437E-2</v>
      </c>
      <c r="O77" s="191">
        <f>J77-L77</f>
        <v>1429.2233333333334</v>
      </c>
      <c r="P77" s="254"/>
      <c r="Q77" s="195">
        <f>L77</f>
        <v>146</v>
      </c>
      <c r="R77" s="206">
        <f>L77-Q77</f>
        <v>0</v>
      </c>
    </row>
    <row r="78" spans="1:18" s="196" customFormat="1" ht="27.4" customHeight="1" x14ac:dyDescent="0.25">
      <c r="A78" s="188" t="s">
        <v>305</v>
      </c>
      <c r="B78" s="253">
        <f>(B13-B59)*'Rateio Mensal'!M4</f>
        <v>25223.353926356918</v>
      </c>
      <c r="C78" s="255">
        <f>'Rateio Mensal'!I4</f>
        <v>29858.035814393879</v>
      </c>
      <c r="D78" s="189">
        <f>+B78-C78</f>
        <v>-4634.681888036961</v>
      </c>
      <c r="E78" s="288">
        <f t="shared" si="19"/>
        <v>0.18374566291098948</v>
      </c>
      <c r="F78" s="253">
        <f>(F13-F59)*'Rateio Mensal'!M4</f>
        <v>24688.107639917591</v>
      </c>
      <c r="G78" s="255"/>
      <c r="H78" s="189">
        <f>+F78-G78</f>
        <v>24688.107639917591</v>
      </c>
      <c r="I78" s="288">
        <f>(G78/F78)-1</f>
        <v>-1</v>
      </c>
      <c r="J78" s="313">
        <f>(J13-J21)*'Rateio Mensal'!M2</f>
        <v>453316.7139374828</v>
      </c>
      <c r="K78" s="205">
        <f>B78</f>
        <v>25223.353926356918</v>
      </c>
      <c r="L78" s="191">
        <f>C78</f>
        <v>29858.035814393879</v>
      </c>
      <c r="M78" s="191">
        <f t="shared" si="21"/>
        <v>-4634.681888036961</v>
      </c>
      <c r="N78" s="192">
        <f>L78/K78</f>
        <v>1.1837456629109895</v>
      </c>
      <c r="O78" s="191">
        <f>J78-L78</f>
        <v>423458.6781230889</v>
      </c>
      <c r="P78" s="254"/>
      <c r="Q78" s="195">
        <f>L78</f>
        <v>29858.035814393879</v>
      </c>
      <c r="R78" s="206">
        <f>L78-Q78</f>
        <v>0</v>
      </c>
    </row>
    <row r="79" spans="1:18" s="371" customFormat="1" ht="27.4" customHeight="1" x14ac:dyDescent="0.25">
      <c r="A79" s="366" t="s">
        <v>228</v>
      </c>
      <c r="B79" s="367">
        <f>B72-B75-B77-B78</f>
        <v>78607.463573643065</v>
      </c>
      <c r="C79" s="367">
        <f>C72-C75-C77-C78-C76</f>
        <v>-5170.8708662938734</v>
      </c>
      <c r="D79" s="367"/>
      <c r="E79" s="368"/>
      <c r="F79" s="367">
        <f>F72-F75-F77-F78</f>
        <v>81214.976526749073</v>
      </c>
      <c r="G79" s="367">
        <f>G72-G75-G77-G78-G76</f>
        <v>61972.317999999999</v>
      </c>
      <c r="H79" s="367"/>
      <c r="I79" s="368"/>
      <c r="J79" s="314">
        <f>+J72-(J75+J77+J78)</f>
        <v>1436300.5627291838</v>
      </c>
      <c r="K79" s="257">
        <f>+K72-(K75+K77+K78)</f>
        <v>78607.463573643094</v>
      </c>
      <c r="L79" s="367">
        <f>L72-L75-L77-L78-L76</f>
        <v>-5170.8708662938734</v>
      </c>
      <c r="M79" s="191"/>
      <c r="N79" s="192"/>
      <c r="O79" s="191"/>
      <c r="P79" s="258"/>
      <c r="Q79" s="378" t="e">
        <f>C79+#REF!+#REF!+#REF!+#REF!+#REF!+#REF!+#REF!+#REF!+#REF!+#REF!+#REF!</f>
        <v>#REF!</v>
      </c>
      <c r="R79" s="370" t="e">
        <f>L79-Q79</f>
        <v>#REF!</v>
      </c>
    </row>
    <row r="80" spans="1:18" s="371" customFormat="1" ht="27.4" customHeight="1" x14ac:dyDescent="0.25">
      <c r="A80" s="366" t="s">
        <v>229</v>
      </c>
      <c r="B80" s="235">
        <f>B79/B72</f>
        <v>0.46813377578281834</v>
      </c>
      <c r="C80" s="235">
        <f>C79/C72</f>
        <v>-5.9540461544911744E-2</v>
      </c>
      <c r="D80" s="367"/>
      <c r="E80" s="368"/>
      <c r="F80" s="235">
        <f>F79/F72</f>
        <v>0.48366238882598755</v>
      </c>
      <c r="G80" s="235">
        <f>G79/G72</f>
        <v>1</v>
      </c>
      <c r="H80" s="367"/>
      <c r="I80" s="368"/>
      <c r="J80" s="315">
        <f>J79/J72</f>
        <v>0.71280424595590142</v>
      </c>
      <c r="K80" s="237">
        <f>K79/K72</f>
        <v>0.46813377578281851</v>
      </c>
      <c r="L80" s="237">
        <f>L79/L72</f>
        <v>-5.9540461544911744E-2</v>
      </c>
      <c r="M80" s="236"/>
      <c r="N80" s="235"/>
      <c r="O80" s="236"/>
      <c r="P80" s="259"/>
      <c r="R80" s="370"/>
    </row>
    <row r="81" spans="1:18" customFormat="1" ht="27.4" customHeight="1" x14ac:dyDescent="0.25">
      <c r="B81" s="58"/>
      <c r="F81" s="58"/>
    </row>
    <row r="82" spans="1:18" s="268" customFormat="1" ht="27.4" customHeight="1" x14ac:dyDescent="0.25">
      <c r="A82" s="260" t="s">
        <v>185</v>
      </c>
      <c r="B82" s="261">
        <f>B72*$A$34</f>
        <v>25187.500125000002</v>
      </c>
      <c r="C82" s="261">
        <f>C72*$A$34</f>
        <v>13026.950242215</v>
      </c>
      <c r="D82" s="189">
        <f>(B82-C82)</f>
        <v>12160.549882785002</v>
      </c>
      <c r="E82" s="288">
        <f>C82/B82</f>
        <v>0.5171990144939006</v>
      </c>
      <c r="F82" s="261">
        <f>F72*$A$34</f>
        <v>25187.500125000002</v>
      </c>
      <c r="G82" s="261">
        <f>G72*$A$34</f>
        <v>9295.8477000000003</v>
      </c>
      <c r="H82" s="261"/>
      <c r="I82" s="297"/>
      <c r="J82" s="316">
        <f>J72*$A$34</f>
        <v>302250.00150000001</v>
      </c>
      <c r="K82" s="263">
        <f>B82</f>
        <v>25187.500125000002</v>
      </c>
      <c r="L82" s="264">
        <f>L72*$A$34</f>
        <v>13026.950242215</v>
      </c>
      <c r="M82" s="265"/>
      <c r="N82" s="262"/>
      <c r="O82" s="265"/>
      <c r="P82" s="256"/>
      <c r="Q82" s="266" t="e">
        <f>C82+#REF!+#REF!+#REF!+#REF!+#REF!</f>
        <v>#REF!</v>
      </c>
      <c r="R82" s="267"/>
    </row>
    <row r="83" spans="1:18" s="279" customFormat="1" ht="27.4" customHeight="1" x14ac:dyDescent="0.25">
      <c r="A83" s="269" t="s">
        <v>297</v>
      </c>
      <c r="B83" s="270">
        <f>B29*'Rateio Mensal'!M4</f>
        <v>2052.8846536897258</v>
      </c>
      <c r="C83" s="271">
        <f>C29*'Rateio Mensal'!C4</f>
        <v>2378.4891748600344</v>
      </c>
      <c r="D83" s="189">
        <f>B83-C83</f>
        <v>-325.60452117030854</v>
      </c>
      <c r="E83" s="288">
        <f>C83/B83</f>
        <v>1.1586082883834157</v>
      </c>
      <c r="F83" s="270">
        <f>F29*'Rateio Mensal'!M4</f>
        <v>2052.8846536897258</v>
      </c>
      <c r="G83" s="271">
        <f>G29*'Rateio Mensal'!G4</f>
        <v>0</v>
      </c>
      <c r="H83" s="272"/>
      <c r="I83" s="298"/>
      <c r="J83" s="317">
        <f>J29*'Rateio Mensal'!M2</f>
        <v>35729.958193790939</v>
      </c>
      <c r="K83" s="263">
        <f>B83</f>
        <v>2052.8846536897258</v>
      </c>
      <c r="L83" s="274">
        <f>C83</f>
        <v>2378.4891748600344</v>
      </c>
      <c r="M83" s="275"/>
      <c r="N83" s="273"/>
      <c r="O83" s="275"/>
      <c r="P83" s="276"/>
      <c r="Q83" s="277"/>
      <c r="R83" s="278"/>
    </row>
    <row r="84" spans="1:18" s="349" customFormat="1" ht="27.4" customHeight="1" x14ac:dyDescent="0.25">
      <c r="A84" s="360" t="s">
        <v>231</v>
      </c>
      <c r="B84" s="565">
        <f>B79-B82-B83</f>
        <v>51367.078794953333</v>
      </c>
      <c r="C84" s="610">
        <f>C79-C82-C83</f>
        <v>-20576.310283368908</v>
      </c>
      <c r="D84" s="340"/>
      <c r="E84" s="341"/>
      <c r="F84" s="565">
        <f>F79-F82-F83</f>
        <v>53974.591748059342</v>
      </c>
      <c r="G84" s="610">
        <f>G79-G82-G83</f>
        <v>52676.470300000001</v>
      </c>
      <c r="H84" s="340"/>
      <c r="I84" s="341"/>
      <c r="J84" s="343">
        <f>J79-J82-J83</f>
        <v>1098320.6030353929</v>
      </c>
      <c r="K84" s="344">
        <f>K79-K82-K83</f>
        <v>51367.078794953362</v>
      </c>
      <c r="L84" s="610">
        <f>L79-L82-L83</f>
        <v>-20576.310283368908</v>
      </c>
      <c r="M84" s="345"/>
      <c r="N84" s="346"/>
      <c r="O84" s="344"/>
      <c r="P84" s="342"/>
      <c r="Q84" s="378"/>
      <c r="R84" s="348"/>
    </row>
    <row r="85" spans="1:18" s="377" customFormat="1" ht="27.4" customHeight="1" x14ac:dyDescent="0.25">
      <c r="A85" s="374" t="s">
        <v>232</v>
      </c>
      <c r="B85" s="283">
        <f>B84/B72</f>
        <v>0.30590816003988008</v>
      </c>
      <c r="C85" s="405">
        <f>C84/C72</f>
        <v>-0.23692779085801904</v>
      </c>
      <c r="D85" s="227"/>
      <c r="E85" s="375"/>
      <c r="F85" s="283">
        <f>F84/F72</f>
        <v>0.3214367730830493</v>
      </c>
      <c r="G85" s="405">
        <f>G84/G72</f>
        <v>0.85</v>
      </c>
      <c r="H85" s="227"/>
      <c r="I85" s="375"/>
      <c r="J85" s="318">
        <f>J84/J72</f>
        <v>0.54507225686584138</v>
      </c>
      <c r="K85" s="280">
        <f>K84/K72</f>
        <v>0.30590816003988025</v>
      </c>
      <c r="L85" s="405">
        <f>L84/L72</f>
        <v>-0.23692779085801904</v>
      </c>
      <c r="M85" s="282"/>
      <c r="N85" s="283"/>
      <c r="O85" s="282"/>
      <c r="P85" s="284"/>
      <c r="Q85" s="378"/>
      <c r="R85" s="376"/>
    </row>
    <row r="86" spans="1:18" s="373" customFormat="1" ht="27.4" customHeight="1" x14ac:dyDescent="0.25">
      <c r="A86" s="260" t="s">
        <v>233</v>
      </c>
      <c r="B86" s="261">
        <f>B84*10%</f>
        <v>5136.7078794953341</v>
      </c>
      <c r="C86" s="611">
        <f>C84*10%</f>
        <v>-2057.6310283368907</v>
      </c>
      <c r="D86" s="261"/>
      <c r="E86" s="297"/>
      <c r="F86" s="261">
        <f>F84*10%</f>
        <v>5397.4591748059347</v>
      </c>
      <c r="G86" s="611">
        <f>G84*10%</f>
        <v>5267.6470300000001</v>
      </c>
      <c r="H86" s="261"/>
      <c r="I86" s="297"/>
      <c r="J86" s="372">
        <f>J84*10%</f>
        <v>109832.0603035393</v>
      </c>
      <c r="K86" s="261">
        <f>K84*10%</f>
        <v>5136.7078794953368</v>
      </c>
      <c r="L86" s="611">
        <f>L84*10%</f>
        <v>-2057.6310283368907</v>
      </c>
      <c r="M86" s="262"/>
      <c r="N86" s="262"/>
      <c r="O86" s="262"/>
      <c r="P86" s="262"/>
      <c r="Q86" s="378"/>
      <c r="R86" s="267"/>
    </row>
    <row r="87" spans="1:18" customFormat="1" ht="27.4" customHeight="1" x14ac:dyDescent="0.25">
      <c r="B87" s="58"/>
      <c r="F87" s="58"/>
    </row>
    <row r="88" spans="1:18" customFormat="1" ht="27.4" customHeight="1" x14ac:dyDescent="0.25">
      <c r="B88" s="58"/>
      <c r="F88" s="58"/>
      <c r="L88" s="465">
        <f>L86+L68+L50</f>
        <v>-8687.2360000000026</v>
      </c>
      <c r="Q88" s="465">
        <f>Q86+Q68+Q50</f>
        <v>0</v>
      </c>
    </row>
    <row r="89" spans="1:18" customFormat="1" ht="27.4" customHeight="1" x14ac:dyDescent="0.25">
      <c r="B89" s="58"/>
      <c r="F89" s="58"/>
    </row>
    <row r="90" spans="1:18" customFormat="1" ht="27.4" customHeight="1" x14ac:dyDescent="0.25">
      <c r="B90" s="58"/>
      <c r="F90" s="58"/>
    </row>
    <row r="91" spans="1:18" customFormat="1" ht="27.4" customHeight="1" x14ac:dyDescent="0.25">
      <c r="B91" s="58"/>
      <c r="F91" s="58"/>
    </row>
    <row r="92" spans="1:18" customFormat="1" ht="27.4" customHeight="1" x14ac:dyDescent="0.25">
      <c r="B92" s="58"/>
      <c r="F92" s="58"/>
    </row>
    <row r="93" spans="1:18" customFormat="1" ht="27.4" customHeight="1" x14ac:dyDescent="0.25">
      <c r="B93" s="58"/>
      <c r="F93" s="58"/>
    </row>
    <row r="94" spans="1:18" customFormat="1" ht="27.4" customHeight="1" x14ac:dyDescent="0.25">
      <c r="B94" s="58"/>
      <c r="F94" s="58"/>
    </row>
    <row r="95" spans="1:18" customFormat="1" ht="27.4" customHeight="1" x14ac:dyDescent="0.25">
      <c r="B95" s="58"/>
      <c r="F95" s="58"/>
    </row>
    <row r="96" spans="1:18" customFormat="1" ht="27.4" customHeight="1" x14ac:dyDescent="0.25">
      <c r="B96" s="58"/>
      <c r="F96" s="58"/>
    </row>
    <row r="97" spans="2:6" customFormat="1" ht="27.4" customHeight="1" x14ac:dyDescent="0.25">
      <c r="B97" s="58"/>
      <c r="F97" s="58"/>
    </row>
    <row r="98" spans="2:6" customFormat="1" ht="27.4" customHeight="1" x14ac:dyDescent="0.25">
      <c r="B98" s="58"/>
      <c r="F98" s="58"/>
    </row>
    <row r="99" spans="2:6" customFormat="1" ht="27.4" customHeight="1" x14ac:dyDescent="0.25">
      <c r="B99" s="58"/>
      <c r="F99" s="58"/>
    </row>
    <row r="100" spans="2:6" customFormat="1" ht="27.4" customHeight="1" x14ac:dyDescent="0.25">
      <c r="B100" s="58"/>
      <c r="F100" s="58"/>
    </row>
    <row r="101" spans="2:6" customFormat="1" ht="27.4" customHeight="1" x14ac:dyDescent="0.25">
      <c r="B101" s="58"/>
      <c r="F101" s="58"/>
    </row>
    <row r="102" spans="2:6" customFormat="1" ht="27.4" customHeight="1" x14ac:dyDescent="0.25">
      <c r="B102" s="58"/>
      <c r="F102" s="58"/>
    </row>
    <row r="103" spans="2:6" customFormat="1" ht="27.4" customHeight="1" x14ac:dyDescent="0.25">
      <c r="B103" s="58"/>
      <c r="F103" s="58"/>
    </row>
    <row r="104" spans="2:6" customFormat="1" ht="27.4" customHeight="1" x14ac:dyDescent="0.25">
      <c r="B104" s="58"/>
      <c r="F104" s="58"/>
    </row>
    <row r="105" spans="2:6" customFormat="1" ht="27.4" customHeight="1" x14ac:dyDescent="0.25">
      <c r="B105" s="58"/>
      <c r="F105" s="58"/>
    </row>
    <row r="106" spans="2:6" customFormat="1" ht="27.4" customHeight="1" x14ac:dyDescent="0.25">
      <c r="B106" s="58"/>
      <c r="F106" s="58"/>
    </row>
    <row r="107" spans="2:6" customFormat="1" ht="27.4" customHeight="1" x14ac:dyDescent="0.25">
      <c r="B107" s="58"/>
      <c r="F107" s="58"/>
    </row>
    <row r="108" spans="2:6" customFormat="1" ht="27.4" customHeight="1" x14ac:dyDescent="0.25">
      <c r="B108" s="58"/>
      <c r="F108" s="58"/>
    </row>
    <row r="109" spans="2:6" customFormat="1" ht="27.4" customHeight="1" x14ac:dyDescent="0.25">
      <c r="B109" s="58"/>
      <c r="F109" s="58"/>
    </row>
    <row r="110" spans="2:6" customFormat="1" ht="27.4" customHeight="1" x14ac:dyDescent="0.25">
      <c r="B110" s="58"/>
      <c r="F110" s="58"/>
    </row>
    <row r="111" spans="2:6" customFormat="1" ht="27.4" customHeight="1" x14ac:dyDescent="0.25">
      <c r="B111" s="58"/>
      <c r="F111" s="58"/>
    </row>
    <row r="112" spans="2:6" customFormat="1" ht="27.4" customHeight="1" x14ac:dyDescent="0.25">
      <c r="B112" s="58"/>
      <c r="F112" s="58"/>
    </row>
    <row r="113" spans="2:6" customFormat="1" ht="27.4" customHeight="1" x14ac:dyDescent="0.25">
      <c r="B113" s="58"/>
      <c r="F113" s="58"/>
    </row>
    <row r="114" spans="2:6" customFormat="1" ht="27.4" customHeight="1" x14ac:dyDescent="0.25">
      <c r="B114" s="58"/>
      <c r="F114" s="58"/>
    </row>
    <row r="115" spans="2:6" customFormat="1" ht="27.4" customHeight="1" x14ac:dyDescent="0.25">
      <c r="B115" s="58"/>
      <c r="F115" s="58"/>
    </row>
    <row r="116" spans="2:6" customFormat="1" ht="27.4" customHeight="1" x14ac:dyDescent="0.25">
      <c r="B116" s="58"/>
      <c r="F116" s="58"/>
    </row>
    <row r="117" spans="2:6" customFormat="1" ht="27.4" customHeight="1" x14ac:dyDescent="0.25">
      <c r="B117" s="58"/>
      <c r="F117" s="58"/>
    </row>
    <row r="118" spans="2:6" customFormat="1" ht="27.4" customHeight="1" x14ac:dyDescent="0.25">
      <c r="B118" s="58"/>
      <c r="F118" s="58"/>
    </row>
    <row r="119" spans="2:6" customFormat="1" ht="27.4" customHeight="1" x14ac:dyDescent="0.25">
      <c r="B119" s="58"/>
      <c r="F119" s="58"/>
    </row>
    <row r="120" spans="2:6" customFormat="1" ht="27.4" customHeight="1" x14ac:dyDescent="0.25">
      <c r="B120" s="58"/>
      <c r="F120" s="58"/>
    </row>
    <row r="121" spans="2:6" customFormat="1" ht="27.4" customHeight="1" x14ac:dyDescent="0.25">
      <c r="B121" s="58"/>
      <c r="F121" s="58"/>
    </row>
    <row r="122" spans="2:6" customFormat="1" ht="27.4" customHeight="1" x14ac:dyDescent="0.25">
      <c r="B122" s="58"/>
      <c r="F122" s="58"/>
    </row>
    <row r="123" spans="2:6" customFormat="1" ht="27.4" customHeight="1" x14ac:dyDescent="0.25">
      <c r="B123" s="58"/>
      <c r="F123" s="58"/>
    </row>
    <row r="124" spans="2:6" customFormat="1" ht="27.4" customHeight="1" x14ac:dyDescent="0.25">
      <c r="B124" s="58"/>
      <c r="F124" s="58"/>
    </row>
    <row r="125" spans="2:6" customFormat="1" ht="27.4" customHeight="1" x14ac:dyDescent="0.25">
      <c r="B125" s="58"/>
      <c r="F125" s="58"/>
    </row>
    <row r="126" spans="2:6" customFormat="1" ht="27.4" customHeight="1" x14ac:dyDescent="0.25">
      <c r="B126" s="58"/>
      <c r="F126" s="58"/>
    </row>
    <row r="127" spans="2:6" customFormat="1" ht="27.4" customHeight="1" x14ac:dyDescent="0.25">
      <c r="B127" s="58"/>
      <c r="F127" s="58"/>
    </row>
    <row r="128" spans="2:6" customFormat="1" ht="27.4" customHeight="1" x14ac:dyDescent="0.25">
      <c r="B128" s="58"/>
      <c r="F128" s="58"/>
    </row>
    <row r="129" spans="2:6" customFormat="1" ht="27.4" customHeight="1" x14ac:dyDescent="0.25">
      <c r="B129" s="58"/>
      <c r="F129" s="58"/>
    </row>
    <row r="130" spans="2:6" customFormat="1" ht="27.4" customHeight="1" x14ac:dyDescent="0.25">
      <c r="B130" s="58"/>
      <c r="F130" s="58"/>
    </row>
    <row r="131" spans="2:6" customFormat="1" ht="27.4" customHeight="1" x14ac:dyDescent="0.25">
      <c r="B131" s="58"/>
      <c r="F131" s="58"/>
    </row>
    <row r="132" spans="2:6" customFormat="1" ht="27.4" customHeight="1" x14ac:dyDescent="0.25">
      <c r="B132" s="58"/>
      <c r="F132" s="58"/>
    </row>
    <row r="133" spans="2:6" customFormat="1" ht="27.4" customHeight="1" x14ac:dyDescent="0.25">
      <c r="B133" s="58"/>
      <c r="F133" s="58"/>
    </row>
    <row r="134" spans="2:6" customFormat="1" ht="27.4" customHeight="1" x14ac:dyDescent="0.25">
      <c r="B134" s="58"/>
      <c r="F134" s="58"/>
    </row>
    <row r="135" spans="2:6" customFormat="1" ht="27.4" customHeight="1" x14ac:dyDescent="0.25">
      <c r="B135" s="58"/>
      <c r="F135" s="58"/>
    </row>
    <row r="136" spans="2:6" customFormat="1" ht="27.4" customHeight="1" x14ac:dyDescent="0.25">
      <c r="B136" s="58"/>
      <c r="F136" s="58"/>
    </row>
    <row r="137" spans="2:6" customFormat="1" ht="27.4" customHeight="1" x14ac:dyDescent="0.25">
      <c r="B137" s="58"/>
      <c r="F137" s="58"/>
    </row>
    <row r="138" spans="2:6" customFormat="1" ht="27.4" customHeight="1" x14ac:dyDescent="0.25">
      <c r="B138" s="58"/>
      <c r="F138" s="58"/>
    </row>
    <row r="139" spans="2:6" customFormat="1" ht="27.4" customHeight="1" x14ac:dyDescent="0.25">
      <c r="B139" s="58"/>
      <c r="F139" s="58"/>
    </row>
    <row r="140" spans="2:6" customFormat="1" ht="27.4" customHeight="1" x14ac:dyDescent="0.25">
      <c r="B140" s="58"/>
      <c r="F140" s="58"/>
    </row>
    <row r="141" spans="2:6" customFormat="1" ht="27.4" customHeight="1" x14ac:dyDescent="0.25">
      <c r="B141" s="58"/>
      <c r="F141" s="58"/>
    </row>
    <row r="142" spans="2:6" customFormat="1" ht="27.4" customHeight="1" x14ac:dyDescent="0.25">
      <c r="B142" s="58"/>
      <c r="F142" s="58"/>
    </row>
    <row r="143" spans="2:6" customFormat="1" ht="27.4" customHeight="1" x14ac:dyDescent="0.25">
      <c r="B143" s="58"/>
      <c r="F143" s="58"/>
    </row>
    <row r="144" spans="2:6" customFormat="1" ht="27.4" customHeight="1" x14ac:dyDescent="0.25">
      <c r="B144" s="58"/>
      <c r="F144" s="58"/>
    </row>
    <row r="145" spans="2:6" customFormat="1" ht="27.4" customHeight="1" x14ac:dyDescent="0.25">
      <c r="B145" s="58"/>
      <c r="F145" s="58"/>
    </row>
    <row r="146" spans="2:6" customFormat="1" ht="27.4" customHeight="1" x14ac:dyDescent="0.25">
      <c r="B146" s="58"/>
      <c r="F146" s="58"/>
    </row>
    <row r="147" spans="2:6" customFormat="1" ht="27.4" customHeight="1" x14ac:dyDescent="0.25">
      <c r="B147" s="58"/>
      <c r="F147" s="58"/>
    </row>
    <row r="148" spans="2:6" customFormat="1" ht="27.4" customHeight="1" x14ac:dyDescent="0.25">
      <c r="B148" s="58"/>
      <c r="F148" s="58"/>
    </row>
    <row r="149" spans="2:6" customFormat="1" ht="27.4" customHeight="1" x14ac:dyDescent="0.25">
      <c r="B149" s="58"/>
      <c r="F149" s="58"/>
    </row>
    <row r="150" spans="2:6" customFormat="1" ht="27.4" customHeight="1" x14ac:dyDescent="0.25">
      <c r="B150" s="58"/>
      <c r="F150" s="58"/>
    </row>
    <row r="151" spans="2:6" customFormat="1" ht="27.4" customHeight="1" x14ac:dyDescent="0.25">
      <c r="B151" s="58"/>
      <c r="F151" s="58"/>
    </row>
    <row r="152" spans="2:6" customFormat="1" ht="27.4" customHeight="1" x14ac:dyDescent="0.25">
      <c r="B152" s="58"/>
      <c r="F152" s="58"/>
    </row>
    <row r="153" spans="2:6" customFormat="1" ht="27.4" customHeight="1" x14ac:dyDescent="0.25">
      <c r="B153" s="58"/>
      <c r="F153" s="58"/>
    </row>
    <row r="154" spans="2:6" customFormat="1" ht="27.4" customHeight="1" x14ac:dyDescent="0.25">
      <c r="B154" s="58"/>
      <c r="F154" s="58"/>
    </row>
    <row r="155" spans="2:6" customFormat="1" ht="27.4" customHeight="1" x14ac:dyDescent="0.25">
      <c r="B155" s="58"/>
      <c r="F155" s="58"/>
    </row>
    <row r="156" spans="2:6" customFormat="1" ht="27.4" customHeight="1" x14ac:dyDescent="0.25">
      <c r="B156" s="58"/>
      <c r="F156" s="58"/>
    </row>
    <row r="157" spans="2:6" customFormat="1" ht="27.4" customHeight="1" x14ac:dyDescent="0.25">
      <c r="B157" s="58"/>
      <c r="F157" s="58"/>
    </row>
    <row r="158" spans="2:6" customFormat="1" ht="27.4" customHeight="1" x14ac:dyDescent="0.25">
      <c r="B158" s="58"/>
      <c r="F158" s="58"/>
    </row>
    <row r="159" spans="2:6" customFormat="1" ht="27.4" customHeight="1" x14ac:dyDescent="0.25">
      <c r="B159" s="58"/>
      <c r="F159" s="58"/>
    </row>
    <row r="160" spans="2:6" customFormat="1" ht="27.4" customHeight="1" x14ac:dyDescent="0.25">
      <c r="B160" s="58"/>
      <c r="F160" s="58"/>
    </row>
    <row r="161" spans="2:6" customFormat="1" ht="27.4" customHeight="1" x14ac:dyDescent="0.25">
      <c r="B161" s="58"/>
      <c r="F161" s="58"/>
    </row>
    <row r="162" spans="2:6" customFormat="1" ht="27.4" customHeight="1" x14ac:dyDescent="0.25">
      <c r="B162" s="58"/>
      <c r="F162" s="58"/>
    </row>
    <row r="163" spans="2:6" customFormat="1" ht="27.4" customHeight="1" x14ac:dyDescent="0.25">
      <c r="B163" s="58"/>
      <c r="F163" s="58"/>
    </row>
    <row r="164" spans="2:6" customFormat="1" ht="27.4" customHeight="1" x14ac:dyDescent="0.25">
      <c r="B164" s="58"/>
      <c r="F164" s="58"/>
    </row>
    <row r="165" spans="2:6" customFormat="1" ht="27.4" customHeight="1" x14ac:dyDescent="0.25">
      <c r="B165" s="58"/>
      <c r="F165" s="58"/>
    </row>
    <row r="166" spans="2:6" customFormat="1" ht="27.4" customHeight="1" x14ac:dyDescent="0.25">
      <c r="B166" s="58"/>
      <c r="F166" s="58"/>
    </row>
    <row r="167" spans="2:6" customFormat="1" ht="27.4" customHeight="1" x14ac:dyDescent="0.25">
      <c r="B167" s="58"/>
      <c r="F167" s="58"/>
    </row>
    <row r="168" spans="2:6" customFormat="1" ht="27.4" customHeight="1" x14ac:dyDescent="0.25">
      <c r="B168" s="58"/>
      <c r="F168" s="58"/>
    </row>
    <row r="169" spans="2:6" customFormat="1" ht="27.4" customHeight="1" x14ac:dyDescent="0.25">
      <c r="B169" s="58"/>
      <c r="F169" s="58"/>
    </row>
    <row r="170" spans="2:6" customFormat="1" ht="27.4" customHeight="1" x14ac:dyDescent="0.25">
      <c r="B170" s="58"/>
      <c r="F170" s="58"/>
    </row>
    <row r="171" spans="2:6" customFormat="1" ht="27.4" customHeight="1" x14ac:dyDescent="0.25">
      <c r="B171" s="58"/>
      <c r="F171" s="58"/>
    </row>
    <row r="172" spans="2:6" customFormat="1" ht="27.4" customHeight="1" x14ac:dyDescent="0.25">
      <c r="B172" s="58"/>
      <c r="F172" s="58"/>
    </row>
    <row r="173" spans="2:6" customFormat="1" ht="27.4" customHeight="1" x14ac:dyDescent="0.25">
      <c r="B173" s="58"/>
      <c r="F173" s="58"/>
    </row>
    <row r="174" spans="2:6" customFormat="1" ht="27.4" customHeight="1" x14ac:dyDescent="0.25">
      <c r="B174" s="58"/>
      <c r="F174" s="58"/>
    </row>
    <row r="175" spans="2:6" customFormat="1" ht="27.4" customHeight="1" x14ac:dyDescent="0.25">
      <c r="B175" s="58"/>
      <c r="F175" s="58"/>
    </row>
    <row r="176" spans="2:6" customFormat="1" ht="27.4" customHeight="1" x14ac:dyDescent="0.25">
      <c r="B176" s="58"/>
      <c r="F176" s="58"/>
    </row>
    <row r="177" spans="2:6" customFormat="1" ht="27.4" customHeight="1" x14ac:dyDescent="0.25">
      <c r="B177" s="58"/>
      <c r="F177" s="58"/>
    </row>
    <row r="178" spans="2:6" customFormat="1" ht="27.4" customHeight="1" x14ac:dyDescent="0.25">
      <c r="B178" s="58"/>
      <c r="F178" s="58"/>
    </row>
    <row r="179" spans="2:6" customFormat="1" ht="27.4" customHeight="1" x14ac:dyDescent="0.25">
      <c r="B179" s="58"/>
      <c r="F179" s="58"/>
    </row>
    <row r="180" spans="2:6" customFormat="1" ht="27.4" customHeight="1" x14ac:dyDescent="0.25">
      <c r="B180" s="58"/>
      <c r="F180" s="58"/>
    </row>
    <row r="181" spans="2:6" customFormat="1" ht="27.4" customHeight="1" x14ac:dyDescent="0.25">
      <c r="B181" s="58"/>
      <c r="F181" s="58"/>
    </row>
    <row r="182" spans="2:6" customFormat="1" ht="27.4" customHeight="1" x14ac:dyDescent="0.25">
      <c r="B182" s="58"/>
      <c r="F182" s="58"/>
    </row>
    <row r="183" spans="2:6" customFormat="1" ht="27.4" customHeight="1" x14ac:dyDescent="0.25">
      <c r="B183" s="58"/>
      <c r="F183" s="58"/>
    </row>
    <row r="184" spans="2:6" customFormat="1" ht="27.4" customHeight="1" x14ac:dyDescent="0.25">
      <c r="B184" s="58"/>
      <c r="F184" s="58"/>
    </row>
    <row r="185" spans="2:6" customFormat="1" ht="27.4" customHeight="1" x14ac:dyDescent="0.25">
      <c r="B185" s="58"/>
      <c r="F185" s="58"/>
    </row>
    <row r="186" spans="2:6" customFormat="1" ht="27.4" customHeight="1" x14ac:dyDescent="0.25">
      <c r="B186" s="58"/>
      <c r="F186" s="58"/>
    </row>
    <row r="187" spans="2:6" customFormat="1" ht="27.4" customHeight="1" x14ac:dyDescent="0.25">
      <c r="B187" s="58"/>
      <c r="F187" s="58"/>
    </row>
    <row r="188" spans="2:6" customFormat="1" ht="27.4" customHeight="1" x14ac:dyDescent="0.25">
      <c r="B188" s="58"/>
      <c r="F188" s="58"/>
    </row>
    <row r="189" spans="2:6" customFormat="1" ht="27.4" customHeight="1" x14ac:dyDescent="0.25">
      <c r="B189" s="58"/>
      <c r="F189" s="58"/>
    </row>
    <row r="190" spans="2:6" customFormat="1" ht="27.4" customHeight="1" x14ac:dyDescent="0.25">
      <c r="B190" s="58"/>
      <c r="F190" s="58"/>
    </row>
    <row r="191" spans="2:6" customFormat="1" ht="27.4" customHeight="1" x14ac:dyDescent="0.25">
      <c r="B191" s="58"/>
      <c r="F191" s="58"/>
    </row>
    <row r="192" spans="2:6" customFormat="1" ht="27.4" customHeight="1" x14ac:dyDescent="0.25">
      <c r="B192" s="58"/>
      <c r="F192" s="58"/>
    </row>
    <row r="193" spans="2:6" customFormat="1" ht="27.4" customHeight="1" x14ac:dyDescent="0.25">
      <c r="B193" s="58"/>
      <c r="F193" s="58"/>
    </row>
    <row r="194" spans="2:6" customFormat="1" ht="27.4" customHeight="1" x14ac:dyDescent="0.25">
      <c r="B194" s="58"/>
      <c r="F194" s="58"/>
    </row>
    <row r="195" spans="2:6" customFormat="1" ht="27.4" customHeight="1" x14ac:dyDescent="0.25">
      <c r="B195" s="58"/>
      <c r="F195" s="58"/>
    </row>
    <row r="196" spans="2:6" customFormat="1" ht="27.4" customHeight="1" x14ac:dyDescent="0.25">
      <c r="B196" s="58"/>
      <c r="F196" s="58"/>
    </row>
    <row r="197" spans="2:6" customFormat="1" ht="27.4" customHeight="1" x14ac:dyDescent="0.25">
      <c r="B197" s="58"/>
      <c r="F197" s="58"/>
    </row>
    <row r="198" spans="2:6" customFormat="1" ht="27.4" customHeight="1" x14ac:dyDescent="0.25">
      <c r="B198" s="58"/>
      <c r="F198" s="58"/>
    </row>
    <row r="199" spans="2:6" customFormat="1" ht="27.4" customHeight="1" x14ac:dyDescent="0.25">
      <c r="B199" s="58"/>
      <c r="F199" s="58"/>
    </row>
    <row r="200" spans="2:6" customFormat="1" ht="27.4" customHeight="1" x14ac:dyDescent="0.25">
      <c r="B200" s="58"/>
      <c r="F200" s="58"/>
    </row>
    <row r="201" spans="2:6" customFormat="1" ht="27.4" customHeight="1" x14ac:dyDescent="0.25">
      <c r="B201" s="58"/>
      <c r="F201" s="58"/>
    </row>
    <row r="202" spans="2:6" customFormat="1" ht="27.4" customHeight="1" x14ac:dyDescent="0.25">
      <c r="B202" s="58"/>
      <c r="F202" s="58"/>
    </row>
    <row r="203" spans="2:6" customFormat="1" ht="27.4" customHeight="1" x14ac:dyDescent="0.25">
      <c r="B203" s="58"/>
      <c r="F203" s="58"/>
    </row>
    <row r="204" spans="2:6" customFormat="1" ht="27.4" customHeight="1" x14ac:dyDescent="0.25">
      <c r="B204" s="58"/>
      <c r="F204" s="58"/>
    </row>
    <row r="205" spans="2:6" customFormat="1" ht="27.4" customHeight="1" x14ac:dyDescent="0.25">
      <c r="B205" s="58"/>
      <c r="F205" s="58"/>
    </row>
    <row r="206" spans="2:6" customFormat="1" ht="27.4" customHeight="1" x14ac:dyDescent="0.25">
      <c r="B206" s="58"/>
      <c r="F206" s="58"/>
    </row>
    <row r="207" spans="2:6" customFormat="1" ht="27.4" customHeight="1" x14ac:dyDescent="0.25">
      <c r="B207" s="58"/>
      <c r="F207" s="58"/>
    </row>
    <row r="208" spans="2:6" customFormat="1" ht="27.4" customHeight="1" x14ac:dyDescent="0.25">
      <c r="B208" s="58"/>
      <c r="F208" s="58"/>
    </row>
    <row r="209" spans="2:6" customFormat="1" ht="27.4" customHeight="1" x14ac:dyDescent="0.25">
      <c r="B209" s="58"/>
      <c r="F209" s="58"/>
    </row>
    <row r="210" spans="2:6" customFormat="1" ht="27.4" customHeight="1" x14ac:dyDescent="0.25">
      <c r="B210" s="58"/>
      <c r="F210" s="58"/>
    </row>
    <row r="211" spans="2:6" customFormat="1" ht="27.4" customHeight="1" x14ac:dyDescent="0.25">
      <c r="B211" s="58"/>
      <c r="F211" s="58"/>
    </row>
    <row r="212" spans="2:6" customFormat="1" ht="27.4" customHeight="1" x14ac:dyDescent="0.25">
      <c r="B212" s="58"/>
      <c r="F212" s="58"/>
    </row>
    <row r="213" spans="2:6" customFormat="1" ht="27.4" customHeight="1" x14ac:dyDescent="0.25">
      <c r="B213" s="58"/>
      <c r="F213" s="58"/>
    </row>
    <row r="214" spans="2:6" customFormat="1" ht="27.4" customHeight="1" x14ac:dyDescent="0.25">
      <c r="B214" s="58"/>
      <c r="F214" s="58"/>
    </row>
    <row r="215" spans="2:6" customFormat="1" ht="27.4" customHeight="1" x14ac:dyDescent="0.25">
      <c r="B215" s="58"/>
      <c r="F215" s="58"/>
    </row>
    <row r="216" spans="2:6" customFormat="1" ht="27.4" customHeight="1" x14ac:dyDescent="0.25">
      <c r="B216" s="58"/>
      <c r="F216" s="58"/>
    </row>
    <row r="217" spans="2:6" customFormat="1" ht="27.4" customHeight="1" x14ac:dyDescent="0.25">
      <c r="B217" s="58"/>
      <c r="F217" s="58"/>
    </row>
    <row r="218" spans="2:6" customFormat="1" ht="27.4" customHeight="1" x14ac:dyDescent="0.25">
      <c r="B218" s="58"/>
      <c r="F218" s="58"/>
    </row>
    <row r="219" spans="2:6" customFormat="1" ht="27.4" customHeight="1" x14ac:dyDescent="0.25">
      <c r="B219" s="58"/>
      <c r="F219" s="58"/>
    </row>
    <row r="220" spans="2:6" customFormat="1" ht="27.4" customHeight="1" x14ac:dyDescent="0.25">
      <c r="B220" s="58"/>
      <c r="F220" s="58"/>
    </row>
    <row r="221" spans="2:6" customFormat="1" ht="27.4" customHeight="1" x14ac:dyDescent="0.25">
      <c r="B221" s="58"/>
      <c r="F221" s="58"/>
    </row>
    <row r="222" spans="2:6" customFormat="1" ht="27.4" customHeight="1" x14ac:dyDescent="0.25">
      <c r="B222" s="58"/>
      <c r="F222" s="58"/>
    </row>
    <row r="223" spans="2:6" customFormat="1" ht="27.4" customHeight="1" x14ac:dyDescent="0.25">
      <c r="B223" s="58"/>
      <c r="F223" s="58"/>
    </row>
    <row r="224" spans="2:6" customFormat="1" ht="27.4" customHeight="1" x14ac:dyDescent="0.25">
      <c r="B224" s="58"/>
      <c r="F224" s="58"/>
    </row>
    <row r="225" spans="2:6" customFormat="1" ht="27.4" customHeight="1" x14ac:dyDescent="0.25">
      <c r="B225" s="58"/>
      <c r="F225" s="58"/>
    </row>
    <row r="226" spans="2:6" customFormat="1" ht="27.4" customHeight="1" x14ac:dyDescent="0.25">
      <c r="B226" s="58"/>
      <c r="F226" s="58"/>
    </row>
    <row r="227" spans="2:6" customFormat="1" ht="27.4" customHeight="1" x14ac:dyDescent="0.25">
      <c r="B227" s="58"/>
      <c r="F227" s="58"/>
    </row>
    <row r="228" spans="2:6" customFormat="1" ht="27.4" customHeight="1" x14ac:dyDescent="0.25">
      <c r="B228" s="58"/>
      <c r="F228" s="58"/>
    </row>
    <row r="229" spans="2:6" customFormat="1" ht="27.4" customHeight="1" x14ac:dyDescent="0.25">
      <c r="B229" s="58"/>
      <c r="F229" s="58"/>
    </row>
    <row r="230" spans="2:6" customFormat="1" ht="27.4" customHeight="1" x14ac:dyDescent="0.25">
      <c r="B230" s="58"/>
      <c r="F230" s="58"/>
    </row>
    <row r="231" spans="2:6" customFormat="1" ht="27.4" customHeight="1" x14ac:dyDescent="0.25">
      <c r="B231" s="58"/>
      <c r="F231" s="58"/>
    </row>
    <row r="232" spans="2:6" customFormat="1" ht="27.4" customHeight="1" x14ac:dyDescent="0.25">
      <c r="B232" s="58"/>
      <c r="F232" s="58"/>
    </row>
    <row r="233" spans="2:6" customFormat="1" ht="27.4" customHeight="1" x14ac:dyDescent="0.25">
      <c r="B233" s="58"/>
      <c r="F233" s="58"/>
    </row>
    <row r="234" spans="2:6" customFormat="1" ht="27.4" customHeight="1" x14ac:dyDescent="0.25">
      <c r="B234" s="58"/>
      <c r="F234" s="58"/>
    </row>
    <row r="235" spans="2:6" customFormat="1" ht="27.4" customHeight="1" x14ac:dyDescent="0.25">
      <c r="B235" s="58"/>
      <c r="F235" s="58"/>
    </row>
    <row r="236" spans="2:6" customFormat="1" ht="27.4" customHeight="1" x14ac:dyDescent="0.25">
      <c r="B236" s="58"/>
      <c r="F236" s="58"/>
    </row>
    <row r="237" spans="2:6" customFormat="1" ht="27.4" customHeight="1" x14ac:dyDescent="0.25">
      <c r="B237" s="58"/>
      <c r="F237" s="58"/>
    </row>
    <row r="238" spans="2:6" customFormat="1" ht="27.4" customHeight="1" x14ac:dyDescent="0.25">
      <c r="B238" s="58"/>
      <c r="F238" s="58"/>
    </row>
    <row r="239" spans="2:6" customFormat="1" ht="27.4" customHeight="1" x14ac:dyDescent="0.25">
      <c r="B239" s="58"/>
      <c r="F239" s="58"/>
    </row>
    <row r="240" spans="2:6" customFormat="1" ht="27.4" customHeight="1" x14ac:dyDescent="0.25">
      <c r="B240" s="58"/>
      <c r="F240" s="58"/>
    </row>
    <row r="241" spans="2:6" customFormat="1" ht="27.4" customHeight="1" x14ac:dyDescent="0.25">
      <c r="B241" s="58"/>
      <c r="F241" s="58"/>
    </row>
    <row r="242" spans="2:6" customFormat="1" ht="27.4" customHeight="1" x14ac:dyDescent="0.25">
      <c r="B242" s="58"/>
      <c r="F242" s="58"/>
    </row>
    <row r="243" spans="2:6" customFormat="1" ht="27.4" customHeight="1" x14ac:dyDescent="0.25">
      <c r="B243" s="58"/>
      <c r="F243" s="58"/>
    </row>
    <row r="244" spans="2:6" customFormat="1" ht="27.4" customHeight="1" x14ac:dyDescent="0.25">
      <c r="B244" s="58"/>
      <c r="F244" s="58"/>
    </row>
    <row r="245" spans="2:6" customFormat="1" ht="27.4" customHeight="1" x14ac:dyDescent="0.25">
      <c r="B245" s="58"/>
      <c r="F245" s="58"/>
    </row>
    <row r="246" spans="2:6" customFormat="1" ht="27.4" customHeight="1" x14ac:dyDescent="0.25">
      <c r="B246" s="58"/>
      <c r="F246" s="58"/>
    </row>
    <row r="247" spans="2:6" customFormat="1" ht="27.4" customHeight="1" x14ac:dyDescent="0.25">
      <c r="B247" s="58"/>
      <c r="F247" s="58"/>
    </row>
    <row r="248" spans="2:6" customFormat="1" ht="27.4" customHeight="1" x14ac:dyDescent="0.25">
      <c r="B248" s="58"/>
      <c r="F248" s="58"/>
    </row>
    <row r="249" spans="2:6" customFormat="1" ht="27.4" customHeight="1" x14ac:dyDescent="0.25">
      <c r="B249" s="58"/>
      <c r="F249" s="58"/>
    </row>
    <row r="250" spans="2:6" customFormat="1" ht="27.4" customHeight="1" x14ac:dyDescent="0.25">
      <c r="B250" s="58"/>
      <c r="F250" s="58"/>
    </row>
    <row r="251" spans="2:6" customFormat="1" ht="27.4" customHeight="1" x14ac:dyDescent="0.25">
      <c r="B251" s="58"/>
      <c r="F251" s="58"/>
    </row>
    <row r="252" spans="2:6" customFormat="1" ht="27.4" customHeight="1" x14ac:dyDescent="0.25">
      <c r="B252" s="58"/>
      <c r="F252" s="58"/>
    </row>
    <row r="253" spans="2:6" customFormat="1" ht="27.4" customHeight="1" x14ac:dyDescent="0.25">
      <c r="B253" s="58"/>
      <c r="F253" s="58"/>
    </row>
    <row r="254" spans="2:6" customFormat="1" ht="27.4" customHeight="1" x14ac:dyDescent="0.25">
      <c r="B254" s="58"/>
      <c r="F254" s="58"/>
    </row>
    <row r="255" spans="2:6" customFormat="1" ht="27.4" customHeight="1" x14ac:dyDescent="0.25">
      <c r="B255" s="58"/>
      <c r="F255" s="58"/>
    </row>
    <row r="256" spans="2:6" customFormat="1" ht="27.4" customHeight="1" x14ac:dyDescent="0.25">
      <c r="B256" s="58"/>
      <c r="F256" s="58"/>
    </row>
    <row r="257" spans="2:6" customFormat="1" ht="27.4" customHeight="1" x14ac:dyDescent="0.25">
      <c r="B257" s="58"/>
      <c r="F257" s="58"/>
    </row>
    <row r="258" spans="2:6" customFormat="1" ht="27.4" customHeight="1" x14ac:dyDescent="0.25">
      <c r="B258" s="58"/>
      <c r="F258" s="58"/>
    </row>
    <row r="259" spans="2:6" customFormat="1" ht="27.4" customHeight="1" x14ac:dyDescent="0.25">
      <c r="B259" s="58"/>
      <c r="F259" s="58"/>
    </row>
    <row r="260" spans="2:6" customFormat="1" ht="27.4" customHeight="1" x14ac:dyDescent="0.25">
      <c r="B260" s="58"/>
      <c r="F260" s="58"/>
    </row>
    <row r="261" spans="2:6" customFormat="1" ht="27.4" customHeight="1" x14ac:dyDescent="0.25">
      <c r="B261" s="58"/>
      <c r="F261" s="58"/>
    </row>
    <row r="262" spans="2:6" customFormat="1" ht="27.4" customHeight="1" x14ac:dyDescent="0.25">
      <c r="B262" s="58"/>
      <c r="F262" s="58"/>
    </row>
    <row r="263" spans="2:6" customFormat="1" ht="27.4" customHeight="1" x14ac:dyDescent="0.25">
      <c r="B263" s="58"/>
      <c r="F263" s="58"/>
    </row>
    <row r="264" spans="2:6" customFormat="1" ht="27.4" customHeight="1" x14ac:dyDescent="0.25">
      <c r="B264" s="58"/>
      <c r="F264" s="58"/>
    </row>
    <row r="265" spans="2:6" customFormat="1" ht="27.4" customHeight="1" x14ac:dyDescent="0.25">
      <c r="B265" s="58"/>
      <c r="F265" s="58"/>
    </row>
    <row r="266" spans="2:6" customFormat="1" ht="27.4" customHeight="1" x14ac:dyDescent="0.25">
      <c r="B266" s="58"/>
      <c r="F266" s="58"/>
    </row>
    <row r="267" spans="2:6" customFormat="1" ht="27.4" customHeight="1" x14ac:dyDescent="0.25">
      <c r="B267" s="58"/>
      <c r="F267" s="58"/>
    </row>
    <row r="268" spans="2:6" customFormat="1" ht="27.4" customHeight="1" x14ac:dyDescent="0.25">
      <c r="B268" s="58"/>
      <c r="F268" s="58"/>
    </row>
    <row r="269" spans="2:6" customFormat="1" ht="27.4" customHeight="1" x14ac:dyDescent="0.25">
      <c r="B269" s="58"/>
      <c r="F269" s="58"/>
    </row>
    <row r="270" spans="2:6" customFormat="1" ht="27.4" customHeight="1" x14ac:dyDescent="0.25">
      <c r="B270" s="58"/>
      <c r="F270" s="58"/>
    </row>
    <row r="271" spans="2:6" customFormat="1" ht="27.4" customHeight="1" x14ac:dyDescent="0.25">
      <c r="B271" s="58"/>
      <c r="F271" s="58"/>
    </row>
    <row r="272" spans="2:6" customFormat="1" ht="27.4" customHeight="1" x14ac:dyDescent="0.25">
      <c r="B272" s="58"/>
      <c r="F272" s="58"/>
    </row>
    <row r="273" spans="2:6" customFormat="1" ht="27.4" customHeight="1" x14ac:dyDescent="0.25">
      <c r="B273" s="58"/>
      <c r="F273" s="58"/>
    </row>
    <row r="274" spans="2:6" customFormat="1" ht="27.4" customHeight="1" x14ac:dyDescent="0.25">
      <c r="B274" s="58"/>
      <c r="F274" s="58"/>
    </row>
    <row r="275" spans="2:6" customFormat="1" ht="27.4" customHeight="1" x14ac:dyDescent="0.25">
      <c r="B275" s="58"/>
      <c r="F275" s="58"/>
    </row>
    <row r="276" spans="2:6" customFormat="1" ht="27.4" customHeight="1" x14ac:dyDescent="0.25">
      <c r="B276" s="58"/>
      <c r="F276" s="58"/>
    </row>
    <row r="277" spans="2:6" customFormat="1" ht="27.4" customHeight="1" x14ac:dyDescent="0.25">
      <c r="B277" s="58"/>
      <c r="F277" s="58"/>
    </row>
    <row r="278" spans="2:6" customFormat="1" ht="27.4" customHeight="1" x14ac:dyDescent="0.25">
      <c r="B278" s="58"/>
      <c r="F278" s="58"/>
    </row>
    <row r="279" spans="2:6" customFormat="1" ht="27.4" customHeight="1" x14ac:dyDescent="0.25">
      <c r="B279" s="58"/>
      <c r="F279" s="58"/>
    </row>
    <row r="280" spans="2:6" customFormat="1" ht="27.4" customHeight="1" x14ac:dyDescent="0.25">
      <c r="B280" s="58"/>
      <c r="F280" s="58"/>
    </row>
    <row r="281" spans="2:6" customFormat="1" ht="27.4" customHeight="1" x14ac:dyDescent="0.25">
      <c r="B281" s="58"/>
      <c r="F281" s="58"/>
    </row>
    <row r="282" spans="2:6" customFormat="1" ht="27.4" customHeight="1" x14ac:dyDescent="0.25">
      <c r="B282" s="58"/>
      <c r="F282" s="58"/>
    </row>
    <row r="283" spans="2:6" customFormat="1" ht="27.4" customHeight="1" x14ac:dyDescent="0.25">
      <c r="B283" s="58"/>
      <c r="F283" s="58"/>
    </row>
    <row r="284" spans="2:6" customFormat="1" ht="27.4" customHeight="1" x14ac:dyDescent="0.25">
      <c r="B284" s="58"/>
      <c r="F284" s="58"/>
    </row>
    <row r="285" spans="2:6" customFormat="1" ht="27.4" customHeight="1" x14ac:dyDescent="0.25">
      <c r="B285" s="58"/>
      <c r="F285" s="58"/>
    </row>
    <row r="286" spans="2:6" customFormat="1" ht="27.4" customHeight="1" x14ac:dyDescent="0.25">
      <c r="B286" s="58"/>
      <c r="F286" s="58"/>
    </row>
    <row r="287" spans="2:6" customFormat="1" ht="27.4" customHeight="1" x14ac:dyDescent="0.25">
      <c r="B287" s="58"/>
      <c r="F287" s="58"/>
    </row>
    <row r="288" spans="2:6" customFormat="1" ht="27.4" customHeight="1" x14ac:dyDescent="0.25">
      <c r="B288" s="58"/>
      <c r="F288" s="58"/>
    </row>
    <row r="289" spans="2:6" customFormat="1" ht="27.4" customHeight="1" x14ac:dyDescent="0.25">
      <c r="B289" s="58"/>
      <c r="F289" s="58"/>
    </row>
    <row r="290" spans="2:6" customFormat="1" ht="27.4" customHeight="1" x14ac:dyDescent="0.25">
      <c r="B290" s="58"/>
      <c r="F290" s="58"/>
    </row>
    <row r="291" spans="2:6" customFormat="1" ht="27.4" customHeight="1" x14ac:dyDescent="0.25">
      <c r="B291" s="58"/>
      <c r="F291" s="58"/>
    </row>
    <row r="292" spans="2:6" customFormat="1" ht="27.4" customHeight="1" x14ac:dyDescent="0.25">
      <c r="B292" s="58"/>
      <c r="F292" s="58"/>
    </row>
    <row r="293" spans="2:6" customFormat="1" ht="27.4" customHeight="1" x14ac:dyDescent="0.25">
      <c r="B293" s="58"/>
      <c r="F293" s="58"/>
    </row>
    <row r="294" spans="2:6" customFormat="1" ht="27.4" customHeight="1" x14ac:dyDescent="0.25">
      <c r="B294" s="58"/>
      <c r="F294" s="58"/>
    </row>
    <row r="295" spans="2:6" customFormat="1" ht="27.4" customHeight="1" x14ac:dyDescent="0.25">
      <c r="B295" s="58"/>
      <c r="F295" s="58"/>
    </row>
    <row r="296" spans="2:6" customFormat="1" ht="27.4" customHeight="1" x14ac:dyDescent="0.25">
      <c r="B296" s="58"/>
      <c r="F296" s="58"/>
    </row>
    <row r="297" spans="2:6" customFormat="1" ht="27.4" customHeight="1" x14ac:dyDescent="0.25">
      <c r="B297" s="58"/>
      <c r="F297" s="58"/>
    </row>
    <row r="298" spans="2:6" customFormat="1" ht="27.4" customHeight="1" x14ac:dyDescent="0.25">
      <c r="B298" s="58"/>
      <c r="F298" s="58"/>
    </row>
    <row r="299" spans="2:6" customFormat="1" ht="27.4" customHeight="1" x14ac:dyDescent="0.25">
      <c r="B299" s="58"/>
      <c r="F299" s="58"/>
    </row>
    <row r="300" spans="2:6" customFormat="1" ht="27.4" customHeight="1" x14ac:dyDescent="0.25">
      <c r="B300" s="58"/>
      <c r="F300" s="58"/>
    </row>
    <row r="301" spans="2:6" customFormat="1" ht="27.4" customHeight="1" x14ac:dyDescent="0.25">
      <c r="B301" s="58"/>
      <c r="F301" s="58"/>
    </row>
    <row r="302" spans="2:6" customFormat="1" ht="27.4" customHeight="1" x14ac:dyDescent="0.25">
      <c r="B302" s="58"/>
      <c r="F302" s="58"/>
    </row>
    <row r="303" spans="2:6" customFormat="1" ht="27.4" customHeight="1" x14ac:dyDescent="0.25">
      <c r="B303" s="58"/>
      <c r="F303" s="58"/>
    </row>
    <row r="304" spans="2:6" customFormat="1" ht="27.4" customHeight="1" x14ac:dyDescent="0.25">
      <c r="B304" s="58"/>
      <c r="F304" s="58"/>
    </row>
    <row r="305" spans="2:6" customFormat="1" ht="27.4" customHeight="1" x14ac:dyDescent="0.25">
      <c r="B305" s="58"/>
      <c r="F305" s="58"/>
    </row>
    <row r="306" spans="2:6" customFormat="1" ht="27.4" customHeight="1" x14ac:dyDescent="0.25">
      <c r="B306" s="58"/>
      <c r="F306" s="58"/>
    </row>
    <row r="307" spans="2:6" customFormat="1" ht="27.4" customHeight="1" x14ac:dyDescent="0.25">
      <c r="B307" s="58"/>
      <c r="F307" s="58"/>
    </row>
    <row r="308" spans="2:6" customFormat="1" ht="27.4" customHeight="1" x14ac:dyDescent="0.25">
      <c r="B308" s="58"/>
      <c r="F308" s="58"/>
    </row>
    <row r="309" spans="2:6" customFormat="1" ht="27.4" customHeight="1" x14ac:dyDescent="0.25">
      <c r="B309" s="58"/>
      <c r="F309" s="58"/>
    </row>
    <row r="310" spans="2:6" customFormat="1" ht="27.4" customHeight="1" x14ac:dyDescent="0.25">
      <c r="B310" s="58"/>
      <c r="F310" s="58"/>
    </row>
    <row r="311" spans="2:6" customFormat="1" ht="27.4" customHeight="1" x14ac:dyDescent="0.25">
      <c r="B311" s="58"/>
      <c r="F311" s="58"/>
    </row>
    <row r="312" spans="2:6" customFormat="1" ht="27.4" customHeight="1" x14ac:dyDescent="0.25">
      <c r="B312" s="58"/>
      <c r="F312" s="58"/>
    </row>
    <row r="313" spans="2:6" customFormat="1" ht="27.4" customHeight="1" x14ac:dyDescent="0.25">
      <c r="B313" s="58"/>
      <c r="F313" s="58"/>
    </row>
    <row r="314" spans="2:6" customFormat="1" ht="27.4" customHeight="1" x14ac:dyDescent="0.25">
      <c r="B314" s="58"/>
      <c r="F314" s="58"/>
    </row>
    <row r="315" spans="2:6" customFormat="1" ht="27.4" customHeight="1" x14ac:dyDescent="0.25">
      <c r="B315" s="58"/>
      <c r="F315" s="58"/>
    </row>
    <row r="316" spans="2:6" customFormat="1" ht="27.4" customHeight="1" x14ac:dyDescent="0.25">
      <c r="B316" s="58"/>
      <c r="F316" s="58"/>
    </row>
    <row r="317" spans="2:6" customFormat="1" ht="27.4" customHeight="1" x14ac:dyDescent="0.25">
      <c r="B317" s="58"/>
      <c r="F317" s="58"/>
    </row>
    <row r="318" spans="2:6" customFormat="1" ht="27.4" customHeight="1" x14ac:dyDescent="0.25">
      <c r="B318" s="58"/>
      <c r="F318" s="58"/>
    </row>
    <row r="319" spans="2:6" customFormat="1" ht="27.4" customHeight="1" x14ac:dyDescent="0.25">
      <c r="B319" s="58"/>
      <c r="F319" s="58"/>
    </row>
    <row r="320" spans="2:6" customFormat="1" ht="27.4" customHeight="1" x14ac:dyDescent="0.25">
      <c r="B320" s="58"/>
      <c r="F320" s="58"/>
    </row>
    <row r="321" spans="2:6" customFormat="1" ht="27.4" customHeight="1" x14ac:dyDescent="0.25">
      <c r="B321" s="58"/>
      <c r="F321" s="58"/>
    </row>
    <row r="322" spans="2:6" customFormat="1" ht="27.4" customHeight="1" x14ac:dyDescent="0.25">
      <c r="B322" s="58"/>
      <c r="F322" s="58"/>
    </row>
    <row r="323" spans="2:6" customFormat="1" ht="27.4" customHeight="1" x14ac:dyDescent="0.25">
      <c r="B323" s="58"/>
      <c r="F323" s="58"/>
    </row>
    <row r="324" spans="2:6" customFormat="1" ht="27.4" customHeight="1" x14ac:dyDescent="0.25">
      <c r="B324" s="58"/>
      <c r="F324" s="58"/>
    </row>
    <row r="325" spans="2:6" customFormat="1" ht="27.4" customHeight="1" x14ac:dyDescent="0.25">
      <c r="B325" s="58"/>
      <c r="F325" s="58"/>
    </row>
    <row r="326" spans="2:6" customFormat="1" ht="27.4" customHeight="1" x14ac:dyDescent="0.25">
      <c r="B326" s="58"/>
      <c r="F326" s="58"/>
    </row>
    <row r="327" spans="2:6" customFormat="1" ht="27.4" customHeight="1" x14ac:dyDescent="0.25">
      <c r="B327" s="58"/>
      <c r="F327" s="58"/>
    </row>
    <row r="328" spans="2:6" customFormat="1" ht="27.4" customHeight="1" x14ac:dyDescent="0.25">
      <c r="B328" s="58"/>
      <c r="F328" s="58"/>
    </row>
    <row r="329" spans="2:6" customFormat="1" ht="27.4" customHeight="1" x14ac:dyDescent="0.25">
      <c r="B329" s="58"/>
      <c r="F329" s="58"/>
    </row>
    <row r="330" spans="2:6" customFormat="1" ht="27.4" customHeight="1" x14ac:dyDescent="0.25">
      <c r="B330" s="58"/>
      <c r="F330" s="58"/>
    </row>
    <row r="331" spans="2:6" customFormat="1" ht="27.4" customHeight="1" x14ac:dyDescent="0.25">
      <c r="B331" s="58"/>
      <c r="F331" s="58"/>
    </row>
    <row r="332" spans="2:6" customFormat="1" ht="27.4" customHeight="1" x14ac:dyDescent="0.25">
      <c r="B332" s="58"/>
      <c r="F332" s="58"/>
    </row>
    <row r="333" spans="2:6" customFormat="1" ht="27.4" customHeight="1" x14ac:dyDescent="0.25">
      <c r="B333" s="58"/>
      <c r="F333" s="58"/>
    </row>
    <row r="334" spans="2:6" customFormat="1" ht="27.4" customHeight="1" x14ac:dyDescent="0.25">
      <c r="B334" s="58"/>
      <c r="F334" s="58"/>
    </row>
    <row r="335" spans="2:6" customFormat="1" ht="27.4" customHeight="1" x14ac:dyDescent="0.25">
      <c r="B335" s="58"/>
      <c r="F335" s="58"/>
    </row>
    <row r="336" spans="2:6" customFormat="1" ht="27.4" customHeight="1" x14ac:dyDescent="0.25">
      <c r="B336" s="58"/>
      <c r="F336" s="58"/>
    </row>
    <row r="337" spans="2:6" customFormat="1" ht="27.4" customHeight="1" x14ac:dyDescent="0.25">
      <c r="B337" s="58"/>
      <c r="F337" s="58"/>
    </row>
    <row r="338" spans="2:6" customFormat="1" ht="27.4" customHeight="1" x14ac:dyDescent="0.25">
      <c r="B338" s="58"/>
      <c r="F338" s="58"/>
    </row>
    <row r="339" spans="2:6" customFormat="1" ht="27.4" customHeight="1" x14ac:dyDescent="0.25">
      <c r="B339" s="58"/>
      <c r="F339" s="58"/>
    </row>
    <row r="340" spans="2:6" customFormat="1" ht="27.4" customHeight="1" x14ac:dyDescent="0.25">
      <c r="B340" s="58"/>
      <c r="F340" s="58"/>
    </row>
    <row r="341" spans="2:6" customFormat="1" ht="27.4" customHeight="1" x14ac:dyDescent="0.25">
      <c r="B341" s="58"/>
      <c r="F341" s="58"/>
    </row>
    <row r="342" spans="2:6" customFormat="1" ht="27.4" customHeight="1" x14ac:dyDescent="0.25">
      <c r="B342" s="58"/>
      <c r="F342" s="58"/>
    </row>
    <row r="343" spans="2:6" customFormat="1" ht="27.4" customHeight="1" x14ac:dyDescent="0.25">
      <c r="B343" s="58"/>
      <c r="F343" s="58"/>
    </row>
    <row r="344" spans="2:6" customFormat="1" ht="27.4" customHeight="1" x14ac:dyDescent="0.25">
      <c r="B344" s="58"/>
      <c r="F344" s="58"/>
    </row>
    <row r="345" spans="2:6" customFormat="1" ht="27.4" customHeight="1" x14ac:dyDescent="0.25">
      <c r="B345" s="58"/>
      <c r="F345" s="58"/>
    </row>
    <row r="346" spans="2:6" customFormat="1" ht="27.4" customHeight="1" x14ac:dyDescent="0.25">
      <c r="B346" s="58"/>
      <c r="F346" s="58"/>
    </row>
    <row r="347" spans="2:6" customFormat="1" ht="27.4" customHeight="1" x14ac:dyDescent="0.25">
      <c r="B347" s="58"/>
      <c r="F347" s="58"/>
    </row>
    <row r="348" spans="2:6" customFormat="1" ht="27.4" customHeight="1" x14ac:dyDescent="0.25">
      <c r="B348" s="58"/>
      <c r="F348" s="58"/>
    </row>
    <row r="349" spans="2:6" customFormat="1" ht="27.4" customHeight="1" x14ac:dyDescent="0.25">
      <c r="B349" s="58"/>
      <c r="F349" s="58"/>
    </row>
    <row r="350" spans="2:6" customFormat="1" ht="27.4" customHeight="1" x14ac:dyDescent="0.25">
      <c r="B350" s="58"/>
      <c r="F350" s="58"/>
    </row>
    <row r="351" spans="2:6" customFormat="1" ht="27.4" customHeight="1" x14ac:dyDescent="0.25">
      <c r="B351" s="58"/>
      <c r="F351" s="58"/>
    </row>
    <row r="352" spans="2:6" customFormat="1" ht="27.4" customHeight="1" x14ac:dyDescent="0.25">
      <c r="B352" s="58"/>
      <c r="F352" s="58"/>
    </row>
    <row r="353" spans="2:6" customFormat="1" ht="27.4" customHeight="1" x14ac:dyDescent="0.25">
      <c r="B353" s="58"/>
      <c r="F353" s="58"/>
    </row>
    <row r="354" spans="2:6" customFormat="1" ht="27.4" customHeight="1" x14ac:dyDescent="0.25">
      <c r="B354" s="58"/>
      <c r="F354" s="58"/>
    </row>
    <row r="355" spans="2:6" customFormat="1" ht="27.4" customHeight="1" x14ac:dyDescent="0.25">
      <c r="B355" s="58"/>
      <c r="F355" s="58"/>
    </row>
    <row r="356" spans="2:6" customFormat="1" ht="27.4" customHeight="1" x14ac:dyDescent="0.25">
      <c r="B356" s="58"/>
      <c r="F356" s="58"/>
    </row>
    <row r="357" spans="2:6" customFormat="1" ht="27.4" customHeight="1" x14ac:dyDescent="0.25">
      <c r="B357" s="58"/>
      <c r="F357" s="58"/>
    </row>
    <row r="358" spans="2:6" customFormat="1" ht="27.4" customHeight="1" x14ac:dyDescent="0.25">
      <c r="B358" s="58"/>
      <c r="F358" s="58"/>
    </row>
    <row r="359" spans="2:6" customFormat="1" ht="27.4" customHeight="1" x14ac:dyDescent="0.25">
      <c r="B359" s="58"/>
      <c r="F359" s="58"/>
    </row>
    <row r="360" spans="2:6" customFormat="1" ht="27.4" customHeight="1" x14ac:dyDescent="0.25">
      <c r="B360" s="58"/>
      <c r="F360" s="58"/>
    </row>
    <row r="361" spans="2:6" customFormat="1" ht="27.4" customHeight="1" x14ac:dyDescent="0.25">
      <c r="B361" s="58"/>
      <c r="F361" s="58"/>
    </row>
    <row r="362" spans="2:6" customFormat="1" ht="27.4" customHeight="1" x14ac:dyDescent="0.25">
      <c r="B362" s="58"/>
      <c r="F362" s="58"/>
    </row>
    <row r="363" spans="2:6" customFormat="1" ht="27.4" customHeight="1" x14ac:dyDescent="0.25">
      <c r="B363" s="58"/>
      <c r="F363" s="58"/>
    </row>
    <row r="364" spans="2:6" customFormat="1" ht="27.4" customHeight="1" x14ac:dyDescent="0.25">
      <c r="B364" s="58"/>
      <c r="F364" s="58"/>
    </row>
    <row r="365" spans="2:6" customFormat="1" ht="27.4" customHeight="1" x14ac:dyDescent="0.25">
      <c r="B365" s="58"/>
      <c r="F365" s="58"/>
    </row>
    <row r="366" spans="2:6" customFormat="1" ht="27.4" customHeight="1" x14ac:dyDescent="0.25">
      <c r="B366" s="58"/>
      <c r="F366" s="58"/>
    </row>
    <row r="367" spans="2:6" customFormat="1" ht="27.4" customHeight="1" x14ac:dyDescent="0.25">
      <c r="B367" s="58"/>
      <c r="F367" s="58"/>
    </row>
    <row r="368" spans="2:6" customFormat="1" ht="27.4" customHeight="1" x14ac:dyDescent="0.25">
      <c r="B368" s="58"/>
      <c r="F368" s="58"/>
    </row>
    <row r="369" spans="2:6" customFormat="1" ht="27.4" customHeight="1" x14ac:dyDescent="0.25">
      <c r="B369" s="58"/>
      <c r="F369" s="58"/>
    </row>
    <row r="370" spans="2:6" customFormat="1" ht="27.4" customHeight="1" x14ac:dyDescent="0.25">
      <c r="B370" s="58"/>
      <c r="F370" s="58"/>
    </row>
    <row r="371" spans="2:6" customFormat="1" ht="27.4" customHeight="1" x14ac:dyDescent="0.25">
      <c r="B371" s="58"/>
      <c r="F371" s="58"/>
    </row>
    <row r="372" spans="2:6" customFormat="1" ht="27.4" customHeight="1" x14ac:dyDescent="0.25">
      <c r="B372" s="58"/>
      <c r="F372" s="58"/>
    </row>
    <row r="373" spans="2:6" customFormat="1" ht="27.4" customHeight="1" x14ac:dyDescent="0.25">
      <c r="B373" s="58"/>
      <c r="F373" s="58"/>
    </row>
    <row r="374" spans="2:6" customFormat="1" ht="27.4" customHeight="1" x14ac:dyDescent="0.25">
      <c r="B374" s="58"/>
      <c r="F374" s="58"/>
    </row>
    <row r="375" spans="2:6" customFormat="1" ht="27.4" customHeight="1" x14ac:dyDescent="0.25">
      <c r="B375" s="58"/>
      <c r="F375" s="58"/>
    </row>
    <row r="376" spans="2:6" customFormat="1" ht="27.4" customHeight="1" x14ac:dyDescent="0.25">
      <c r="B376" s="58"/>
      <c r="F376" s="58"/>
    </row>
    <row r="377" spans="2:6" customFormat="1" ht="27.4" customHeight="1" x14ac:dyDescent="0.25">
      <c r="B377" s="58"/>
      <c r="F377" s="58"/>
    </row>
    <row r="378" spans="2:6" customFormat="1" ht="27.4" customHeight="1" x14ac:dyDescent="0.25">
      <c r="B378" s="58"/>
      <c r="F378" s="58"/>
    </row>
    <row r="379" spans="2:6" customFormat="1" ht="27.4" customHeight="1" x14ac:dyDescent="0.25">
      <c r="B379" s="58"/>
      <c r="F379" s="58"/>
    </row>
    <row r="380" spans="2:6" customFormat="1" ht="27.4" customHeight="1" x14ac:dyDescent="0.25">
      <c r="B380" s="58"/>
      <c r="F380" s="58"/>
    </row>
    <row r="381" spans="2:6" customFormat="1" ht="27.4" customHeight="1" x14ac:dyDescent="0.25">
      <c r="B381" s="58"/>
      <c r="F381" s="58"/>
    </row>
    <row r="382" spans="2:6" customFormat="1" ht="27.4" customHeight="1" x14ac:dyDescent="0.25">
      <c r="B382" s="58"/>
      <c r="F382" s="58"/>
    </row>
    <row r="383" spans="2:6" customFormat="1" ht="27.4" customHeight="1" x14ac:dyDescent="0.25">
      <c r="B383" s="58"/>
      <c r="F383" s="58"/>
    </row>
    <row r="384" spans="2:6" customFormat="1" ht="27.4" customHeight="1" x14ac:dyDescent="0.25">
      <c r="B384" s="58"/>
      <c r="F384" s="58"/>
    </row>
    <row r="385" spans="2:6" customFormat="1" ht="27.4" customHeight="1" x14ac:dyDescent="0.25">
      <c r="B385" s="58"/>
      <c r="F385" s="58"/>
    </row>
    <row r="386" spans="2:6" customFormat="1" ht="27.4" customHeight="1" x14ac:dyDescent="0.25">
      <c r="B386" s="58"/>
      <c r="F386" s="58"/>
    </row>
    <row r="387" spans="2:6" customFormat="1" ht="27.4" customHeight="1" x14ac:dyDescent="0.25">
      <c r="B387" s="58"/>
      <c r="F387" s="58"/>
    </row>
    <row r="388" spans="2:6" customFormat="1" ht="27.4" customHeight="1" x14ac:dyDescent="0.25">
      <c r="B388" s="58"/>
      <c r="F388" s="58"/>
    </row>
    <row r="389" spans="2:6" customFormat="1" ht="27.4" customHeight="1" x14ac:dyDescent="0.25">
      <c r="B389" s="58"/>
      <c r="F389" s="58"/>
    </row>
    <row r="390" spans="2:6" customFormat="1" ht="27.4" customHeight="1" x14ac:dyDescent="0.25">
      <c r="B390" s="58"/>
      <c r="F390" s="58"/>
    </row>
    <row r="391" spans="2:6" customFormat="1" ht="27.4" customHeight="1" x14ac:dyDescent="0.25">
      <c r="B391" s="58"/>
      <c r="F391" s="58"/>
    </row>
    <row r="392" spans="2:6" customFormat="1" ht="27.4" customHeight="1" x14ac:dyDescent="0.25">
      <c r="B392" s="58"/>
      <c r="F392" s="58"/>
    </row>
    <row r="393" spans="2:6" customFormat="1" ht="27.4" customHeight="1" x14ac:dyDescent="0.25">
      <c r="B393" s="58"/>
      <c r="F393" s="58"/>
    </row>
    <row r="394" spans="2:6" customFormat="1" ht="27.4" customHeight="1" x14ac:dyDescent="0.25">
      <c r="B394" s="58"/>
      <c r="F394" s="58"/>
    </row>
    <row r="395" spans="2:6" customFormat="1" ht="27.4" customHeight="1" x14ac:dyDescent="0.25">
      <c r="B395" s="58"/>
      <c r="F395" s="58"/>
    </row>
    <row r="396" spans="2:6" customFormat="1" ht="27.4" customHeight="1" x14ac:dyDescent="0.25">
      <c r="B396" s="58"/>
      <c r="F396" s="58"/>
    </row>
    <row r="397" spans="2:6" customFormat="1" ht="27.4" customHeight="1" x14ac:dyDescent="0.25">
      <c r="B397" s="58"/>
      <c r="F397" s="58"/>
    </row>
    <row r="398" spans="2:6" customFormat="1" ht="27.4" customHeight="1" x14ac:dyDescent="0.25">
      <c r="B398" s="58"/>
      <c r="F398" s="58"/>
    </row>
    <row r="399" spans="2:6" customFormat="1" ht="27.4" customHeight="1" x14ac:dyDescent="0.25">
      <c r="B399" s="58"/>
      <c r="F399" s="58"/>
    </row>
    <row r="400" spans="2:6" customFormat="1" ht="27.4" customHeight="1" x14ac:dyDescent="0.25">
      <c r="B400" s="58"/>
      <c r="F400" s="58"/>
    </row>
    <row r="401" spans="2:6" customFormat="1" ht="27.4" customHeight="1" x14ac:dyDescent="0.25">
      <c r="B401" s="58"/>
      <c r="F401" s="58"/>
    </row>
    <row r="402" spans="2:6" customFormat="1" ht="27.4" customHeight="1" x14ac:dyDescent="0.25">
      <c r="B402" s="58"/>
      <c r="F402" s="58"/>
    </row>
    <row r="403" spans="2:6" customFormat="1" ht="27.4" customHeight="1" x14ac:dyDescent="0.25">
      <c r="B403" s="58"/>
      <c r="F403" s="58"/>
    </row>
    <row r="404" spans="2:6" customFormat="1" ht="27.4" customHeight="1" x14ac:dyDescent="0.25">
      <c r="B404" s="58"/>
      <c r="F404" s="58"/>
    </row>
    <row r="405" spans="2:6" customFormat="1" ht="27.4" customHeight="1" x14ac:dyDescent="0.25">
      <c r="B405" s="58"/>
      <c r="F405" s="58"/>
    </row>
    <row r="406" spans="2:6" customFormat="1" ht="27.4" customHeight="1" x14ac:dyDescent="0.25">
      <c r="B406" s="58"/>
      <c r="F406" s="58"/>
    </row>
    <row r="407" spans="2:6" customFormat="1" ht="27.4" customHeight="1" x14ac:dyDescent="0.25">
      <c r="B407" s="58"/>
      <c r="F407" s="58"/>
    </row>
    <row r="408" spans="2:6" customFormat="1" ht="27.4" customHeight="1" x14ac:dyDescent="0.25">
      <c r="B408" s="58"/>
      <c r="F408" s="58"/>
    </row>
  </sheetData>
  <mergeCells count="8">
    <mergeCell ref="F1:I1"/>
    <mergeCell ref="F34:H34"/>
    <mergeCell ref="F52:H52"/>
    <mergeCell ref="B52:E52"/>
    <mergeCell ref="F70:I70"/>
    <mergeCell ref="B34:D34"/>
    <mergeCell ref="B70:D70"/>
    <mergeCell ref="B1:E1"/>
  </mergeCells>
  <phoneticPr fontId="15" type="noConversion"/>
  <pageMargins left="0.25" right="0.25" top="0.75" bottom="0.75" header="0.3" footer="0.3"/>
  <pageSetup paperSize="9" fitToWidth="0" orientation="landscape" r:id="rId1"/>
  <rowBreaks count="1" manualBreakCount="1">
    <brk id="5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1343-FD0F-4105-8BCE-EAAFEB4B40BB}">
  <dimension ref="A1:E31"/>
  <sheetViews>
    <sheetView showGridLines="0" workbookViewId="0">
      <selection activeCell="E3" sqref="E3:E5"/>
    </sheetView>
  </sheetViews>
  <sheetFormatPr defaultRowHeight="15" x14ac:dyDescent="0.25"/>
  <cols>
    <col min="1" max="1" width="24.140625" bestFit="1" customWidth="1"/>
    <col min="2" max="2" width="14.85546875" customWidth="1"/>
    <col min="3" max="3" width="20.5703125" bestFit="1" customWidth="1"/>
    <col min="4" max="4" width="8.85546875" style="380"/>
  </cols>
  <sheetData>
    <row r="1" spans="1:5" x14ac:dyDescent="0.25">
      <c r="B1" t="s">
        <v>306</v>
      </c>
      <c r="C1" s="381" t="s">
        <v>239</v>
      </c>
    </row>
    <row r="2" spans="1:5" x14ac:dyDescent="0.25">
      <c r="A2" t="s">
        <v>13</v>
      </c>
      <c r="B2" s="395">
        <f>'Areas Sintetico atualizado'!K3</f>
        <v>1343333.34</v>
      </c>
      <c r="C2" s="395">
        <f>'Areas Sintetico atualizado'!L4</f>
        <v>599054.65</v>
      </c>
    </row>
    <row r="3" spans="1:5" x14ac:dyDescent="0.25">
      <c r="A3" t="s">
        <v>307</v>
      </c>
      <c r="B3" s="396">
        <f>'[1]Areas Sintetico atualizado'!AI7</f>
        <v>1806527.7499999995</v>
      </c>
      <c r="C3" s="396">
        <f>'Areas Sintetico atualizado'!L6</f>
        <v>211630.52000000002</v>
      </c>
      <c r="D3" s="51">
        <f>C3/$C$2</f>
        <v>0.35327414619016817</v>
      </c>
      <c r="E3" s="51"/>
    </row>
    <row r="4" spans="1:5" x14ac:dyDescent="0.25">
      <c r="A4" t="s">
        <v>224</v>
      </c>
      <c r="B4" s="397">
        <f>'[1]Areas Sintetico atualizado'!AI11</f>
        <v>1228915.9292000001</v>
      </c>
      <c r="C4" s="397">
        <f>'Areas Sintetico atualizado'!L13</f>
        <v>104973.54000000001</v>
      </c>
      <c r="D4" s="51">
        <f t="shared" ref="D4:D5" si="0">C4/$C$2</f>
        <v>0.17523199260701841</v>
      </c>
      <c r="E4" s="51"/>
    </row>
    <row r="5" spans="1:5" x14ac:dyDescent="0.25">
      <c r="A5" s="398" t="s">
        <v>228</v>
      </c>
      <c r="B5" s="399">
        <f>B2-B3-B4</f>
        <v>-1692110.3391999996</v>
      </c>
      <c r="C5" s="399">
        <f>C2-C3-C4</f>
        <v>282450.58999999997</v>
      </c>
      <c r="D5" s="51">
        <f t="shared" si="0"/>
        <v>0.47149386120281339</v>
      </c>
      <c r="E5" s="51"/>
    </row>
    <row r="6" spans="1:5" x14ac:dyDescent="0.25">
      <c r="A6" t="s">
        <v>212</v>
      </c>
      <c r="B6" s="381">
        <f>B2*14.53%</f>
        <v>195186.334302</v>
      </c>
      <c r="C6" s="381">
        <f>'Areas Sintetico atualizado'!L28</f>
        <v>41973.160499999998</v>
      </c>
      <c r="D6" s="51"/>
    </row>
    <row r="7" spans="1:5" x14ac:dyDescent="0.25">
      <c r="A7" t="s">
        <v>71</v>
      </c>
      <c r="B7" s="381"/>
      <c r="C7" s="381">
        <f>'Areas Sintetico atualizado'!L29</f>
        <v>8117</v>
      </c>
      <c r="D7" s="51"/>
    </row>
    <row r="8" spans="1:5" x14ac:dyDescent="0.25">
      <c r="A8" s="398" t="s">
        <v>308</v>
      </c>
      <c r="B8" s="399">
        <f>B5-B6</f>
        <v>-1887296.6735019996</v>
      </c>
      <c r="C8" s="399">
        <f>C5-C6-C7</f>
        <v>232360.42949999997</v>
      </c>
      <c r="D8" s="51"/>
    </row>
    <row r="11" spans="1:5" x14ac:dyDescent="0.25">
      <c r="A11" t="s">
        <v>13</v>
      </c>
    </row>
    <row r="12" spans="1:5" x14ac:dyDescent="0.25">
      <c r="A12" t="s">
        <v>307</v>
      </c>
      <c r="C12" s="51">
        <f>D3</f>
        <v>0.35327414619016817</v>
      </c>
    </row>
    <row r="13" spans="1:5" x14ac:dyDescent="0.25">
      <c r="A13" t="s">
        <v>224</v>
      </c>
      <c r="C13" s="51">
        <f>D4</f>
        <v>0.17523199260701841</v>
      </c>
    </row>
    <row r="14" spans="1:5" x14ac:dyDescent="0.25">
      <c r="A14" s="398" t="s">
        <v>228</v>
      </c>
      <c r="B14" s="398"/>
      <c r="C14" s="51">
        <f>D5</f>
        <v>0.47149386120281339</v>
      </c>
    </row>
    <row r="15" spans="1:5" x14ac:dyDescent="0.25">
      <c r="A15" t="s">
        <v>212</v>
      </c>
    </row>
    <row r="16" spans="1:5" x14ac:dyDescent="0.25">
      <c r="A16" s="398" t="s">
        <v>308</v>
      </c>
      <c r="B16" s="398"/>
    </row>
    <row r="20" spans="1:3" x14ac:dyDescent="0.25">
      <c r="A20" t="str">
        <f>A2</f>
        <v>Recebimento</v>
      </c>
      <c r="B20" s="50">
        <f>C2</f>
        <v>599054.65</v>
      </c>
    </row>
    <row r="21" spans="1:3" x14ac:dyDescent="0.25">
      <c r="A21" t="str">
        <f>'Areas Sintetico atualizado'!A14</f>
        <v>Ocupação</v>
      </c>
      <c r="B21" s="50">
        <f>'Areas Sintetico atualizado'!L14</f>
        <v>32337.05</v>
      </c>
      <c r="C21" s="51">
        <f>B21/$B$20</f>
        <v>5.398013353205755E-2</v>
      </c>
    </row>
    <row r="22" spans="1:3" x14ac:dyDescent="0.25">
      <c r="A22" t="str">
        <f>'Areas Sintetico atualizado'!A15</f>
        <v>Telecomunicações</v>
      </c>
      <c r="B22" s="50">
        <f>'Areas Sintetico atualizado'!L15</f>
        <v>807.15999999999985</v>
      </c>
      <c r="C22" s="51">
        <f t="shared" ref="C22:C30" si="1">B22/$B$20</f>
        <v>1.347389591250147E-3</v>
      </c>
    </row>
    <row r="23" spans="1:3" x14ac:dyDescent="0.25">
      <c r="A23" t="str">
        <f>'Areas Sintetico atualizado'!A16</f>
        <v>Despesas Gerais</v>
      </c>
      <c r="B23" s="50">
        <f>'Areas Sintetico atualizado'!L16</f>
        <v>6773.44</v>
      </c>
      <c r="C23" s="51">
        <f t="shared" si="1"/>
        <v>1.1306881600868969E-2</v>
      </c>
    </row>
    <row r="24" spans="1:3" x14ac:dyDescent="0.25">
      <c r="A24" t="str">
        <f>'Areas Sintetico atualizado'!A17</f>
        <v>Consultoria</v>
      </c>
      <c r="B24" s="50">
        <f>'Areas Sintetico atualizado'!L17</f>
        <v>30035.14</v>
      </c>
      <c r="C24" s="51">
        <f t="shared" si="1"/>
        <v>5.0137562574633213E-2</v>
      </c>
    </row>
    <row r="25" spans="1:3" x14ac:dyDescent="0.25">
      <c r="A25" t="str">
        <f>'Areas Sintetico atualizado'!A18</f>
        <v>Salários Administração</v>
      </c>
      <c r="B25" s="50">
        <f>'Areas Sintetico atualizado'!L18</f>
        <v>5139.13</v>
      </c>
      <c r="C25" s="51">
        <f t="shared" si="1"/>
        <v>8.5787331756793806E-3</v>
      </c>
    </row>
    <row r="26" spans="1:3" x14ac:dyDescent="0.25">
      <c r="A26" t="str">
        <f>'Areas Sintetico atualizado'!A19</f>
        <v xml:space="preserve">Administrativas </v>
      </c>
      <c r="B26" s="50">
        <f>'Areas Sintetico atualizado'!L19</f>
        <v>4300.0300000000007</v>
      </c>
      <c r="C26" s="51">
        <f t="shared" si="1"/>
        <v>7.1780262451848096E-3</v>
      </c>
    </row>
    <row r="27" spans="1:3" x14ac:dyDescent="0.25">
      <c r="A27" t="str">
        <f>'Areas Sintetico atualizado'!A21</f>
        <v>Investimentos em Prospecção</v>
      </c>
      <c r="B27" s="50">
        <f>'Areas Sintetico atualizado'!L21</f>
        <v>2702.45</v>
      </c>
      <c r="C27" s="51">
        <f t="shared" si="1"/>
        <v>4.5111910908295257E-3</v>
      </c>
    </row>
    <row r="28" spans="1:3" x14ac:dyDescent="0.25">
      <c r="A28" t="str">
        <f>'Areas Sintetico atualizado'!A22</f>
        <v>Endomarketing</v>
      </c>
      <c r="B28" s="50">
        <f>'Areas Sintetico atualizado'!L22</f>
        <v>0</v>
      </c>
      <c r="C28" s="51">
        <f t="shared" si="1"/>
        <v>0</v>
      </c>
    </row>
    <row r="29" spans="1:3" x14ac:dyDescent="0.25">
      <c r="A29" t="str">
        <f>'Areas Sintetico atualizado'!A23</f>
        <v>Gestão do Conhecimento</v>
      </c>
      <c r="B29" s="50">
        <f>'Areas Sintetico atualizado'!L23</f>
        <v>692.37</v>
      </c>
      <c r="C29" s="51">
        <f t="shared" si="1"/>
        <v>1.1557710135460929E-3</v>
      </c>
    </row>
    <row r="30" spans="1:3" x14ac:dyDescent="0.25">
      <c r="A30" t="str">
        <f>'Areas Sintetico atualizado'!A24</f>
        <v xml:space="preserve">Informática </v>
      </c>
      <c r="B30" s="50">
        <f>'Areas Sintetico atualizado'!L24</f>
        <v>22186.77</v>
      </c>
      <c r="C30" s="51">
        <f t="shared" si="1"/>
        <v>3.7036303782968717E-2</v>
      </c>
    </row>
    <row r="31" spans="1:3" x14ac:dyDescent="0.25">
      <c r="A31" t="str">
        <f>'Areas Sintetico atualizado'!A25</f>
        <v>Resultado Bruto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0729-A5C7-4629-91B2-85A248457CFD}">
  <dimension ref="A1:D50"/>
  <sheetViews>
    <sheetView showGridLines="0" topLeftCell="A11" workbookViewId="0">
      <selection activeCell="B35" sqref="B35:B41"/>
    </sheetView>
  </sheetViews>
  <sheetFormatPr defaultRowHeight="15" x14ac:dyDescent="0.25"/>
  <cols>
    <col min="1" max="1" width="24.42578125" customWidth="1"/>
    <col min="2" max="2" width="13.140625" bestFit="1" customWidth="1"/>
  </cols>
  <sheetData>
    <row r="1" spans="1:2" x14ac:dyDescent="0.25">
      <c r="B1" t="s">
        <v>306</v>
      </c>
    </row>
    <row r="2" spans="1:2" x14ac:dyDescent="0.25">
      <c r="A2" t="s">
        <v>13</v>
      </c>
      <c r="B2" s="395">
        <f>'Areas Sintetico atualizado'!K3</f>
        <v>1343333.34</v>
      </c>
    </row>
    <row r="3" spans="1:2" x14ac:dyDescent="0.25">
      <c r="A3" t="s">
        <v>307</v>
      </c>
      <c r="B3" s="396">
        <f>'[1]Areas Sintetico atualizado'!AI7</f>
        <v>1806527.7499999995</v>
      </c>
    </row>
    <row r="4" spans="1:2" x14ac:dyDescent="0.25">
      <c r="A4" t="s">
        <v>224</v>
      </c>
      <c r="B4" s="397">
        <f>'[1]Areas Sintetico atualizado'!AI11</f>
        <v>1228915.9292000001</v>
      </c>
    </row>
    <row r="5" spans="1:2" x14ac:dyDescent="0.25">
      <c r="A5" s="398" t="s">
        <v>228</v>
      </c>
      <c r="B5" s="399">
        <f>B2-B3-B4</f>
        <v>-1692110.3391999996</v>
      </c>
    </row>
    <row r="6" spans="1:2" x14ac:dyDescent="0.25">
      <c r="A6" t="s">
        <v>212</v>
      </c>
      <c r="B6" s="381">
        <f>B2*14.53%</f>
        <v>195186.334302</v>
      </c>
    </row>
    <row r="7" spans="1:2" x14ac:dyDescent="0.25">
      <c r="A7" t="s">
        <v>71</v>
      </c>
      <c r="B7" s="381"/>
    </row>
    <row r="8" spans="1:2" x14ac:dyDescent="0.25">
      <c r="A8" s="398" t="s">
        <v>308</v>
      </c>
      <c r="B8" s="399">
        <f>B5-B6</f>
        <v>-1887296.6735019996</v>
      </c>
    </row>
    <row r="11" spans="1:2" x14ac:dyDescent="0.25">
      <c r="A11" t="s">
        <v>13</v>
      </c>
    </row>
    <row r="12" spans="1:2" x14ac:dyDescent="0.25">
      <c r="A12" t="s">
        <v>307</v>
      </c>
    </row>
    <row r="13" spans="1:2" x14ac:dyDescent="0.25">
      <c r="A13" t="s">
        <v>224</v>
      </c>
    </row>
    <row r="14" spans="1:2" x14ac:dyDescent="0.25">
      <c r="A14" s="398" t="s">
        <v>228</v>
      </c>
      <c r="B14" s="398"/>
    </row>
    <row r="15" spans="1:2" x14ac:dyDescent="0.25">
      <c r="A15" t="s">
        <v>212</v>
      </c>
    </row>
    <row r="16" spans="1:2" x14ac:dyDescent="0.25">
      <c r="A16" s="398" t="s">
        <v>308</v>
      </c>
      <c r="B16" s="398"/>
    </row>
    <row r="20" spans="1:4" s="380" customFormat="1" x14ac:dyDescent="0.25">
      <c r="A20" t="str">
        <f>A2</f>
        <v>Recebimento</v>
      </c>
      <c r="B20" s="50">
        <f>'DRE 2026'!B3</f>
        <v>8060000.04</v>
      </c>
      <c r="C20"/>
      <c r="D20"/>
    </row>
    <row r="21" spans="1:4" s="380" customFormat="1" x14ac:dyDescent="0.25">
      <c r="A21" t="str">
        <f>'DRE 2026'!A5</f>
        <v>Custos Diretos</v>
      </c>
      <c r="B21" s="50">
        <f>'DRE 2026'!B5</f>
        <v>2403882.6477500005</v>
      </c>
      <c r="C21" s="640">
        <f>B21/$B$32</f>
        <v>0.64349326668747886</v>
      </c>
      <c r="D21"/>
    </row>
    <row r="22" spans="1:4" s="380" customFormat="1" x14ac:dyDescent="0.25">
      <c r="A22" t="str">
        <f>'DRE 2026'!A10</f>
        <v>Ocupação</v>
      </c>
      <c r="B22" s="50">
        <f>'DRE 2026'!B10</f>
        <v>410635.67999999993</v>
      </c>
      <c r="C22" s="640">
        <f t="shared" ref="C22:C31" si="0">B22/$B$32</f>
        <v>0.10992270999125529</v>
      </c>
      <c r="D22"/>
    </row>
    <row r="23" spans="1:4" s="380" customFormat="1" x14ac:dyDescent="0.25">
      <c r="A23" t="str">
        <f>'DRE 2026'!A11</f>
        <v>Telecomunicações</v>
      </c>
      <c r="B23" s="50">
        <f>'DRE 2026'!B11</f>
        <v>10127.401800000001</v>
      </c>
      <c r="C23" s="640">
        <f t="shared" si="0"/>
        <v>2.7109954279333865E-3</v>
      </c>
      <c r="D23"/>
    </row>
    <row r="24" spans="1:4" s="380" customFormat="1" x14ac:dyDescent="0.25">
      <c r="A24" t="str">
        <f>'DRE 2026'!A12</f>
        <v>Despesas Gerais</v>
      </c>
      <c r="B24" s="50">
        <f>'DRE 2026'!B12</f>
        <v>74921.849999999977</v>
      </c>
      <c r="C24" s="51">
        <f t="shared" si="0"/>
        <v>2.0055765221274315E-2</v>
      </c>
      <c r="D24"/>
    </row>
    <row r="25" spans="1:4" s="380" customFormat="1" x14ac:dyDescent="0.25">
      <c r="A25" t="str">
        <f>'DRE 2026'!A13</f>
        <v>Consultoria</v>
      </c>
      <c r="B25" s="50">
        <f>'DRE 2026'!B13</f>
        <v>244264.88299999997</v>
      </c>
      <c r="C25" s="640">
        <f t="shared" si="0"/>
        <v>6.5387055248235876E-2</v>
      </c>
      <c r="D25"/>
    </row>
    <row r="26" spans="1:4" s="380" customFormat="1" x14ac:dyDescent="0.25">
      <c r="A26" t="str">
        <f>'DRE 2026'!A14</f>
        <v>Salários Administração</v>
      </c>
      <c r="B26" s="50">
        <f>'DRE 2026'!B14</f>
        <v>82659.531000000017</v>
      </c>
      <c r="C26" s="640">
        <f t="shared" si="0"/>
        <v>2.2127058355294844E-2</v>
      </c>
      <c r="D26"/>
    </row>
    <row r="27" spans="1:4" s="380" customFormat="1" x14ac:dyDescent="0.25">
      <c r="A27" t="str">
        <f>'DRE 2026'!A15</f>
        <v xml:space="preserve">Administrativas </v>
      </c>
      <c r="B27" s="50">
        <f>'DRE 2026'!B15</f>
        <v>91084.465233333336</v>
      </c>
      <c r="C27" s="51">
        <f t="shared" si="0"/>
        <v>2.4382321712892258E-2</v>
      </c>
      <c r="D27"/>
    </row>
    <row r="28" spans="1:4" s="380" customFormat="1" x14ac:dyDescent="0.25">
      <c r="A28" t="s">
        <v>572</v>
      </c>
      <c r="B28" s="50">
        <f>'DRE 2026'!B17</f>
        <v>96000</v>
      </c>
      <c r="C28" s="51">
        <f t="shared" si="0"/>
        <v>2.5698156962786354E-2</v>
      </c>
      <c r="D28"/>
    </row>
    <row r="29" spans="1:4" s="380" customFormat="1" x14ac:dyDescent="0.25">
      <c r="A29" t="str">
        <f>'DRE 2026'!A18</f>
        <v>Endomarketing</v>
      </c>
      <c r="B29" s="50">
        <f>'DRE 2026'!B18</f>
        <v>1200</v>
      </c>
      <c r="C29" s="51">
        <f t="shared" si="0"/>
        <v>3.2122696203482943E-4</v>
      </c>
      <c r="D29"/>
    </row>
    <row r="30" spans="1:4" s="380" customFormat="1" x14ac:dyDescent="0.25">
      <c r="A30" t="str">
        <f>'DRE 2026'!A19</f>
        <v>Gestão do Conhecimento</v>
      </c>
      <c r="B30" s="50">
        <f>'DRE 2026'!B19</f>
        <v>2300</v>
      </c>
      <c r="C30" s="51">
        <f t="shared" si="0"/>
        <v>6.1568501056675638E-4</v>
      </c>
      <c r="D30"/>
    </row>
    <row r="31" spans="1:4" s="380" customFormat="1" x14ac:dyDescent="0.25">
      <c r="A31" t="str">
        <f>'DRE 2026'!A20</f>
        <v xml:space="preserve">Informática </v>
      </c>
      <c r="B31" s="50">
        <f>'DRE 2026'!B20</f>
        <v>318600</v>
      </c>
      <c r="C31" s="640">
        <f t="shared" si="0"/>
        <v>8.5285758420247215E-2</v>
      </c>
      <c r="D31"/>
    </row>
    <row r="32" spans="1:4" x14ac:dyDescent="0.25">
      <c r="B32" s="50">
        <f>SUM(B21:B31)</f>
        <v>3735676.4587833337</v>
      </c>
    </row>
    <row r="35" spans="1:3" x14ac:dyDescent="0.25">
      <c r="A35" t="str">
        <f>A21</f>
        <v>Custos Diretos</v>
      </c>
      <c r="B35" s="5">
        <f>C21</f>
        <v>0.64349326668747886</v>
      </c>
    </row>
    <row r="36" spans="1:3" x14ac:dyDescent="0.25">
      <c r="A36" t="str">
        <f>A22</f>
        <v>Ocupação</v>
      </c>
      <c r="B36" s="5">
        <f>C22</f>
        <v>0.10992270999125529</v>
      </c>
    </row>
    <row r="37" spans="1:3" x14ac:dyDescent="0.25">
      <c r="A37" t="str">
        <f>A25</f>
        <v>Consultoria</v>
      </c>
      <c r="B37" s="5">
        <f>C25</f>
        <v>6.5387055248235876E-2</v>
      </c>
    </row>
    <row r="38" spans="1:3" x14ac:dyDescent="0.25">
      <c r="A38" t="str">
        <f>A27</f>
        <v xml:space="preserve">Administrativas </v>
      </c>
      <c r="B38" s="5">
        <f>C24+C29+C30+C27</f>
        <v>4.537499890676816E-2</v>
      </c>
    </row>
    <row r="39" spans="1:3" x14ac:dyDescent="0.25">
      <c r="A39" t="s">
        <v>570</v>
      </c>
      <c r="B39" s="5">
        <f>C26</f>
        <v>2.2127058355294844E-2</v>
      </c>
    </row>
    <row r="40" spans="1:3" x14ac:dyDescent="0.25">
      <c r="A40" t="s">
        <v>571</v>
      </c>
      <c r="B40" s="5">
        <f>C31+C23</f>
        <v>8.7996753848180606E-2</v>
      </c>
    </row>
    <row r="41" spans="1:3" x14ac:dyDescent="0.25">
      <c r="A41" t="str">
        <f>A28</f>
        <v>Prospecção</v>
      </c>
      <c r="B41" s="5">
        <f>C28</f>
        <v>2.5698156962786354E-2</v>
      </c>
    </row>
    <row r="43" spans="1:3" x14ac:dyDescent="0.25">
      <c r="C43" s="51"/>
    </row>
    <row r="44" spans="1:3" x14ac:dyDescent="0.25">
      <c r="C44" s="51"/>
    </row>
    <row r="45" spans="1:3" x14ac:dyDescent="0.25">
      <c r="C45" s="51"/>
    </row>
    <row r="48" spans="1:3" x14ac:dyDescent="0.25">
      <c r="C48" s="51"/>
    </row>
    <row r="49" spans="3:3" x14ac:dyDescent="0.25">
      <c r="C49" s="51"/>
    </row>
    <row r="50" spans="3:3" x14ac:dyDescent="0.25">
      <c r="C50" s="51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C845-9261-4ABB-ADA3-B2CEA94CEDDB}">
  <dimension ref="A1:D18"/>
  <sheetViews>
    <sheetView showGridLines="0" workbookViewId="0">
      <selection activeCell="A14" sqref="A14:B18"/>
    </sheetView>
  </sheetViews>
  <sheetFormatPr defaultRowHeight="15" x14ac:dyDescent="0.25"/>
  <cols>
    <col min="1" max="1" width="17.5703125" bestFit="1" customWidth="1"/>
    <col min="2" max="2" width="13.42578125" customWidth="1"/>
    <col min="3" max="3" width="15.5703125" customWidth="1"/>
    <col min="4" max="4" width="8.85546875" style="380"/>
  </cols>
  <sheetData>
    <row r="1" spans="1:4" x14ac:dyDescent="0.25">
      <c r="B1" s="58" t="s">
        <v>222</v>
      </c>
      <c r="C1" s="393" t="s">
        <v>239</v>
      </c>
    </row>
    <row r="2" spans="1:4" x14ac:dyDescent="0.25">
      <c r="A2" t="s">
        <v>13</v>
      </c>
      <c r="B2" s="381">
        <f>'Areas Sintetico atualizado'!B36</f>
        <v>251875.00125000003</v>
      </c>
      <c r="C2" s="400">
        <f>'Areas Sintetico atualizado'!L36</f>
        <v>72613.090702949994</v>
      </c>
    </row>
    <row r="3" spans="1:4" x14ac:dyDescent="0.25">
      <c r="A3" t="s">
        <v>307</v>
      </c>
      <c r="B3" s="381">
        <f>'Areas Sintetico atualizado'!K39</f>
        <v>74354.065000000002</v>
      </c>
      <c r="C3" s="400">
        <f>'Areas Sintetico atualizado'!L39</f>
        <v>73576.315000000002</v>
      </c>
      <c r="D3" s="51">
        <f>C3/$C$2</f>
        <v>1.0132651604239025</v>
      </c>
    </row>
    <row r="4" spans="1:4" x14ac:dyDescent="0.25">
      <c r="A4" t="s">
        <v>309</v>
      </c>
      <c r="B4" s="381">
        <f>'Areas Sintetico atualizado'!K40</f>
        <v>0</v>
      </c>
      <c r="C4" s="400">
        <f>'Areas Sintetico atualizado'!L40</f>
        <v>0</v>
      </c>
      <c r="D4" s="51">
        <f>C4/$C$2</f>
        <v>0</v>
      </c>
    </row>
    <row r="5" spans="1:4" x14ac:dyDescent="0.25">
      <c r="A5" t="s">
        <v>302</v>
      </c>
      <c r="B5" s="381">
        <f>'Areas Sintetico atualizado'!K41</f>
        <v>2110.4899999999998</v>
      </c>
      <c r="C5" s="400">
        <f>'Areas Sintetico atualizado'!L41</f>
        <v>1060.095</v>
      </c>
      <c r="D5" s="51">
        <f>C5/$C$2</f>
        <v>1.4599227077892889E-2</v>
      </c>
    </row>
    <row r="6" spans="1:4" x14ac:dyDescent="0.25">
      <c r="A6" t="s">
        <v>310</v>
      </c>
      <c r="B6" s="381">
        <f>'Areas Sintetico atualizado'!K42</f>
        <v>36974.282979077907</v>
      </c>
      <c r="C6" s="400">
        <f>'Areas Sintetico atualizado'!L42</f>
        <v>35425.446697227795</v>
      </c>
      <c r="D6" s="51">
        <f>C6/$C$2</f>
        <v>0.48786584284297091</v>
      </c>
    </row>
    <row r="7" spans="1:4" x14ac:dyDescent="0.25">
      <c r="A7" t="s">
        <v>228</v>
      </c>
      <c r="B7" s="400">
        <f>B2-B3-B5-B6</f>
        <v>138436.16327092214</v>
      </c>
      <c r="C7" s="400">
        <f>C2-C3-C5-C6-C4</f>
        <v>-37448.765994277805</v>
      </c>
      <c r="D7" s="51">
        <f>C7/$C$2</f>
        <v>-0.51573023034476628</v>
      </c>
    </row>
    <row r="10" spans="1:4" x14ac:dyDescent="0.25">
      <c r="A10" s="333"/>
      <c r="B10" s="333"/>
      <c r="C10" s="333"/>
    </row>
    <row r="11" spans="1:4" x14ac:dyDescent="0.25">
      <c r="A11" s="333"/>
      <c r="B11" s="333"/>
      <c r="C11" s="401"/>
    </row>
    <row r="12" spans="1:4" x14ac:dyDescent="0.25">
      <c r="A12" s="333"/>
      <c r="B12" s="333"/>
      <c r="C12" s="401"/>
    </row>
    <row r="13" spans="1:4" x14ac:dyDescent="0.25">
      <c r="A13" t="s">
        <v>13</v>
      </c>
      <c r="B13" s="333"/>
      <c r="C13" s="401"/>
    </row>
    <row r="14" spans="1:4" x14ac:dyDescent="0.25">
      <c r="A14" t="s">
        <v>307</v>
      </c>
      <c r="B14" s="402">
        <f>D3</f>
        <v>1.0132651604239025</v>
      </c>
      <c r="C14" s="403"/>
    </row>
    <row r="15" spans="1:4" x14ac:dyDescent="0.25">
      <c r="A15" t="str">
        <f>A4</f>
        <v>Comissão</v>
      </c>
      <c r="B15" s="402">
        <f>D4</f>
        <v>0</v>
      </c>
      <c r="C15" s="403"/>
    </row>
    <row r="16" spans="1:4" x14ac:dyDescent="0.25">
      <c r="A16" t="s">
        <v>302</v>
      </c>
      <c r="B16" s="402">
        <f>D5</f>
        <v>1.4599227077892889E-2</v>
      </c>
      <c r="C16" s="403"/>
    </row>
    <row r="17" spans="1:3" x14ac:dyDescent="0.25">
      <c r="A17" t="s">
        <v>310</v>
      </c>
      <c r="B17" s="402">
        <f>D6</f>
        <v>0.48786584284297091</v>
      </c>
      <c r="C17" s="404"/>
    </row>
    <row r="18" spans="1:3" x14ac:dyDescent="0.25">
      <c r="A18" t="str">
        <f>A7</f>
        <v>Resultado Bruto</v>
      </c>
      <c r="B18" s="402">
        <f>D7</f>
        <v>-0.51573023034476628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17CA-7A4A-417E-B93F-AD901B1DBAB5}">
  <dimension ref="A1:D18"/>
  <sheetViews>
    <sheetView showGridLines="0" workbookViewId="0">
      <selection activeCell="A14" sqref="A14:B18"/>
    </sheetView>
  </sheetViews>
  <sheetFormatPr defaultRowHeight="15" x14ac:dyDescent="0.25"/>
  <cols>
    <col min="1" max="1" width="17.5703125" bestFit="1" customWidth="1"/>
    <col min="2" max="2" width="13.42578125" customWidth="1"/>
    <col min="3" max="3" width="15.5703125" customWidth="1"/>
    <col min="4" max="4" width="8.85546875" style="380"/>
  </cols>
  <sheetData>
    <row r="1" spans="1:4" x14ac:dyDescent="0.25">
      <c r="B1" s="58" t="s">
        <v>222</v>
      </c>
      <c r="C1" s="393" t="s">
        <v>239</v>
      </c>
    </row>
    <row r="2" spans="1:4" x14ac:dyDescent="0.25">
      <c r="A2" t="s">
        <v>13</v>
      </c>
      <c r="B2" s="381">
        <f>'Areas Sintetico atualizado'!K54</f>
        <v>251875.00125000003</v>
      </c>
      <c r="C2" s="400">
        <f>'Areas Sintetico atualizado'!L54</f>
        <v>120362.57434894999</v>
      </c>
    </row>
    <row r="3" spans="1:4" x14ac:dyDescent="0.25">
      <c r="A3" t="s">
        <v>307</v>
      </c>
      <c r="B3" s="381">
        <f>'Areas Sintetico atualizado'!K57</f>
        <v>76879.165000000023</v>
      </c>
      <c r="C3" s="400">
        <f>'Areas Sintetico atualizado'!L57</f>
        <v>76041.035000000003</v>
      </c>
      <c r="D3" s="51">
        <f>C3/$C$2</f>
        <v>0.63176643912205721</v>
      </c>
    </row>
    <row r="4" spans="1:4" x14ac:dyDescent="0.25">
      <c r="A4" t="str">
        <f>Contencioso!A4</f>
        <v>Comissão</v>
      </c>
      <c r="B4" s="381">
        <f>'Areas Sintetico atualizado'!K58</f>
        <v>0</v>
      </c>
      <c r="C4" s="400">
        <f>'Areas Sintetico atualizado'!L58</f>
        <v>0</v>
      </c>
      <c r="D4" s="51">
        <f>C4/$C$2</f>
        <v>0</v>
      </c>
    </row>
    <row r="5" spans="1:4" x14ac:dyDescent="0.25">
      <c r="A5" t="s">
        <v>302</v>
      </c>
      <c r="B5" s="381">
        <f>'Areas Sintetico atualizado'!K59</f>
        <v>3174.8233333333333</v>
      </c>
      <c r="C5" s="400">
        <f>'Areas Sintetico atualizado'!L59</f>
        <v>1871.8050000000001</v>
      </c>
      <c r="D5" s="51">
        <f>C5/$C$2</f>
        <v>1.5551387215874461E-2</v>
      </c>
    </row>
    <row r="6" spans="1:4" x14ac:dyDescent="0.25">
      <c r="A6" t="s">
        <v>310</v>
      </c>
      <c r="B6" s="381">
        <f>'Areas Sintetico atualizado'!K60</f>
        <v>37924.624283677076</v>
      </c>
      <c r="C6" s="400">
        <f>'Areas Sintetico atualizado'!L60</f>
        <v>36612.157488378332</v>
      </c>
      <c r="D6" s="51">
        <f>C6/$C$2</f>
        <v>0.30418224008929839</v>
      </c>
    </row>
    <row r="7" spans="1:4" x14ac:dyDescent="0.25">
      <c r="A7" t="s">
        <v>228</v>
      </c>
      <c r="B7" s="400">
        <f>B2-B3-B5-B6</f>
        <v>133896.38863298958</v>
      </c>
      <c r="C7" s="400">
        <f>C2-C3-C5-C6-C4</f>
        <v>5837.5768605716512</v>
      </c>
      <c r="D7" s="51">
        <f t="shared" ref="D7" si="0">C7/$C$2</f>
        <v>4.8499933572769889E-2</v>
      </c>
    </row>
    <row r="10" spans="1:4" x14ac:dyDescent="0.25">
      <c r="A10" s="333"/>
      <c r="B10" s="333"/>
      <c r="C10" s="333"/>
    </row>
    <row r="11" spans="1:4" x14ac:dyDescent="0.25">
      <c r="A11" s="333"/>
      <c r="B11" s="333"/>
      <c r="C11" s="401"/>
    </row>
    <row r="12" spans="1:4" x14ac:dyDescent="0.25">
      <c r="A12" s="333"/>
      <c r="B12" s="333"/>
      <c r="C12" s="401"/>
    </row>
    <row r="13" spans="1:4" x14ac:dyDescent="0.25">
      <c r="A13" t="s">
        <v>13</v>
      </c>
      <c r="B13" s="333"/>
      <c r="C13" s="401"/>
    </row>
    <row r="14" spans="1:4" x14ac:dyDescent="0.25">
      <c r="A14" t="s">
        <v>307</v>
      </c>
      <c r="B14" s="402">
        <f>D3</f>
        <v>0.63176643912205721</v>
      </c>
      <c r="C14" s="403"/>
    </row>
    <row r="15" spans="1:4" x14ac:dyDescent="0.25">
      <c r="A15" t="str">
        <f>A4</f>
        <v>Comissão</v>
      </c>
      <c r="B15" s="402">
        <f>D4</f>
        <v>0</v>
      </c>
      <c r="C15" s="403"/>
    </row>
    <row r="16" spans="1:4" x14ac:dyDescent="0.25">
      <c r="A16" t="s">
        <v>302</v>
      </c>
      <c r="B16" s="402">
        <f>D5</f>
        <v>1.5551387215874461E-2</v>
      </c>
      <c r="C16" s="403"/>
    </row>
    <row r="17" spans="1:3" x14ac:dyDescent="0.25">
      <c r="A17" t="s">
        <v>310</v>
      </c>
      <c r="B17" s="402">
        <f>D6</f>
        <v>0.30418224008929839</v>
      </c>
      <c r="C17" s="404"/>
    </row>
    <row r="18" spans="1:3" x14ac:dyDescent="0.25">
      <c r="A18" t="s">
        <v>228</v>
      </c>
      <c r="B18" s="402">
        <f t="shared" ref="B18" si="1">D7</f>
        <v>4.8499933572769889E-2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F201-5D5D-4E0D-959C-762305AA06CD}">
  <dimension ref="A1:D18"/>
  <sheetViews>
    <sheetView showGridLines="0" topLeftCell="A4" workbookViewId="0">
      <selection activeCell="L26" sqref="L26"/>
    </sheetView>
  </sheetViews>
  <sheetFormatPr defaultRowHeight="15" x14ac:dyDescent="0.25"/>
  <cols>
    <col min="1" max="1" width="17.5703125" bestFit="1" customWidth="1"/>
    <col min="2" max="2" width="13.42578125" customWidth="1"/>
    <col min="3" max="3" width="15.5703125" customWidth="1"/>
    <col min="4" max="4" width="8.85546875" style="380"/>
  </cols>
  <sheetData>
    <row r="1" spans="1:4" x14ac:dyDescent="0.25">
      <c r="B1" s="58" t="s">
        <v>222</v>
      </c>
      <c r="C1" s="393" t="s">
        <v>239</v>
      </c>
    </row>
    <row r="2" spans="1:4" x14ac:dyDescent="0.25">
      <c r="A2" t="s">
        <v>13</v>
      </c>
      <c r="B2" s="381">
        <f>'Areas Sintetico atualizado'!K72</f>
        <v>167916.66750000001</v>
      </c>
      <c r="C2" s="400">
        <f>'Areas Sintetico atualizado'!L72</f>
        <v>86846.334948100004</v>
      </c>
    </row>
    <row r="3" spans="1:4" x14ac:dyDescent="0.25">
      <c r="A3" t="s">
        <v>307</v>
      </c>
      <c r="B3" s="381">
        <f>'Areas Sintetico atualizado'!K75</f>
        <v>62184.360000000008</v>
      </c>
      <c r="C3" s="400">
        <f>'Areas Sintetico atualizado'!L75</f>
        <v>62013.17</v>
      </c>
      <c r="D3" s="51">
        <f>C3/$C$2</f>
        <v>0.71405627004362959</v>
      </c>
    </row>
    <row r="4" spans="1:4" x14ac:dyDescent="0.25">
      <c r="A4" t="str">
        <f>Econômico!A4</f>
        <v>Comissão</v>
      </c>
      <c r="B4" s="381"/>
      <c r="C4" s="400">
        <f>'Areas Sintetico atualizado'!L76</f>
        <v>0</v>
      </c>
      <c r="D4" s="51">
        <f>C4/$C$2</f>
        <v>0</v>
      </c>
    </row>
    <row r="5" spans="1:4" x14ac:dyDescent="0.25">
      <c r="A5" t="s">
        <v>302</v>
      </c>
      <c r="B5" s="381">
        <f>'Areas Sintetico atualizado'!K77</f>
        <v>1901.49</v>
      </c>
      <c r="C5" s="400">
        <f>'Areas Sintetico atualizado'!L77</f>
        <v>146</v>
      </c>
      <c r="D5" s="51">
        <f>C5/$C$2</f>
        <v>1.6811302409854216E-3</v>
      </c>
    </row>
    <row r="6" spans="1:4" x14ac:dyDescent="0.25">
      <c r="A6" t="s">
        <v>310</v>
      </c>
      <c r="B6" s="381">
        <f>'Areas Sintetico atualizado'!K78</f>
        <v>25223.353926356918</v>
      </c>
      <c r="C6" s="400">
        <f>'Areas Sintetico atualizado'!L78</f>
        <v>29858.035814393879</v>
      </c>
      <c r="D6" s="51">
        <f>C6/$C$2</f>
        <v>0.34380306126029681</v>
      </c>
    </row>
    <row r="7" spans="1:4" x14ac:dyDescent="0.25">
      <c r="A7" t="s">
        <v>228</v>
      </c>
      <c r="B7" s="400">
        <f>B2-B3-B5-B6</f>
        <v>78607.463573643065</v>
      </c>
      <c r="C7" s="400">
        <f>C2-C3-C5-C6-C4</f>
        <v>-5170.8708662938734</v>
      </c>
      <c r="D7" s="51">
        <f>C7/$C$2</f>
        <v>-5.9540461544911744E-2</v>
      </c>
    </row>
    <row r="10" spans="1:4" x14ac:dyDescent="0.25">
      <c r="A10" s="333"/>
      <c r="B10" s="333"/>
      <c r="C10" s="333"/>
    </row>
    <row r="11" spans="1:4" x14ac:dyDescent="0.25">
      <c r="A11" s="333"/>
      <c r="B11" s="333"/>
      <c r="C11" s="401"/>
    </row>
    <row r="12" spans="1:4" x14ac:dyDescent="0.25">
      <c r="A12" s="333"/>
      <c r="B12" s="333"/>
      <c r="C12" s="401"/>
    </row>
    <row r="13" spans="1:4" x14ac:dyDescent="0.25">
      <c r="A13" t="s">
        <v>13</v>
      </c>
      <c r="B13" s="333"/>
      <c r="C13" s="401"/>
    </row>
    <row r="14" spans="1:4" x14ac:dyDescent="0.25">
      <c r="A14" t="s">
        <v>307</v>
      </c>
      <c r="B14" s="402">
        <f>D3</f>
        <v>0.71405627004362959</v>
      </c>
      <c r="C14" s="403"/>
    </row>
    <row r="15" spans="1:4" x14ac:dyDescent="0.25">
      <c r="A15" t="str">
        <f>A4</f>
        <v>Comissão</v>
      </c>
      <c r="B15" s="402">
        <f>D4</f>
        <v>0</v>
      </c>
      <c r="C15" s="403"/>
    </row>
    <row r="16" spans="1:4" x14ac:dyDescent="0.25">
      <c r="A16" t="s">
        <v>302</v>
      </c>
      <c r="B16" s="402">
        <f>D5</f>
        <v>1.6811302409854216E-3</v>
      </c>
      <c r="C16" s="403"/>
    </row>
    <row r="17" spans="1:3" x14ac:dyDescent="0.25">
      <c r="A17" t="s">
        <v>310</v>
      </c>
      <c r="B17" s="402">
        <f>D6</f>
        <v>0.34380306126029681</v>
      </c>
      <c r="C17" s="404"/>
    </row>
    <row r="18" spans="1:3" x14ac:dyDescent="0.25">
      <c r="A18" t="s">
        <v>228</v>
      </c>
      <c r="B18" s="402">
        <f t="shared" ref="B18" si="0">D7</f>
        <v>-5.9540461544911744E-2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93F6-9C2B-42C4-83C7-F3DE9DF52669}">
  <sheetPr>
    <tabColor rgb="FF92D050"/>
  </sheetPr>
  <dimension ref="A1:Q355"/>
  <sheetViews>
    <sheetView topLeftCell="F138" zoomScale="110" zoomScaleNormal="110" workbookViewId="0">
      <selection activeCell="J152" sqref="J152"/>
    </sheetView>
  </sheetViews>
  <sheetFormatPr defaultRowHeight="15" x14ac:dyDescent="0.25"/>
  <cols>
    <col min="1" max="1" width="8.85546875" style="66"/>
    <col min="2" max="2" width="8.85546875" style="58"/>
    <col min="3" max="3" width="23.85546875" bestFit="1" customWidth="1"/>
    <col min="4" max="4" width="8.85546875" style="58"/>
    <col min="5" max="5" width="64.7109375" customWidth="1"/>
    <col min="6" max="6" width="12.7109375" customWidth="1"/>
    <col min="7" max="7" width="11.140625" bestFit="1" customWidth="1"/>
    <col min="8" max="8" width="15.140625" bestFit="1" customWidth="1"/>
    <col min="9" max="9" width="15" style="32" bestFit="1" customWidth="1"/>
    <col min="10" max="10" width="15" bestFit="1" customWidth="1"/>
    <col min="11" max="11" width="16.42578125" customWidth="1"/>
    <col min="13" max="13" width="22.28515625" bestFit="1" customWidth="1"/>
    <col min="14" max="14" width="21.5703125" customWidth="1"/>
    <col min="15" max="15" width="15.42578125" customWidth="1"/>
    <col min="16" max="16" width="21.7109375" bestFit="1" customWidth="1"/>
    <col min="17" max="17" width="15.5703125" customWidth="1"/>
  </cols>
  <sheetData>
    <row r="1" spans="1:17" ht="15.75" thickBot="1" x14ac:dyDescent="0.3">
      <c r="A1" s="67" t="s">
        <v>311</v>
      </c>
      <c r="B1" s="67" t="s">
        <v>312</v>
      </c>
      <c r="C1" s="70" t="s">
        <v>313</v>
      </c>
      <c r="D1" s="73" t="s">
        <v>312</v>
      </c>
      <c r="E1" s="70" t="s">
        <v>314</v>
      </c>
      <c r="F1" s="68" t="s">
        <v>315</v>
      </c>
      <c r="G1" s="70" t="s">
        <v>316</v>
      </c>
      <c r="H1" s="70" t="s">
        <v>317</v>
      </c>
      <c r="I1" s="69" t="s">
        <v>318</v>
      </c>
      <c r="J1" s="70" t="s">
        <v>319</v>
      </c>
      <c r="K1" s="69" t="s">
        <v>320</v>
      </c>
      <c r="M1" s="32" t="s">
        <v>321</v>
      </c>
      <c r="O1" s="32" t="s">
        <v>322</v>
      </c>
    </row>
    <row r="2" spans="1:17" ht="15.75" thickBot="1" x14ac:dyDescent="0.3">
      <c r="A2" s="66">
        <v>3465</v>
      </c>
      <c r="B2" s="58">
        <v>61</v>
      </c>
      <c r="C2" t="s">
        <v>323</v>
      </c>
      <c r="D2" s="58">
        <v>10</v>
      </c>
      <c r="E2" t="s">
        <v>324</v>
      </c>
      <c r="F2" t="s">
        <v>325</v>
      </c>
      <c r="G2" s="1">
        <v>474.09</v>
      </c>
      <c r="H2" t="s">
        <v>217</v>
      </c>
      <c r="I2" s="125">
        <v>45717</v>
      </c>
      <c r="J2" s="1">
        <f>+G3</f>
        <v>7395.61</v>
      </c>
      <c r="K2" t="s">
        <v>216</v>
      </c>
      <c r="M2" s="80" t="s">
        <v>326</v>
      </c>
      <c r="N2" s="81" t="s">
        <v>327</v>
      </c>
      <c r="O2" s="80" t="s">
        <v>326</v>
      </c>
      <c r="P2" s="81" t="s">
        <v>328</v>
      </c>
    </row>
    <row r="3" spans="1:17" ht="15.75" thickBot="1" x14ac:dyDescent="0.3">
      <c r="F3" s="77" t="s">
        <v>329</v>
      </c>
      <c r="G3" s="78">
        <v>7395.61</v>
      </c>
      <c r="I3" s="125"/>
      <c r="J3" s="1">
        <f>+G5</f>
        <v>7822.38</v>
      </c>
      <c r="K3" t="s">
        <v>216</v>
      </c>
      <c r="M3" s="126">
        <f>+M31+M32+M33</f>
        <v>54452.933187199997</v>
      </c>
      <c r="N3" s="127" t="s">
        <v>245</v>
      </c>
      <c r="O3" s="128">
        <f>+M8+M9+M11+M10</f>
        <v>10285.68</v>
      </c>
      <c r="P3" s="127" t="s">
        <v>245</v>
      </c>
      <c r="Q3" s="1"/>
    </row>
    <row r="4" spans="1:17" ht="15.75" thickBot="1" x14ac:dyDescent="0.3">
      <c r="F4" t="s">
        <v>330</v>
      </c>
      <c r="G4" s="1">
        <v>2560.02</v>
      </c>
      <c r="H4" s="1"/>
      <c r="I4" s="125"/>
      <c r="J4" s="93"/>
      <c r="M4" s="129">
        <f>+M34+M35+M36+M37+M38+M39+M42+M40+M41</f>
        <v>46372.07</v>
      </c>
      <c r="N4" s="130" t="s">
        <v>216</v>
      </c>
      <c r="O4" s="129">
        <f>+M12+M13+M14+M15+M16+M17+M18</f>
        <v>106691.10318719999</v>
      </c>
      <c r="P4" s="130" t="s">
        <v>216</v>
      </c>
      <c r="Q4" s="1"/>
    </row>
    <row r="5" spans="1:17" ht="15.75" thickBot="1" x14ac:dyDescent="0.3">
      <c r="F5" s="77" t="s">
        <v>331</v>
      </c>
      <c r="G5" s="78">
        <v>7822.38</v>
      </c>
      <c r="I5" s="125"/>
      <c r="M5" s="131">
        <f>+M43+M44+M45+M46</f>
        <v>53095.31</v>
      </c>
      <c r="N5" s="132" t="s">
        <v>217</v>
      </c>
      <c r="O5" s="131">
        <f>+M19+M20+M21+M22+M23+M24+M25</f>
        <v>36943.53</v>
      </c>
      <c r="P5" s="132" t="s">
        <v>217</v>
      </c>
      <c r="Q5" s="1"/>
    </row>
    <row r="6" spans="1:17" ht="15.75" thickBot="1" x14ac:dyDescent="0.3">
      <c r="F6" t="s">
        <v>332</v>
      </c>
      <c r="G6" s="1">
        <v>9718.7099999999991</v>
      </c>
      <c r="I6" s="125"/>
    </row>
    <row r="7" spans="1:17" ht="15.75" thickBot="1" x14ac:dyDescent="0.3">
      <c r="F7" t="s">
        <v>333</v>
      </c>
      <c r="G7" s="1">
        <v>10429.76</v>
      </c>
      <c r="I7" s="125"/>
      <c r="M7" s="80" t="s">
        <v>326</v>
      </c>
      <c r="N7" s="81" t="s">
        <v>334</v>
      </c>
      <c r="O7" s="94" t="s">
        <v>320</v>
      </c>
      <c r="P7" s="81" t="s">
        <v>335</v>
      </c>
    </row>
    <row r="8" spans="1:17" x14ac:dyDescent="0.25">
      <c r="F8" t="s">
        <v>336</v>
      </c>
      <c r="G8" s="1">
        <f>SUM(G2:G7)</f>
        <v>38400.57</v>
      </c>
      <c r="I8" s="125"/>
      <c r="M8" s="82">
        <f>+J72</f>
        <v>857.14</v>
      </c>
      <c r="N8" s="82" t="s">
        <v>217</v>
      </c>
      <c r="O8" s="101" t="s">
        <v>245</v>
      </c>
      <c r="P8" s="84" t="s">
        <v>40</v>
      </c>
    </row>
    <row r="9" spans="1:17" x14ac:dyDescent="0.25">
      <c r="A9" s="71"/>
      <c r="B9" s="71"/>
      <c r="C9" s="72"/>
      <c r="D9" s="71"/>
      <c r="E9" s="72"/>
      <c r="F9" s="75" t="s">
        <v>337</v>
      </c>
      <c r="G9" s="76">
        <v>60000</v>
      </c>
      <c r="H9" s="72"/>
      <c r="I9" s="133"/>
      <c r="J9" s="72"/>
      <c r="K9" s="72"/>
      <c r="M9" s="85">
        <f>+J75</f>
        <v>5714.27</v>
      </c>
      <c r="N9" s="85" t="s">
        <v>216</v>
      </c>
      <c r="O9" s="104" t="s">
        <v>245</v>
      </c>
      <c r="P9" s="87" t="s">
        <v>40</v>
      </c>
    </row>
    <row r="10" spans="1:17" x14ac:dyDescent="0.25">
      <c r="A10" s="66">
        <v>3480</v>
      </c>
      <c r="B10" s="58">
        <v>5</v>
      </c>
      <c r="C10" t="s">
        <v>338</v>
      </c>
      <c r="D10" s="58">
        <v>1</v>
      </c>
      <c r="E10" t="s">
        <v>339</v>
      </c>
      <c r="F10" s="77" t="s">
        <v>325</v>
      </c>
      <c r="G10" s="78">
        <v>350</v>
      </c>
      <c r="H10" t="s">
        <v>216</v>
      </c>
      <c r="I10" s="125">
        <v>45733</v>
      </c>
      <c r="J10" s="1">
        <f>+G12</f>
        <v>700</v>
      </c>
      <c r="K10" t="s">
        <v>217</v>
      </c>
      <c r="M10" s="134">
        <f>+J89</f>
        <v>2571.42</v>
      </c>
      <c r="N10" s="134" t="s">
        <v>216</v>
      </c>
      <c r="O10" s="135" t="s">
        <v>245</v>
      </c>
      <c r="P10" s="136" t="s">
        <v>41</v>
      </c>
    </row>
    <row r="11" spans="1:17" ht="15.75" thickBot="1" x14ac:dyDescent="0.3">
      <c r="F11" t="s">
        <v>331</v>
      </c>
      <c r="G11" s="1">
        <v>525</v>
      </c>
      <c r="I11" s="125"/>
      <c r="J11" s="1">
        <f>+G10</f>
        <v>350</v>
      </c>
      <c r="K11" t="s">
        <v>217</v>
      </c>
      <c r="M11" s="91">
        <f>+J116</f>
        <v>1142.8499999999999</v>
      </c>
      <c r="N11" s="91" t="s">
        <v>216</v>
      </c>
      <c r="O11" s="102" t="s">
        <v>245</v>
      </c>
      <c r="P11" s="92" t="s">
        <v>42</v>
      </c>
    </row>
    <row r="12" spans="1:17" ht="15.75" thickTop="1" x14ac:dyDescent="0.25">
      <c r="F12" s="77" t="s">
        <v>333</v>
      </c>
      <c r="G12" s="78">
        <v>700</v>
      </c>
      <c r="I12" s="125"/>
      <c r="M12" s="88">
        <f>+J2+J3</f>
        <v>15217.99</v>
      </c>
      <c r="N12" s="88" t="s">
        <v>217</v>
      </c>
      <c r="O12" s="103" t="s">
        <v>216</v>
      </c>
      <c r="P12" s="90" t="s">
        <v>35</v>
      </c>
    </row>
    <row r="13" spans="1:17" x14ac:dyDescent="0.25">
      <c r="F13" t="s">
        <v>336</v>
      </c>
      <c r="G13" s="1">
        <f>SUM(G10:G12)</f>
        <v>1575</v>
      </c>
      <c r="I13" s="125"/>
      <c r="M13" s="85">
        <f>+J15+J16+J17+J37</f>
        <v>34919.89</v>
      </c>
      <c r="N13" s="85" t="s">
        <v>217</v>
      </c>
      <c r="O13" s="104" t="s">
        <v>216</v>
      </c>
      <c r="P13" s="87" t="s">
        <v>36</v>
      </c>
    </row>
    <row r="14" spans="1:17" x14ac:dyDescent="0.25">
      <c r="A14" s="74"/>
      <c r="B14" s="71"/>
      <c r="C14" s="72"/>
      <c r="D14" s="71"/>
      <c r="E14" s="72"/>
      <c r="F14" s="75" t="s">
        <v>337</v>
      </c>
      <c r="G14" s="76">
        <f>+G13</f>
        <v>1575</v>
      </c>
      <c r="H14" s="72"/>
      <c r="I14" s="133"/>
      <c r="J14" s="72"/>
      <c r="K14" s="72"/>
      <c r="M14" s="85">
        <f>+J24+J43</f>
        <v>32348.373224700001</v>
      </c>
      <c r="N14" s="85" t="s">
        <v>245</v>
      </c>
      <c r="O14" s="104" t="s">
        <v>216</v>
      </c>
      <c r="P14" s="87" t="s">
        <v>38</v>
      </c>
    </row>
    <row r="15" spans="1:17" x14ac:dyDescent="0.25">
      <c r="A15" s="66">
        <v>3522</v>
      </c>
      <c r="B15" s="58">
        <v>61</v>
      </c>
      <c r="C15" t="s">
        <v>323</v>
      </c>
      <c r="D15" s="58">
        <v>10</v>
      </c>
      <c r="E15" t="s">
        <v>324</v>
      </c>
      <c r="F15" t="s">
        <v>325</v>
      </c>
      <c r="G15" s="1">
        <v>711.12</v>
      </c>
      <c r="H15" t="s">
        <v>217</v>
      </c>
      <c r="I15" s="125">
        <v>45748</v>
      </c>
      <c r="J15" s="1">
        <v>12843.81</v>
      </c>
      <c r="K15" t="s">
        <v>216</v>
      </c>
      <c r="M15" s="85">
        <f>+J96+J101</f>
        <v>1799.42</v>
      </c>
      <c r="N15" s="85" t="s">
        <v>217</v>
      </c>
      <c r="O15" s="104" t="s">
        <v>216</v>
      </c>
      <c r="P15" s="87" t="s">
        <v>38</v>
      </c>
    </row>
    <row r="16" spans="1:17" x14ac:dyDescent="0.25">
      <c r="F16" s="77" t="s">
        <v>329</v>
      </c>
      <c r="G16" s="78">
        <v>14364.56</v>
      </c>
      <c r="I16" s="125"/>
      <c r="J16" s="1">
        <v>12721.81</v>
      </c>
      <c r="K16" t="s">
        <v>216</v>
      </c>
      <c r="M16" s="85">
        <f>+J29</f>
        <v>14038.9679853</v>
      </c>
      <c r="N16" s="85" t="s">
        <v>245</v>
      </c>
      <c r="O16" s="104" t="s">
        <v>216</v>
      </c>
      <c r="P16" s="87" t="s">
        <v>40</v>
      </c>
    </row>
    <row r="17" spans="1:16" x14ac:dyDescent="0.25">
      <c r="F17" t="s">
        <v>330</v>
      </c>
      <c r="G17" s="1">
        <v>995.56</v>
      </c>
      <c r="I17" s="125"/>
      <c r="J17" s="1">
        <v>9047.73</v>
      </c>
      <c r="K17" t="s">
        <v>216</v>
      </c>
      <c r="M17" s="137">
        <f>+J69</f>
        <v>300.87</v>
      </c>
      <c r="N17" s="137" t="s">
        <v>217</v>
      </c>
      <c r="O17" s="138" t="s">
        <v>216</v>
      </c>
      <c r="P17" s="139" t="s">
        <v>40</v>
      </c>
    </row>
    <row r="18" spans="1:16" ht="15.75" thickBot="1" x14ac:dyDescent="0.3">
      <c r="F18" s="77" t="s">
        <v>331</v>
      </c>
      <c r="G18" s="78">
        <v>14222.5</v>
      </c>
      <c r="I18" s="125"/>
      <c r="M18" s="91">
        <f>+J82+I109+I114</f>
        <v>8065.5919771999997</v>
      </c>
      <c r="N18" s="91" t="s">
        <v>245</v>
      </c>
      <c r="O18" s="102" t="s">
        <v>216</v>
      </c>
      <c r="P18" s="92" t="s">
        <v>41</v>
      </c>
    </row>
    <row r="19" spans="1:16" ht="15.75" thickTop="1" x14ac:dyDescent="0.25">
      <c r="F19" s="77" t="s">
        <v>340</v>
      </c>
      <c r="G19" s="78">
        <v>10113.709999999999</v>
      </c>
      <c r="I19" s="125"/>
      <c r="M19" s="88">
        <f>+J10+J11</f>
        <v>1050</v>
      </c>
      <c r="N19" s="88" t="s">
        <v>216</v>
      </c>
      <c r="O19" s="103" t="s">
        <v>217</v>
      </c>
      <c r="P19" s="90" t="s">
        <v>35</v>
      </c>
    </row>
    <row r="20" spans="1:16" x14ac:dyDescent="0.25">
      <c r="F20" t="s">
        <v>332</v>
      </c>
      <c r="G20" s="1">
        <v>7348.29</v>
      </c>
      <c r="I20" s="125"/>
      <c r="M20" s="85">
        <f>+J34</f>
        <v>525</v>
      </c>
      <c r="N20" s="85" t="s">
        <v>216</v>
      </c>
      <c r="O20" s="104" t="s">
        <v>217</v>
      </c>
      <c r="P20" s="87" t="s">
        <v>36</v>
      </c>
    </row>
    <row r="21" spans="1:16" x14ac:dyDescent="0.25">
      <c r="F21" t="s">
        <v>333</v>
      </c>
      <c r="G21" s="1">
        <v>19279.25</v>
      </c>
      <c r="I21" s="125"/>
      <c r="M21" s="85">
        <f>+J40</f>
        <v>525</v>
      </c>
      <c r="N21" s="85" t="s">
        <v>216</v>
      </c>
      <c r="O21" s="104" t="s">
        <v>217</v>
      </c>
      <c r="P21" s="87" t="s">
        <v>37</v>
      </c>
    </row>
    <row r="22" spans="1:16" x14ac:dyDescent="0.25">
      <c r="F22" t="s">
        <v>336</v>
      </c>
      <c r="G22" s="1">
        <f>SUM(G15:G21)</f>
        <v>67034.989999999991</v>
      </c>
      <c r="I22" s="125"/>
      <c r="M22" s="85">
        <f>+J54+J48</f>
        <v>30525</v>
      </c>
      <c r="N22" s="85" t="s">
        <v>216</v>
      </c>
      <c r="O22" s="104" t="s">
        <v>217</v>
      </c>
      <c r="P22" s="87" t="s">
        <v>38</v>
      </c>
    </row>
    <row r="23" spans="1:16" x14ac:dyDescent="0.25">
      <c r="A23" s="74"/>
      <c r="B23" s="71"/>
      <c r="C23" s="72"/>
      <c r="D23" s="71"/>
      <c r="E23" s="72"/>
      <c r="F23" s="75" t="s">
        <v>337</v>
      </c>
      <c r="G23" s="76">
        <v>60000</v>
      </c>
      <c r="H23" s="72"/>
      <c r="I23" s="133"/>
      <c r="J23" s="72"/>
      <c r="K23" s="72"/>
      <c r="M23" s="85">
        <f>+J66+J57+J58</f>
        <v>3268.5299999999997</v>
      </c>
      <c r="N23" s="85" t="s">
        <v>216</v>
      </c>
      <c r="O23" s="104" t="s">
        <v>217</v>
      </c>
      <c r="P23" s="87" t="s">
        <v>39</v>
      </c>
    </row>
    <row r="24" spans="1:16" x14ac:dyDescent="0.25">
      <c r="A24" s="66">
        <v>3535</v>
      </c>
      <c r="B24" s="79">
        <v>136</v>
      </c>
      <c r="C24" s="140" t="s">
        <v>341</v>
      </c>
      <c r="D24" s="58">
        <v>1</v>
      </c>
      <c r="E24" t="s">
        <v>342</v>
      </c>
      <c r="F24" s="77" t="s">
        <v>340</v>
      </c>
      <c r="G24" s="78">
        <v>5833.33</v>
      </c>
      <c r="H24" t="s">
        <v>245</v>
      </c>
      <c r="I24" s="125">
        <v>45809</v>
      </c>
      <c r="J24" s="1">
        <f>+G24*5.187</f>
        <v>30257.48271</v>
      </c>
      <c r="K24" t="s">
        <v>216</v>
      </c>
      <c r="M24" s="85">
        <f>+J86</f>
        <v>525</v>
      </c>
      <c r="N24" s="85" t="s">
        <v>216</v>
      </c>
      <c r="O24" s="104" t="s">
        <v>217</v>
      </c>
      <c r="P24" s="87" t="s">
        <v>40</v>
      </c>
    </row>
    <row r="25" spans="1:16" ht="15.75" thickBot="1" x14ac:dyDescent="0.3">
      <c r="F25" t="s">
        <v>343</v>
      </c>
      <c r="G25" s="1">
        <v>6250</v>
      </c>
      <c r="M25" s="91">
        <f>+J122</f>
        <v>525</v>
      </c>
      <c r="N25" s="91" t="s">
        <v>216</v>
      </c>
      <c r="O25" s="102" t="s">
        <v>217</v>
      </c>
      <c r="P25" s="92" t="s">
        <v>42</v>
      </c>
    </row>
    <row r="26" spans="1:16" ht="15.75" thickTop="1" x14ac:dyDescent="0.25">
      <c r="F26" t="s">
        <v>344</v>
      </c>
      <c r="G26" s="1">
        <v>5500</v>
      </c>
      <c r="H26" s="140" t="s">
        <v>345</v>
      </c>
      <c r="I26" s="141">
        <f>+G28*10%</f>
        <v>9120.4732710000008</v>
      </c>
      <c r="M26" s="85">
        <f>+J127</f>
        <v>11025</v>
      </c>
      <c r="N26" s="85" t="s">
        <v>245</v>
      </c>
      <c r="O26" s="104" t="s">
        <v>216</v>
      </c>
      <c r="P26" s="87" t="s">
        <v>44</v>
      </c>
    </row>
    <row r="27" spans="1:16" x14ac:dyDescent="0.25">
      <c r="F27" t="s">
        <v>336</v>
      </c>
      <c r="G27" s="1">
        <f>SUM(G24:G26)</f>
        <v>17583.330000000002</v>
      </c>
      <c r="M27" s="1"/>
      <c r="N27" s="1"/>
      <c r="O27" s="66"/>
    </row>
    <row r="28" spans="1:16" x14ac:dyDescent="0.25">
      <c r="A28" s="74"/>
      <c r="B28" s="71"/>
      <c r="C28" s="72"/>
      <c r="D28" s="71"/>
      <c r="E28" s="72"/>
      <c r="F28" s="75" t="s">
        <v>337</v>
      </c>
      <c r="G28" s="76">
        <f>+G27*5.187</f>
        <v>91204.732710000011</v>
      </c>
      <c r="H28" s="72"/>
      <c r="I28" s="75"/>
      <c r="J28" s="72"/>
      <c r="K28" s="72"/>
    </row>
    <row r="29" spans="1:16" ht="15.75" thickBot="1" x14ac:dyDescent="0.3">
      <c r="A29" s="66">
        <v>3536</v>
      </c>
      <c r="B29" s="79">
        <v>136</v>
      </c>
      <c r="C29" s="140" t="s">
        <v>341</v>
      </c>
      <c r="D29" s="58">
        <v>1</v>
      </c>
      <c r="E29" t="s">
        <v>342</v>
      </c>
      <c r="F29" s="77" t="s">
        <v>340</v>
      </c>
      <c r="G29" s="78">
        <v>2741.67</v>
      </c>
      <c r="H29" t="s">
        <v>245</v>
      </c>
      <c r="I29" s="125">
        <v>45870</v>
      </c>
      <c r="J29" s="1">
        <f>+G29*5.12059</f>
        <v>14038.9679853</v>
      </c>
      <c r="K29" t="s">
        <v>216</v>
      </c>
    </row>
    <row r="30" spans="1:16" ht="15.75" thickBot="1" x14ac:dyDescent="0.3">
      <c r="F30" t="s">
        <v>343</v>
      </c>
      <c r="G30" s="1">
        <v>8100</v>
      </c>
      <c r="M30" s="80" t="s">
        <v>326</v>
      </c>
      <c r="N30" s="94" t="s">
        <v>334</v>
      </c>
      <c r="O30" s="81" t="s">
        <v>320</v>
      </c>
      <c r="P30" s="81" t="s">
        <v>335</v>
      </c>
    </row>
    <row r="31" spans="1:16" x14ac:dyDescent="0.25">
      <c r="F31" t="s">
        <v>344</v>
      </c>
      <c r="G31" s="1">
        <v>8525</v>
      </c>
      <c r="H31" s="140" t="s">
        <v>345</v>
      </c>
      <c r="I31" s="141">
        <f>+G33*10%</f>
        <v>9916.8776735299998</v>
      </c>
      <c r="M31" s="82">
        <f>+J24+J43</f>
        <v>32348.373224700001</v>
      </c>
      <c r="N31" s="105" t="s">
        <v>245</v>
      </c>
      <c r="O31" s="83" t="s">
        <v>216</v>
      </c>
      <c r="P31" s="84" t="s">
        <v>38</v>
      </c>
    </row>
    <row r="32" spans="1:16" x14ac:dyDescent="0.25">
      <c r="F32" t="s">
        <v>336</v>
      </c>
      <c r="G32" s="1">
        <f>SUM(G29:G31)</f>
        <v>19366.669999999998</v>
      </c>
      <c r="M32" s="85">
        <f>+J29</f>
        <v>14038.9679853</v>
      </c>
      <c r="N32" s="106" t="s">
        <v>245</v>
      </c>
      <c r="O32" s="86" t="s">
        <v>216</v>
      </c>
      <c r="P32" s="87" t="s">
        <v>40</v>
      </c>
    </row>
    <row r="33" spans="1:16" ht="15.75" thickBot="1" x14ac:dyDescent="0.3">
      <c r="A33" s="74"/>
      <c r="B33" s="71"/>
      <c r="C33" s="72"/>
      <c r="D33" s="71"/>
      <c r="E33" s="72"/>
      <c r="F33" s="75" t="s">
        <v>337</v>
      </c>
      <c r="G33" s="76">
        <f>+G32*5.12059</f>
        <v>99168.776735299994</v>
      </c>
      <c r="H33" s="72"/>
      <c r="I33" s="75"/>
      <c r="J33" s="72"/>
      <c r="K33" s="72"/>
      <c r="M33" s="95">
        <f>+J82+I109+I114</f>
        <v>8065.5919771999997</v>
      </c>
      <c r="N33" s="107" t="s">
        <v>245</v>
      </c>
      <c r="O33" s="96" t="s">
        <v>216</v>
      </c>
      <c r="P33" s="97" t="s">
        <v>41</v>
      </c>
    </row>
    <row r="34" spans="1:16" ht="15.75" thickTop="1" x14ac:dyDescent="0.25">
      <c r="A34" s="66">
        <v>3537</v>
      </c>
      <c r="B34" s="58">
        <v>5</v>
      </c>
      <c r="C34" t="s">
        <v>338</v>
      </c>
      <c r="D34" s="58">
        <v>1</v>
      </c>
      <c r="E34" t="s">
        <v>339</v>
      </c>
      <c r="F34" s="77" t="s">
        <v>325</v>
      </c>
      <c r="G34" s="78">
        <v>525</v>
      </c>
      <c r="H34" t="s">
        <v>216</v>
      </c>
      <c r="I34" s="125">
        <v>45748</v>
      </c>
      <c r="J34" s="1">
        <f>+G34</f>
        <v>525</v>
      </c>
      <c r="K34" t="s">
        <v>217</v>
      </c>
      <c r="M34" s="85">
        <f>+J10+J11</f>
        <v>1050</v>
      </c>
      <c r="N34" s="106" t="s">
        <v>216</v>
      </c>
      <c r="O34" s="86" t="s">
        <v>217</v>
      </c>
      <c r="P34" s="87" t="s">
        <v>35</v>
      </c>
    </row>
    <row r="35" spans="1:16" x14ac:dyDescent="0.25">
      <c r="F35" t="s">
        <v>336</v>
      </c>
      <c r="G35" s="1">
        <f>+G34</f>
        <v>525</v>
      </c>
      <c r="I35" s="125"/>
      <c r="M35" s="85">
        <f>+J34</f>
        <v>525</v>
      </c>
      <c r="N35" s="106" t="s">
        <v>216</v>
      </c>
      <c r="O35" s="86" t="s">
        <v>217</v>
      </c>
      <c r="P35" s="87" t="s">
        <v>36</v>
      </c>
    </row>
    <row r="36" spans="1:16" x14ac:dyDescent="0.25">
      <c r="A36" s="74"/>
      <c r="B36" s="71"/>
      <c r="C36" s="72"/>
      <c r="D36" s="71"/>
      <c r="E36" s="72"/>
      <c r="F36" s="75" t="s">
        <v>337</v>
      </c>
      <c r="G36" s="76">
        <f>+G35</f>
        <v>525</v>
      </c>
      <c r="H36" s="72"/>
      <c r="I36" s="133"/>
      <c r="J36" s="72"/>
      <c r="K36" s="72"/>
      <c r="M36" s="85">
        <f>+J40</f>
        <v>525</v>
      </c>
      <c r="N36" s="106" t="s">
        <v>216</v>
      </c>
      <c r="O36" s="86" t="s">
        <v>217</v>
      </c>
      <c r="P36" s="87" t="s">
        <v>37</v>
      </c>
    </row>
    <row r="37" spans="1:16" x14ac:dyDescent="0.25">
      <c r="A37" s="66">
        <v>3573</v>
      </c>
      <c r="B37" s="79">
        <v>20</v>
      </c>
      <c r="C37" t="s">
        <v>346</v>
      </c>
      <c r="D37" s="58">
        <v>1</v>
      </c>
      <c r="E37" t="s">
        <v>347</v>
      </c>
      <c r="F37" s="77" t="s">
        <v>348</v>
      </c>
      <c r="G37" s="78">
        <v>50</v>
      </c>
      <c r="H37" t="s">
        <v>217</v>
      </c>
      <c r="I37" s="125">
        <v>45748</v>
      </c>
      <c r="J37" s="1">
        <f>+G39</f>
        <v>306.53999999999996</v>
      </c>
      <c r="K37" t="s">
        <v>216</v>
      </c>
      <c r="M37" s="88">
        <f>+J54+J48</f>
        <v>30525</v>
      </c>
      <c r="N37" s="108" t="s">
        <v>216</v>
      </c>
      <c r="O37" s="89" t="s">
        <v>217</v>
      </c>
      <c r="P37" s="90" t="s">
        <v>38</v>
      </c>
    </row>
    <row r="38" spans="1:16" x14ac:dyDescent="0.25">
      <c r="F38" t="s">
        <v>336</v>
      </c>
      <c r="G38" s="1">
        <f>+G37</f>
        <v>50</v>
      </c>
      <c r="I38" s="125"/>
      <c r="M38" s="85">
        <f>+J66+J57+J58</f>
        <v>3268.5299999999997</v>
      </c>
      <c r="N38" s="106" t="s">
        <v>216</v>
      </c>
      <c r="O38" s="86" t="s">
        <v>217</v>
      </c>
      <c r="P38" s="87" t="s">
        <v>39</v>
      </c>
    </row>
    <row r="39" spans="1:16" x14ac:dyDescent="0.25">
      <c r="A39" s="74"/>
      <c r="B39" s="71"/>
      <c r="C39" s="72"/>
      <c r="D39" s="71"/>
      <c r="E39" s="72"/>
      <c r="F39" s="75" t="s">
        <v>337</v>
      </c>
      <c r="G39" s="76">
        <f>+G38*6.1308</f>
        <v>306.53999999999996</v>
      </c>
      <c r="H39" s="72"/>
      <c r="I39" s="133"/>
      <c r="J39" s="72"/>
      <c r="K39" s="72"/>
      <c r="M39" s="85">
        <f>+J75+J86</f>
        <v>6239.27</v>
      </c>
      <c r="N39" s="106" t="s">
        <v>216</v>
      </c>
      <c r="O39" s="86" t="s">
        <v>217</v>
      </c>
      <c r="P39" s="87" t="s">
        <v>40</v>
      </c>
    </row>
    <row r="40" spans="1:16" x14ac:dyDescent="0.25">
      <c r="A40" s="66">
        <v>3595</v>
      </c>
      <c r="B40" s="58">
        <v>5</v>
      </c>
      <c r="C40" t="s">
        <v>338</v>
      </c>
      <c r="D40" s="58">
        <v>1</v>
      </c>
      <c r="E40" t="s">
        <v>339</v>
      </c>
      <c r="F40" s="77" t="s">
        <v>325</v>
      </c>
      <c r="G40" s="78">
        <v>525</v>
      </c>
      <c r="H40" t="s">
        <v>216</v>
      </c>
      <c r="I40" s="125">
        <v>45778</v>
      </c>
      <c r="J40" s="1">
        <f>+G40</f>
        <v>525</v>
      </c>
      <c r="K40" t="s">
        <v>217</v>
      </c>
      <c r="M40" s="85">
        <f>+J89</f>
        <v>2571.42</v>
      </c>
      <c r="N40" s="106" t="s">
        <v>216</v>
      </c>
      <c r="O40" s="86" t="s">
        <v>245</v>
      </c>
      <c r="P40" s="87" t="s">
        <v>41</v>
      </c>
    </row>
    <row r="41" spans="1:16" x14ac:dyDescent="0.25">
      <c r="F41" t="s">
        <v>336</v>
      </c>
      <c r="G41" s="1">
        <f>+G40</f>
        <v>525</v>
      </c>
      <c r="I41" s="125"/>
      <c r="M41" s="137">
        <f>+J116</f>
        <v>1142.8499999999999</v>
      </c>
      <c r="N41" s="106" t="s">
        <v>216</v>
      </c>
      <c r="O41" s="86" t="s">
        <v>245</v>
      </c>
      <c r="P41" s="139" t="s">
        <v>42</v>
      </c>
    </row>
    <row r="42" spans="1:16" ht="15.75" thickBot="1" x14ac:dyDescent="0.3">
      <c r="A42" s="74"/>
      <c r="B42" s="71"/>
      <c r="C42" s="72"/>
      <c r="D42" s="71"/>
      <c r="E42" s="72"/>
      <c r="F42" s="75" t="s">
        <v>337</v>
      </c>
      <c r="G42" s="76">
        <f>+G41</f>
        <v>525</v>
      </c>
      <c r="H42" s="72"/>
      <c r="I42" s="133"/>
      <c r="J42" s="72"/>
      <c r="K42" s="72"/>
      <c r="M42" s="98">
        <f>+J122</f>
        <v>525</v>
      </c>
      <c r="N42" s="109" t="s">
        <v>216</v>
      </c>
      <c r="O42" s="99" t="s">
        <v>217</v>
      </c>
      <c r="P42" s="100" t="s">
        <v>42</v>
      </c>
    </row>
    <row r="43" spans="1:16" x14ac:dyDescent="0.25">
      <c r="A43" s="66">
        <v>3605</v>
      </c>
      <c r="B43" s="79">
        <v>136</v>
      </c>
      <c r="C43" s="140" t="s">
        <v>341</v>
      </c>
      <c r="D43" s="58">
        <v>1</v>
      </c>
      <c r="E43" t="s">
        <v>342</v>
      </c>
      <c r="F43" s="77" t="s">
        <v>340</v>
      </c>
      <c r="G43" s="78">
        <v>408.33</v>
      </c>
      <c r="H43" t="s">
        <v>245</v>
      </c>
      <c r="I43" s="125">
        <v>45809</v>
      </c>
      <c r="J43" s="1">
        <f>+G43*5.12059</f>
        <v>2090.8905147</v>
      </c>
      <c r="K43" t="s">
        <v>216</v>
      </c>
      <c r="M43" s="88">
        <f>+J2+J3</f>
        <v>15217.99</v>
      </c>
      <c r="N43" s="108" t="s">
        <v>217</v>
      </c>
      <c r="O43" s="89" t="s">
        <v>216</v>
      </c>
      <c r="P43" s="90" t="s">
        <v>35</v>
      </c>
    </row>
    <row r="44" spans="1:16" x14ac:dyDescent="0.25">
      <c r="F44" t="s">
        <v>343</v>
      </c>
      <c r="G44" s="1">
        <v>100</v>
      </c>
      <c r="M44" s="85">
        <f>+J15+J16+J17+J37</f>
        <v>34919.89</v>
      </c>
      <c r="N44" s="106" t="s">
        <v>217</v>
      </c>
      <c r="O44" s="86" t="s">
        <v>216</v>
      </c>
      <c r="P44" s="87" t="s">
        <v>36</v>
      </c>
    </row>
    <row r="45" spans="1:16" x14ac:dyDescent="0.25">
      <c r="F45" t="s">
        <v>344</v>
      </c>
      <c r="G45" s="1">
        <v>825</v>
      </c>
      <c r="H45" s="140" t="s">
        <v>345</v>
      </c>
      <c r="I45" s="141">
        <f>+G47*10%</f>
        <v>682.74362646999998</v>
      </c>
      <c r="M45" s="85">
        <f>+J96+J101</f>
        <v>1799.42</v>
      </c>
      <c r="N45" s="106" t="s">
        <v>217</v>
      </c>
      <c r="O45" s="86" t="s">
        <v>216</v>
      </c>
      <c r="P45" s="87" t="s">
        <v>38</v>
      </c>
    </row>
    <row r="46" spans="1:16" x14ac:dyDescent="0.25">
      <c r="F46" t="s">
        <v>336</v>
      </c>
      <c r="G46" s="1">
        <f>SUM(G43:G45)</f>
        <v>1333.33</v>
      </c>
      <c r="M46" s="85">
        <f>+J69+J72</f>
        <v>1158.01</v>
      </c>
      <c r="N46" s="106" t="s">
        <v>217</v>
      </c>
      <c r="O46" s="86" t="s">
        <v>245</v>
      </c>
      <c r="P46" s="87" t="s">
        <v>40</v>
      </c>
    </row>
    <row r="47" spans="1:16" x14ac:dyDescent="0.25">
      <c r="A47" s="74"/>
      <c r="B47" s="71"/>
      <c r="C47" s="72"/>
      <c r="D47" s="71"/>
      <c r="E47" s="72"/>
      <c r="F47" s="75" t="s">
        <v>337</v>
      </c>
      <c r="G47" s="76">
        <f>+G46*5.12059</f>
        <v>6827.4362646999998</v>
      </c>
      <c r="H47" s="72"/>
      <c r="I47" s="75"/>
      <c r="J47" s="72"/>
      <c r="K47" s="72"/>
      <c r="M47" s="1"/>
      <c r="N47" s="93"/>
      <c r="O47" s="58"/>
    </row>
    <row r="48" spans="1:16" x14ac:dyDescent="0.25">
      <c r="A48" s="66">
        <v>3614</v>
      </c>
      <c r="B48" s="58">
        <v>140</v>
      </c>
      <c r="C48" t="s">
        <v>349</v>
      </c>
      <c r="D48" s="58">
        <v>1</v>
      </c>
      <c r="E48" t="s">
        <v>350</v>
      </c>
      <c r="F48" t="s">
        <v>325</v>
      </c>
      <c r="G48" s="1">
        <v>2000</v>
      </c>
      <c r="H48" s="77" t="s">
        <v>216</v>
      </c>
      <c r="I48" s="142">
        <v>45809</v>
      </c>
      <c r="J48" s="78">
        <f>+G53</f>
        <v>30000</v>
      </c>
      <c r="K48" s="77" t="s">
        <v>217</v>
      </c>
      <c r="M48" s="1"/>
      <c r="N48" s="93"/>
      <c r="O48" s="58"/>
    </row>
    <row r="49" spans="1:17" x14ac:dyDescent="0.25">
      <c r="F49" t="s">
        <v>351</v>
      </c>
      <c r="G49" s="1">
        <v>24150</v>
      </c>
      <c r="M49" s="1"/>
      <c r="N49" s="93"/>
      <c r="O49" s="58"/>
    </row>
    <row r="50" spans="1:17" ht="15.75" thickBot="1" x14ac:dyDescent="0.3">
      <c r="F50" t="s">
        <v>330</v>
      </c>
      <c r="G50" s="1">
        <v>16200</v>
      </c>
    </row>
    <row r="51" spans="1:17" ht="15.75" thickBot="1" x14ac:dyDescent="0.3">
      <c r="F51" t="s">
        <v>333</v>
      </c>
      <c r="G51" s="1">
        <v>38733.33</v>
      </c>
      <c r="M51" s="80" t="s">
        <v>326</v>
      </c>
      <c r="N51" s="94" t="s">
        <v>334</v>
      </c>
      <c r="O51" s="94" t="s">
        <v>352</v>
      </c>
      <c r="P51" s="81" t="s">
        <v>320</v>
      </c>
      <c r="Q51" s="81" t="s">
        <v>335</v>
      </c>
    </row>
    <row r="52" spans="1:17" x14ac:dyDescent="0.25">
      <c r="F52" t="s">
        <v>336</v>
      </c>
      <c r="G52" s="1">
        <f>SUM(G48:G51)</f>
        <v>81083.33</v>
      </c>
      <c r="M52" s="82">
        <f>+I26+I45</f>
        <v>9803.2168974699998</v>
      </c>
      <c r="N52" s="82" t="s">
        <v>245</v>
      </c>
      <c r="O52" s="82">
        <f>+M52/2</f>
        <v>4901.6084487349999</v>
      </c>
      <c r="P52" s="83" t="s">
        <v>216</v>
      </c>
      <c r="Q52" s="90" t="s">
        <v>38</v>
      </c>
    </row>
    <row r="53" spans="1:17" ht="15.75" thickBot="1" x14ac:dyDescent="0.3">
      <c r="A53" s="74"/>
      <c r="B53" s="71"/>
      <c r="C53" s="72"/>
      <c r="D53" s="71"/>
      <c r="E53" s="72"/>
      <c r="F53" s="75" t="s">
        <v>337</v>
      </c>
      <c r="G53" s="76">
        <v>30000</v>
      </c>
      <c r="H53" s="72"/>
      <c r="I53" s="75"/>
      <c r="J53" s="72"/>
      <c r="K53" s="72"/>
      <c r="M53" s="98"/>
      <c r="N53" s="98"/>
      <c r="O53" s="98">
        <f>+M52/2</f>
        <v>4901.6084487349999</v>
      </c>
      <c r="P53" s="99" t="s">
        <v>244</v>
      </c>
      <c r="Q53" s="144" t="s">
        <v>38</v>
      </c>
    </row>
    <row r="54" spans="1:17" x14ac:dyDescent="0.25">
      <c r="A54" s="66">
        <v>3640</v>
      </c>
      <c r="B54" s="58">
        <v>5</v>
      </c>
      <c r="C54" t="s">
        <v>338</v>
      </c>
      <c r="D54" s="58">
        <v>1</v>
      </c>
      <c r="E54" t="s">
        <v>339</v>
      </c>
      <c r="F54" s="77" t="s">
        <v>325</v>
      </c>
      <c r="G54" s="78">
        <v>525</v>
      </c>
      <c r="H54" t="s">
        <v>216</v>
      </c>
      <c r="I54" s="125">
        <v>45809</v>
      </c>
      <c r="J54" s="1">
        <f>+G54</f>
        <v>525</v>
      </c>
      <c r="K54" t="s">
        <v>217</v>
      </c>
      <c r="M54" s="85">
        <f>+I31+I73+I79</f>
        <v>12528.30867353</v>
      </c>
      <c r="N54" s="85" t="s">
        <v>245</v>
      </c>
      <c r="O54" s="88">
        <f>+$M$54/2</f>
        <v>6264.1543367650002</v>
      </c>
      <c r="P54" s="89" t="s">
        <v>216</v>
      </c>
      <c r="Q54" s="87" t="s">
        <v>40</v>
      </c>
    </row>
    <row r="55" spans="1:17" ht="15.75" thickBot="1" x14ac:dyDescent="0.3">
      <c r="F55" t="s">
        <v>336</v>
      </c>
      <c r="G55" s="1">
        <f>+G54</f>
        <v>525</v>
      </c>
      <c r="I55" s="125"/>
      <c r="M55" s="98"/>
      <c r="N55" s="98"/>
      <c r="O55" s="98">
        <f>+$M$54/2</f>
        <v>6264.1543367650002</v>
      </c>
      <c r="P55" s="99" t="s">
        <v>244</v>
      </c>
      <c r="Q55" s="144" t="s">
        <v>40</v>
      </c>
    </row>
    <row r="56" spans="1:17" x14ac:dyDescent="0.25">
      <c r="A56" s="74"/>
      <c r="B56" s="71"/>
      <c r="C56" s="72"/>
      <c r="D56" s="71"/>
      <c r="E56" s="72"/>
      <c r="F56" s="75" t="s">
        <v>337</v>
      </c>
      <c r="G56" s="76">
        <f>+G55</f>
        <v>525</v>
      </c>
      <c r="H56" s="72"/>
      <c r="I56" s="133"/>
      <c r="J56" s="72"/>
      <c r="K56" s="72"/>
      <c r="M56" s="85">
        <f>+I84+I92+I109+I114</f>
        <v>10268.0129892</v>
      </c>
      <c r="N56" s="85" t="s">
        <v>245</v>
      </c>
      <c r="O56" s="88">
        <f>+$M$56/2</f>
        <v>5134.0064946000002</v>
      </c>
      <c r="P56" s="89" t="s">
        <v>216</v>
      </c>
      <c r="Q56" s="87" t="s">
        <v>41</v>
      </c>
    </row>
    <row r="57" spans="1:17" ht="15.75" thickBot="1" x14ac:dyDescent="0.3">
      <c r="A57" s="66">
        <v>3687</v>
      </c>
      <c r="B57" s="58">
        <v>61</v>
      </c>
      <c r="C57" t="s">
        <v>323</v>
      </c>
      <c r="D57" s="58">
        <v>18</v>
      </c>
      <c r="E57" t="s">
        <v>353</v>
      </c>
      <c r="F57" t="s">
        <v>351</v>
      </c>
      <c r="G57" s="1">
        <v>9244.6299999999992</v>
      </c>
      <c r="H57" t="s">
        <v>216</v>
      </c>
      <c r="I57" s="125">
        <v>45839</v>
      </c>
      <c r="J57" s="1">
        <v>1021.31</v>
      </c>
      <c r="K57" t="s">
        <v>217</v>
      </c>
      <c r="M57" s="98"/>
      <c r="N57" s="98"/>
      <c r="O57" s="98">
        <f>+$M$56/2</f>
        <v>5134.0064946000002</v>
      </c>
      <c r="P57" s="99" t="s">
        <v>244</v>
      </c>
      <c r="Q57" s="144" t="s">
        <v>41</v>
      </c>
    </row>
    <row r="58" spans="1:17" x14ac:dyDescent="0.25">
      <c r="F58" t="s">
        <v>329</v>
      </c>
      <c r="G58" s="1">
        <v>3697.81</v>
      </c>
      <c r="I58" s="125"/>
      <c r="J58" s="1">
        <v>1722.22</v>
      </c>
      <c r="K58" t="s">
        <v>217</v>
      </c>
      <c r="M58" s="85">
        <f>+I120</f>
        <v>1142.8499999999999</v>
      </c>
      <c r="N58" s="85" t="s">
        <v>245</v>
      </c>
      <c r="O58" s="88">
        <f>+M58/2</f>
        <v>571.42499999999995</v>
      </c>
      <c r="P58" s="89" t="s">
        <v>216</v>
      </c>
      <c r="Q58" s="87" t="s">
        <v>42</v>
      </c>
    </row>
    <row r="59" spans="1:17" x14ac:dyDescent="0.25">
      <c r="F59" t="s">
        <v>331</v>
      </c>
      <c r="G59" s="1">
        <v>24889.38</v>
      </c>
      <c r="M59" s="85"/>
      <c r="N59" s="85"/>
      <c r="O59" s="85">
        <f>+M58/2</f>
        <v>571.42499999999995</v>
      </c>
      <c r="P59" s="86" t="s">
        <v>244</v>
      </c>
      <c r="Q59" s="87" t="s">
        <v>42</v>
      </c>
    </row>
    <row r="60" spans="1:17" ht="15.75" thickBot="1" x14ac:dyDescent="0.3">
      <c r="F60" t="s">
        <v>340</v>
      </c>
      <c r="G60" s="1">
        <v>27654.67</v>
      </c>
      <c r="M60" s="98">
        <f>+I126</f>
        <v>2500</v>
      </c>
      <c r="N60" s="98" t="s">
        <v>216</v>
      </c>
      <c r="O60" s="98">
        <f>+M60</f>
        <v>2500</v>
      </c>
      <c r="P60" s="99" t="s">
        <v>245</v>
      </c>
      <c r="Q60" s="144" t="s">
        <v>42</v>
      </c>
    </row>
    <row r="61" spans="1:17" x14ac:dyDescent="0.25">
      <c r="F61" t="s">
        <v>354</v>
      </c>
      <c r="G61" s="1">
        <v>22329.06</v>
      </c>
      <c r="M61" s="85">
        <f>+I130</f>
        <v>5722.5</v>
      </c>
      <c r="N61" s="85" t="s">
        <v>245</v>
      </c>
      <c r="O61" s="88">
        <f>+M61/2</f>
        <v>2861.25</v>
      </c>
      <c r="P61" s="89" t="s">
        <v>216</v>
      </c>
      <c r="Q61" s="87" t="s">
        <v>44</v>
      </c>
    </row>
    <row r="62" spans="1:17" x14ac:dyDescent="0.25">
      <c r="F62" s="77" t="s">
        <v>332</v>
      </c>
      <c r="G62" s="78">
        <v>4029.71</v>
      </c>
      <c r="M62" s="85"/>
      <c r="N62" s="85"/>
      <c r="O62" s="85">
        <f>+M61/2</f>
        <v>2861.25</v>
      </c>
      <c r="P62" s="86" t="s">
        <v>244</v>
      </c>
      <c r="Q62" s="87" t="s">
        <v>44</v>
      </c>
    </row>
    <row r="63" spans="1:17" x14ac:dyDescent="0.25">
      <c r="F63" s="77" t="s">
        <v>333</v>
      </c>
      <c r="G63" s="78">
        <v>6795.15</v>
      </c>
      <c r="N63" s="1"/>
    </row>
    <row r="64" spans="1:17" x14ac:dyDescent="0.25">
      <c r="F64" t="s">
        <v>336</v>
      </c>
      <c r="G64" s="1">
        <f>SUM(G57:G63)</f>
        <v>98640.41</v>
      </c>
      <c r="N64" s="1"/>
    </row>
    <row r="65" spans="1:14" x14ac:dyDescent="0.25">
      <c r="A65" s="74"/>
      <c r="B65" s="71"/>
      <c r="C65" s="72"/>
      <c r="D65" s="71"/>
      <c r="E65" s="72"/>
      <c r="F65" s="75" t="s">
        <v>337</v>
      </c>
      <c r="G65" s="76">
        <v>25000</v>
      </c>
      <c r="H65" s="72"/>
      <c r="I65" s="75"/>
      <c r="J65" s="72"/>
      <c r="K65" s="72"/>
      <c r="N65" s="1"/>
    </row>
    <row r="66" spans="1:14" x14ac:dyDescent="0.25">
      <c r="A66" s="66">
        <v>3690</v>
      </c>
      <c r="B66" s="58">
        <v>5</v>
      </c>
      <c r="C66" t="s">
        <v>338</v>
      </c>
      <c r="D66" s="58">
        <v>1</v>
      </c>
      <c r="E66" t="s">
        <v>339</v>
      </c>
      <c r="F66" s="77" t="s">
        <v>325</v>
      </c>
      <c r="G66" s="78">
        <v>525</v>
      </c>
      <c r="H66" t="s">
        <v>216</v>
      </c>
      <c r="I66" s="125">
        <v>45839</v>
      </c>
      <c r="J66" s="1">
        <f>+G66</f>
        <v>525</v>
      </c>
      <c r="K66" t="s">
        <v>217</v>
      </c>
      <c r="N66" s="1"/>
    </row>
    <row r="67" spans="1:14" x14ac:dyDescent="0.25">
      <c r="F67" t="s">
        <v>336</v>
      </c>
      <c r="G67" s="1">
        <f>+G66</f>
        <v>525</v>
      </c>
      <c r="I67" s="125"/>
    </row>
    <row r="68" spans="1:14" x14ac:dyDescent="0.25">
      <c r="A68" s="74"/>
      <c r="B68" s="71"/>
      <c r="C68" s="72"/>
      <c r="D68" s="71"/>
      <c r="E68" s="72"/>
      <c r="F68" s="75" t="s">
        <v>337</v>
      </c>
      <c r="G68" s="76">
        <f>+G67</f>
        <v>525</v>
      </c>
      <c r="H68" s="72"/>
      <c r="I68" s="133"/>
      <c r="J68" s="72"/>
      <c r="K68" s="72"/>
    </row>
    <row r="69" spans="1:14" x14ac:dyDescent="0.25">
      <c r="A69" s="66">
        <v>3712</v>
      </c>
      <c r="B69" s="79">
        <v>20</v>
      </c>
      <c r="C69" t="s">
        <v>346</v>
      </c>
      <c r="D69" s="58">
        <v>1</v>
      </c>
      <c r="E69" t="s">
        <v>347</v>
      </c>
      <c r="F69" s="77" t="s">
        <v>348</v>
      </c>
      <c r="G69" s="78">
        <v>50</v>
      </c>
      <c r="H69" t="s">
        <v>217</v>
      </c>
      <c r="I69" s="125">
        <v>45870</v>
      </c>
      <c r="J69">
        <f>+G69*6.0174</f>
        <v>300.87</v>
      </c>
      <c r="K69" t="s">
        <v>216</v>
      </c>
    </row>
    <row r="70" spans="1:14" x14ac:dyDescent="0.25">
      <c r="F70" t="s">
        <v>336</v>
      </c>
      <c r="G70" s="1">
        <f>+G69</f>
        <v>50</v>
      </c>
      <c r="I70" s="125"/>
    </row>
    <row r="71" spans="1:14" x14ac:dyDescent="0.25">
      <c r="A71" s="74"/>
      <c r="B71" s="71"/>
      <c r="C71" s="72"/>
      <c r="D71" s="71"/>
      <c r="E71" s="72"/>
      <c r="F71" s="75" t="s">
        <v>337</v>
      </c>
      <c r="G71" s="76">
        <f>+G70*6.0174</f>
        <v>300.87</v>
      </c>
      <c r="H71" s="72"/>
      <c r="I71" s="133"/>
      <c r="J71" s="72"/>
      <c r="K71" s="72"/>
    </row>
    <row r="72" spans="1:14" x14ac:dyDescent="0.25">
      <c r="A72" s="66">
        <v>3717</v>
      </c>
      <c r="B72" s="58">
        <v>7</v>
      </c>
      <c r="C72" s="140" t="s">
        <v>355</v>
      </c>
      <c r="D72" s="58">
        <v>1</v>
      </c>
      <c r="E72" t="s">
        <v>356</v>
      </c>
      <c r="F72" s="77" t="s">
        <v>344</v>
      </c>
      <c r="G72" s="78">
        <v>857.14</v>
      </c>
      <c r="H72" t="s">
        <v>217</v>
      </c>
      <c r="I72" s="125">
        <v>45870</v>
      </c>
      <c r="J72" s="1">
        <f>+G72</f>
        <v>857.14</v>
      </c>
      <c r="K72" t="s">
        <v>245</v>
      </c>
    </row>
    <row r="73" spans="1:14" x14ac:dyDescent="0.25">
      <c r="F73" t="s">
        <v>336</v>
      </c>
      <c r="G73" s="1">
        <f>+G72</f>
        <v>857.14</v>
      </c>
      <c r="H73" s="140" t="s">
        <v>345</v>
      </c>
      <c r="I73" s="141">
        <f>+G74*10%</f>
        <v>85.713999999999999</v>
      </c>
    </row>
    <row r="74" spans="1:14" x14ac:dyDescent="0.25">
      <c r="A74" s="74"/>
      <c r="B74" s="71"/>
      <c r="C74" s="72"/>
      <c r="D74" s="71"/>
      <c r="E74" s="72"/>
      <c r="F74" s="75" t="s">
        <v>337</v>
      </c>
      <c r="G74" s="76">
        <f>+G73</f>
        <v>857.14</v>
      </c>
      <c r="H74" s="72"/>
      <c r="I74" s="75"/>
      <c r="J74" s="72"/>
      <c r="K74" s="72"/>
    </row>
    <row r="75" spans="1:14" x14ac:dyDescent="0.25">
      <c r="A75" s="66">
        <v>3718</v>
      </c>
      <c r="B75" s="58">
        <v>7</v>
      </c>
      <c r="C75" s="140" t="s">
        <v>355</v>
      </c>
      <c r="D75" s="58">
        <v>16</v>
      </c>
      <c r="E75" t="s">
        <v>357</v>
      </c>
      <c r="F75" t="s">
        <v>351</v>
      </c>
      <c r="G75" s="1">
        <v>8571.4</v>
      </c>
      <c r="H75" t="s">
        <v>216</v>
      </c>
      <c r="I75" s="125">
        <v>45870</v>
      </c>
      <c r="J75" s="1">
        <f>+G79</f>
        <v>5714.27</v>
      </c>
      <c r="K75" t="s">
        <v>245</v>
      </c>
    </row>
    <row r="76" spans="1:14" x14ac:dyDescent="0.25">
      <c r="F76" t="s">
        <v>329</v>
      </c>
      <c r="G76" s="1">
        <v>3942.89</v>
      </c>
    </row>
    <row r="77" spans="1:14" x14ac:dyDescent="0.25">
      <c r="F77" t="s">
        <v>331</v>
      </c>
      <c r="G77" s="1">
        <v>1285.71</v>
      </c>
    </row>
    <row r="78" spans="1:14" x14ac:dyDescent="0.25">
      <c r="F78" t="s">
        <v>340</v>
      </c>
      <c r="G78" s="1">
        <v>5742.9</v>
      </c>
    </row>
    <row r="79" spans="1:14" x14ac:dyDescent="0.25">
      <c r="F79" s="77" t="s">
        <v>344</v>
      </c>
      <c r="G79" s="78">
        <v>5714.27</v>
      </c>
      <c r="H79" s="140" t="s">
        <v>345</v>
      </c>
      <c r="I79" s="141">
        <f>+G81*10%</f>
        <v>2525.7170000000006</v>
      </c>
    </row>
    <row r="80" spans="1:14" x14ac:dyDescent="0.25">
      <c r="F80" t="s">
        <v>336</v>
      </c>
      <c r="G80" s="1">
        <f>SUM(G75:G79)</f>
        <v>25257.170000000002</v>
      </c>
    </row>
    <row r="81" spans="1:11" x14ac:dyDescent="0.25">
      <c r="A81" s="74"/>
      <c r="B81" s="71"/>
      <c r="C81" s="72"/>
      <c r="D81" s="71"/>
      <c r="E81" s="72"/>
      <c r="F81" s="75" t="s">
        <v>337</v>
      </c>
      <c r="G81" s="76">
        <f>+G80</f>
        <v>25257.170000000002</v>
      </c>
      <c r="H81" s="72"/>
      <c r="I81" s="75"/>
      <c r="J81" s="72"/>
      <c r="K81" s="72"/>
    </row>
    <row r="82" spans="1:11" x14ac:dyDescent="0.25">
      <c r="A82" s="66">
        <v>3736</v>
      </c>
      <c r="B82" s="79">
        <v>136</v>
      </c>
      <c r="C82" s="140" t="s">
        <v>341</v>
      </c>
      <c r="D82" s="58">
        <v>2</v>
      </c>
      <c r="E82" t="s">
        <v>358</v>
      </c>
      <c r="F82" s="77" t="s">
        <v>340</v>
      </c>
      <c r="G82" s="78">
        <v>233.33</v>
      </c>
      <c r="H82" t="s">
        <v>245</v>
      </c>
      <c r="I82" s="125">
        <v>45901</v>
      </c>
      <c r="J82" s="1">
        <f>+G82*5.004</f>
        <v>1167.58332</v>
      </c>
      <c r="K82" t="s">
        <v>216</v>
      </c>
    </row>
    <row r="83" spans="1:11" x14ac:dyDescent="0.25">
      <c r="F83" t="s">
        <v>344</v>
      </c>
      <c r="G83" s="1">
        <v>2750</v>
      </c>
    </row>
    <row r="84" spans="1:11" x14ac:dyDescent="0.25">
      <c r="F84" t="s">
        <v>336</v>
      </c>
      <c r="G84" s="1">
        <f>SUM(G82:G83)</f>
        <v>2983.33</v>
      </c>
      <c r="H84" s="140" t="s">
        <v>345</v>
      </c>
      <c r="I84" s="141">
        <f>+G85*10%</f>
        <v>1492.8583319999998</v>
      </c>
    </row>
    <row r="85" spans="1:11" x14ac:dyDescent="0.25">
      <c r="A85" s="74"/>
      <c r="B85" s="71"/>
      <c r="C85" s="72"/>
      <c r="D85" s="71"/>
      <c r="E85" s="72"/>
      <c r="F85" s="75" t="s">
        <v>337</v>
      </c>
      <c r="G85" s="76">
        <f>+G84*5.004</f>
        <v>14928.583319999998</v>
      </c>
      <c r="H85" s="72"/>
      <c r="I85" s="75"/>
      <c r="J85" s="72"/>
      <c r="K85" s="72"/>
    </row>
    <row r="86" spans="1:11" x14ac:dyDescent="0.25">
      <c r="A86" s="66">
        <v>3746</v>
      </c>
      <c r="B86" s="58">
        <v>5</v>
      </c>
      <c r="C86" t="s">
        <v>338</v>
      </c>
      <c r="D86" s="58">
        <v>1</v>
      </c>
      <c r="E86" t="s">
        <v>339</v>
      </c>
      <c r="F86" s="77" t="s">
        <v>325</v>
      </c>
      <c r="G86" s="78">
        <v>525</v>
      </c>
      <c r="H86" t="s">
        <v>216</v>
      </c>
      <c r="I86" s="125">
        <v>45870</v>
      </c>
      <c r="J86" s="1">
        <f>+G86</f>
        <v>525</v>
      </c>
      <c r="K86" t="s">
        <v>217</v>
      </c>
    </row>
    <row r="87" spans="1:11" x14ac:dyDescent="0.25">
      <c r="F87" t="s">
        <v>336</v>
      </c>
      <c r="G87" s="1">
        <f>+G86</f>
        <v>525</v>
      </c>
      <c r="I87" s="125"/>
    </row>
    <row r="88" spans="1:11" x14ac:dyDescent="0.25">
      <c r="A88" s="74"/>
      <c r="B88" s="71"/>
      <c r="C88" s="72"/>
      <c r="D88" s="71"/>
      <c r="E88" s="72"/>
      <c r="F88" s="75" t="s">
        <v>337</v>
      </c>
      <c r="G88" s="76">
        <f>+G87</f>
        <v>525</v>
      </c>
      <c r="H88" s="72"/>
      <c r="I88" s="133"/>
      <c r="J88" s="72"/>
      <c r="K88" s="72"/>
    </row>
    <row r="89" spans="1:11" x14ac:dyDescent="0.25">
      <c r="A89" s="66">
        <v>3767</v>
      </c>
      <c r="B89" s="58">
        <v>7</v>
      </c>
      <c r="C89" s="140" t="s">
        <v>355</v>
      </c>
      <c r="D89" s="58">
        <v>16</v>
      </c>
      <c r="E89" t="s">
        <v>357</v>
      </c>
      <c r="F89" t="s">
        <v>351</v>
      </c>
      <c r="G89" s="1">
        <v>7714.26</v>
      </c>
      <c r="H89" t="s">
        <v>216</v>
      </c>
      <c r="I89" s="125">
        <v>45901</v>
      </c>
      <c r="J89" s="1">
        <f>+G93</f>
        <v>2571.42</v>
      </c>
      <c r="K89" t="s">
        <v>245</v>
      </c>
    </row>
    <row r="90" spans="1:11" x14ac:dyDescent="0.25">
      <c r="F90" t="s">
        <v>329</v>
      </c>
      <c r="G90" s="1">
        <v>771.44</v>
      </c>
      <c r="I90" s="125"/>
    </row>
    <row r="91" spans="1:11" x14ac:dyDescent="0.25">
      <c r="F91" t="s">
        <v>331</v>
      </c>
      <c r="G91" s="1">
        <v>1285.71</v>
      </c>
    </row>
    <row r="92" spans="1:11" x14ac:dyDescent="0.25">
      <c r="F92" t="s">
        <v>340</v>
      </c>
      <c r="G92" s="1">
        <v>6428.63</v>
      </c>
      <c r="H92" s="140" t="s">
        <v>345</v>
      </c>
      <c r="I92" s="141">
        <f>+G95*10%</f>
        <v>1877.146</v>
      </c>
    </row>
    <row r="93" spans="1:11" x14ac:dyDescent="0.25">
      <c r="F93" s="77" t="s">
        <v>344</v>
      </c>
      <c r="G93" s="78">
        <v>2571.42</v>
      </c>
    </row>
    <row r="94" spans="1:11" x14ac:dyDescent="0.25">
      <c r="F94" t="s">
        <v>336</v>
      </c>
      <c r="G94" s="1">
        <f>SUM(G89:G93)</f>
        <v>18771.46</v>
      </c>
    </row>
    <row r="95" spans="1:11" x14ac:dyDescent="0.25">
      <c r="A95" s="74"/>
      <c r="B95" s="71"/>
      <c r="C95" s="72"/>
      <c r="D95" s="71"/>
      <c r="E95" s="72"/>
      <c r="F95" s="75" t="s">
        <v>337</v>
      </c>
      <c r="G95" s="76">
        <f>+G94</f>
        <v>18771.46</v>
      </c>
      <c r="H95" s="72"/>
      <c r="I95" s="75"/>
      <c r="J95" s="72"/>
      <c r="K95" s="72"/>
    </row>
    <row r="96" spans="1:11" x14ac:dyDescent="0.25">
      <c r="A96" s="66">
        <v>3630</v>
      </c>
      <c r="B96" s="58">
        <v>142</v>
      </c>
      <c r="C96" t="s">
        <v>359</v>
      </c>
      <c r="D96" s="58">
        <v>1</v>
      </c>
      <c r="E96" t="s">
        <v>360</v>
      </c>
      <c r="F96" t="s">
        <v>325</v>
      </c>
      <c r="G96" s="1">
        <v>3149.04</v>
      </c>
      <c r="H96" t="s">
        <v>217</v>
      </c>
      <c r="I96" s="125">
        <v>45809</v>
      </c>
      <c r="J96">
        <v>899.71</v>
      </c>
      <c r="K96" t="s">
        <v>216</v>
      </c>
    </row>
    <row r="97" spans="1:11" x14ac:dyDescent="0.25">
      <c r="F97" s="77" t="s">
        <v>331</v>
      </c>
      <c r="G97" s="78">
        <v>899.71</v>
      </c>
      <c r="I97" s="125"/>
    </row>
    <row r="98" spans="1:11" x14ac:dyDescent="0.25">
      <c r="F98" t="s">
        <v>361</v>
      </c>
      <c r="G98" s="1">
        <v>7966.74</v>
      </c>
      <c r="I98" s="125"/>
    </row>
    <row r="99" spans="1:11" x14ac:dyDescent="0.25">
      <c r="F99" t="s">
        <v>336</v>
      </c>
      <c r="G99" s="1">
        <f>SUM(G96:G98)</f>
        <v>12015.49</v>
      </c>
      <c r="I99" s="125"/>
    </row>
    <row r="100" spans="1:11" x14ac:dyDescent="0.25">
      <c r="A100" s="74"/>
      <c r="B100" s="71"/>
      <c r="C100" s="72"/>
      <c r="D100" s="71"/>
      <c r="E100" s="72"/>
      <c r="F100" s="75" t="s">
        <v>337</v>
      </c>
      <c r="G100" s="76">
        <f>+G99</f>
        <v>12015.49</v>
      </c>
      <c r="H100" s="72"/>
      <c r="I100" s="133"/>
      <c r="J100" s="72"/>
      <c r="K100" s="72"/>
    </row>
    <row r="101" spans="1:11" x14ac:dyDescent="0.25">
      <c r="A101" s="66">
        <v>3681</v>
      </c>
      <c r="B101" s="58">
        <v>142</v>
      </c>
      <c r="C101" t="s">
        <v>359</v>
      </c>
      <c r="D101" s="58">
        <v>1</v>
      </c>
      <c r="E101" t="s">
        <v>360</v>
      </c>
      <c r="F101" t="s">
        <v>325</v>
      </c>
      <c r="G101" s="1">
        <v>1574.52</v>
      </c>
      <c r="H101" t="s">
        <v>217</v>
      </c>
      <c r="I101" s="125">
        <v>45809</v>
      </c>
      <c r="J101">
        <v>899.71</v>
      </c>
      <c r="K101" t="s">
        <v>216</v>
      </c>
    </row>
    <row r="102" spans="1:11" x14ac:dyDescent="0.25">
      <c r="F102" t="s">
        <v>351</v>
      </c>
      <c r="G102" s="1">
        <v>2474.19</v>
      </c>
    </row>
    <row r="103" spans="1:11" x14ac:dyDescent="0.25">
      <c r="F103" s="77" t="s">
        <v>331</v>
      </c>
      <c r="G103" s="78">
        <v>899.71</v>
      </c>
    </row>
    <row r="104" spans="1:11" x14ac:dyDescent="0.25">
      <c r="F104" t="s">
        <v>336</v>
      </c>
      <c r="G104" s="1">
        <f>SUM(G101:G103)</f>
        <v>4948.42</v>
      </c>
    </row>
    <row r="105" spans="1:11" x14ac:dyDescent="0.25">
      <c r="A105" s="74"/>
      <c r="B105" s="71"/>
      <c r="C105" s="72"/>
      <c r="D105" s="71"/>
      <c r="E105" s="72"/>
      <c r="F105" s="75" t="s">
        <v>337</v>
      </c>
      <c r="G105" s="76">
        <f>+G104</f>
        <v>4948.42</v>
      </c>
      <c r="H105" s="72"/>
      <c r="I105" s="75"/>
      <c r="J105" s="72"/>
      <c r="K105" s="72"/>
    </row>
    <row r="106" spans="1:11" x14ac:dyDescent="0.25">
      <c r="A106" s="66">
        <v>3822</v>
      </c>
      <c r="B106" s="79">
        <v>136</v>
      </c>
      <c r="C106" s="140" t="s">
        <v>341</v>
      </c>
      <c r="D106" s="58">
        <v>2</v>
      </c>
      <c r="E106" t="s">
        <v>358</v>
      </c>
      <c r="F106" s="77" t="s">
        <v>340</v>
      </c>
      <c r="G106" s="78">
        <v>233.33</v>
      </c>
      <c r="H106" t="s">
        <v>245</v>
      </c>
      <c r="I106" s="125">
        <v>45901</v>
      </c>
      <c r="J106" s="1">
        <f>+G106*5.0284</f>
        <v>1173.2765720000002</v>
      </c>
      <c r="K106" t="s">
        <v>216</v>
      </c>
    </row>
    <row r="107" spans="1:11" x14ac:dyDescent="0.25">
      <c r="F107" t="s">
        <v>343</v>
      </c>
      <c r="G107" s="1">
        <v>2550</v>
      </c>
    </row>
    <row r="108" spans="1:11" x14ac:dyDescent="0.25">
      <c r="F108" t="s">
        <v>344</v>
      </c>
      <c r="G108" s="1">
        <v>2475</v>
      </c>
    </row>
    <row r="109" spans="1:11" x14ac:dyDescent="0.25">
      <c r="F109" t="s">
        <v>336</v>
      </c>
      <c r="G109" s="1">
        <f>SUM(G106:G108)</f>
        <v>5258.33</v>
      </c>
      <c r="H109" s="140" t="s">
        <v>345</v>
      </c>
      <c r="I109" s="141">
        <f>+G110*10%</f>
        <v>2644.0986572000002</v>
      </c>
    </row>
    <row r="110" spans="1:11" x14ac:dyDescent="0.25">
      <c r="A110" s="74"/>
      <c r="B110" s="71"/>
      <c r="C110" s="72"/>
      <c r="D110" s="71"/>
      <c r="E110" s="72"/>
      <c r="F110" s="75" t="s">
        <v>337</v>
      </c>
      <c r="G110" s="76">
        <f>+G109*5.0284</f>
        <v>26440.986572000002</v>
      </c>
      <c r="H110" s="72"/>
      <c r="I110" s="75"/>
      <c r="J110" s="72"/>
      <c r="K110" s="72"/>
    </row>
    <row r="111" spans="1:11" x14ac:dyDescent="0.25">
      <c r="A111" s="66">
        <v>3815</v>
      </c>
      <c r="B111" s="79">
        <v>136</v>
      </c>
      <c r="C111" s="140" t="s">
        <v>341</v>
      </c>
      <c r="D111" s="58">
        <v>2</v>
      </c>
      <c r="E111" t="s">
        <v>358</v>
      </c>
      <c r="F111" s="77" t="s">
        <v>340</v>
      </c>
      <c r="G111" s="78">
        <v>291.67</v>
      </c>
      <c r="H111" t="s">
        <v>245</v>
      </c>
      <c r="I111" s="125">
        <v>45901</v>
      </c>
      <c r="J111" s="1">
        <f>+G111*5.0046</f>
        <v>1459.6916820000001</v>
      </c>
      <c r="K111" t="s">
        <v>216</v>
      </c>
    </row>
    <row r="112" spans="1:11" x14ac:dyDescent="0.25">
      <c r="F112" t="s">
        <v>343</v>
      </c>
      <c r="G112" s="1">
        <v>3900</v>
      </c>
    </row>
    <row r="113" spans="1:11" x14ac:dyDescent="0.25">
      <c r="F113" t="s">
        <v>344</v>
      </c>
      <c r="G113" s="1">
        <v>4308.33</v>
      </c>
    </row>
    <row r="114" spans="1:11" x14ac:dyDescent="0.25">
      <c r="F114" t="s">
        <v>336</v>
      </c>
      <c r="G114" s="1">
        <f>SUM(G111:G113)</f>
        <v>8500</v>
      </c>
      <c r="H114" s="140" t="s">
        <v>345</v>
      </c>
      <c r="I114" s="458">
        <f>+G115*10%</f>
        <v>4253.91</v>
      </c>
    </row>
    <row r="115" spans="1:11" x14ac:dyDescent="0.25">
      <c r="A115" s="74"/>
      <c r="B115" s="71"/>
      <c r="C115" s="72"/>
      <c r="D115" s="71"/>
      <c r="E115" s="72"/>
      <c r="F115" s="75" t="s">
        <v>337</v>
      </c>
      <c r="G115" s="76">
        <f>+G114*5.0046</f>
        <v>42539.1</v>
      </c>
      <c r="H115" s="72"/>
      <c r="I115" s="75"/>
      <c r="J115" s="72"/>
      <c r="K115" s="72"/>
    </row>
    <row r="116" spans="1:11" x14ac:dyDescent="0.25">
      <c r="A116" s="66">
        <v>3813</v>
      </c>
      <c r="B116" s="58">
        <v>7</v>
      </c>
      <c r="C116" s="140" t="s">
        <v>355</v>
      </c>
      <c r="D116" s="58">
        <v>16</v>
      </c>
      <c r="E116" t="s">
        <v>357</v>
      </c>
      <c r="F116" t="s">
        <v>351</v>
      </c>
      <c r="G116" s="1">
        <v>6857.12</v>
      </c>
      <c r="H116" t="s">
        <v>216</v>
      </c>
      <c r="I116" s="125">
        <v>45931</v>
      </c>
      <c r="J116" s="1">
        <f>+G119</f>
        <v>1142.8499999999999</v>
      </c>
      <c r="K116" t="s">
        <v>245</v>
      </c>
    </row>
    <row r="117" spans="1:11" x14ac:dyDescent="0.25">
      <c r="F117" t="s">
        <v>329</v>
      </c>
      <c r="G117" s="1">
        <v>2400.02</v>
      </c>
    </row>
    <row r="118" spans="1:11" x14ac:dyDescent="0.25">
      <c r="F118" t="s">
        <v>340</v>
      </c>
      <c r="G118" s="1">
        <v>5228.62</v>
      </c>
    </row>
    <row r="119" spans="1:11" x14ac:dyDescent="0.25">
      <c r="F119" s="77" t="s">
        <v>344</v>
      </c>
      <c r="G119" s="78">
        <v>1142.8499999999999</v>
      </c>
    </row>
    <row r="120" spans="1:11" x14ac:dyDescent="0.25">
      <c r="F120" t="s">
        <v>336</v>
      </c>
      <c r="G120" s="1">
        <f>SUM(G116:G119)</f>
        <v>15628.609999999999</v>
      </c>
      <c r="H120" s="140" t="s">
        <v>345</v>
      </c>
      <c r="I120" s="141">
        <f>+G119</f>
        <v>1142.8499999999999</v>
      </c>
    </row>
    <row r="121" spans="1:11" x14ac:dyDescent="0.25">
      <c r="A121" s="74"/>
      <c r="B121" s="71"/>
      <c r="C121" s="72"/>
      <c r="D121" s="71"/>
      <c r="E121" s="72"/>
      <c r="F121" s="75" t="s">
        <v>337</v>
      </c>
      <c r="G121" s="76">
        <f>+G120</f>
        <v>15628.609999999999</v>
      </c>
      <c r="H121" s="72"/>
      <c r="I121" s="75"/>
      <c r="J121" s="72"/>
      <c r="K121" s="72"/>
    </row>
    <row r="122" spans="1:11" x14ac:dyDescent="0.25">
      <c r="A122" s="66">
        <v>3821</v>
      </c>
      <c r="B122" s="58">
        <v>5</v>
      </c>
      <c r="C122" t="s">
        <v>338</v>
      </c>
      <c r="D122" s="58">
        <v>1</v>
      </c>
      <c r="E122" t="s">
        <v>339</v>
      </c>
      <c r="F122" s="77" t="s">
        <v>325</v>
      </c>
      <c r="G122" s="78">
        <v>525</v>
      </c>
      <c r="H122" t="s">
        <v>216</v>
      </c>
      <c r="I122" s="125">
        <v>45931</v>
      </c>
      <c r="J122" s="1">
        <f>+G122</f>
        <v>525</v>
      </c>
      <c r="K122" t="s">
        <v>217</v>
      </c>
    </row>
    <row r="123" spans="1:11" x14ac:dyDescent="0.25">
      <c r="F123" t="s">
        <v>336</v>
      </c>
      <c r="G123" s="1">
        <f>+G122</f>
        <v>525</v>
      </c>
      <c r="I123" s="125"/>
    </row>
    <row r="124" spans="1:11" x14ac:dyDescent="0.25">
      <c r="A124" s="74"/>
      <c r="B124" s="71"/>
      <c r="C124" s="72"/>
      <c r="D124" s="71"/>
      <c r="E124" s="72"/>
      <c r="F124" s="75" t="s">
        <v>337</v>
      </c>
      <c r="G124" s="76">
        <f>+G123</f>
        <v>525</v>
      </c>
      <c r="H124" s="72"/>
      <c r="I124" s="133"/>
      <c r="J124" s="72"/>
      <c r="K124" s="72"/>
    </row>
    <row r="125" spans="1:11" x14ac:dyDescent="0.25">
      <c r="A125" s="66">
        <v>3880</v>
      </c>
      <c r="B125" s="58">
        <v>145</v>
      </c>
      <c r="C125" t="s">
        <v>362</v>
      </c>
      <c r="D125" s="58">
        <v>1</v>
      </c>
      <c r="E125" t="s">
        <v>363</v>
      </c>
      <c r="F125" t="s">
        <v>336</v>
      </c>
      <c r="G125" s="1">
        <v>25000</v>
      </c>
      <c r="H125" t="s">
        <v>216</v>
      </c>
      <c r="I125" s="125">
        <v>45931</v>
      </c>
      <c r="K125" t="s">
        <v>245</v>
      </c>
    </row>
    <row r="126" spans="1:11" x14ac:dyDescent="0.25">
      <c r="A126" s="74"/>
      <c r="B126" s="71"/>
      <c r="C126" s="72"/>
      <c r="D126" s="71"/>
      <c r="E126" s="72"/>
      <c r="F126" s="75" t="s">
        <v>337</v>
      </c>
      <c r="G126" s="76">
        <f>+G125</f>
        <v>25000</v>
      </c>
      <c r="H126" s="415" t="s">
        <v>345</v>
      </c>
      <c r="I126" s="416">
        <f>+G126*10%</f>
        <v>2500</v>
      </c>
      <c r="J126" s="72"/>
      <c r="K126" s="459" t="s">
        <v>364</v>
      </c>
    </row>
    <row r="127" spans="1:11" x14ac:dyDescent="0.25">
      <c r="A127" s="66">
        <v>3900</v>
      </c>
      <c r="B127" s="79">
        <v>136</v>
      </c>
      <c r="C127" t="s">
        <v>365</v>
      </c>
      <c r="D127" s="58" t="s">
        <v>366</v>
      </c>
      <c r="E127" t="s">
        <v>367</v>
      </c>
      <c r="F127" s="77" t="s">
        <v>340</v>
      </c>
      <c r="G127" s="78">
        <f>2100*5.25</f>
        <v>11025</v>
      </c>
      <c r="H127" t="s">
        <v>245</v>
      </c>
      <c r="I127" s="125">
        <v>45992</v>
      </c>
      <c r="J127" s="1">
        <f>+G127</f>
        <v>11025</v>
      </c>
      <c r="K127" t="s">
        <v>216</v>
      </c>
    </row>
    <row r="128" spans="1:11" x14ac:dyDescent="0.25">
      <c r="F128" t="s">
        <v>343</v>
      </c>
      <c r="G128" s="1">
        <f>5400*5.25</f>
        <v>28350</v>
      </c>
      <c r="I128" s="125"/>
    </row>
    <row r="129" spans="1:16" x14ac:dyDescent="0.25">
      <c r="F129" t="s">
        <v>344</v>
      </c>
      <c r="G129" s="1">
        <f>5500*5.25</f>
        <v>28875</v>
      </c>
      <c r="I129" s="125"/>
    </row>
    <row r="130" spans="1:16" x14ac:dyDescent="0.25">
      <c r="F130" t="s">
        <v>336</v>
      </c>
      <c r="G130" s="1">
        <f>SUM(G127:G129)</f>
        <v>68250</v>
      </c>
      <c r="H130" s="140" t="s">
        <v>345</v>
      </c>
      <c r="I130" s="141">
        <f>+(G128+G129)*10%</f>
        <v>5722.5</v>
      </c>
    </row>
    <row r="131" spans="1:16" ht="30" x14ac:dyDescent="0.25">
      <c r="A131" s="74"/>
      <c r="B131" s="71"/>
      <c r="C131" s="72"/>
      <c r="D131" s="71"/>
      <c r="E131" s="72"/>
      <c r="F131" s="75" t="s">
        <v>337</v>
      </c>
      <c r="G131" s="76">
        <f>+G130</f>
        <v>68250</v>
      </c>
      <c r="H131" s="415"/>
      <c r="I131" s="416"/>
      <c r="J131" s="72"/>
      <c r="K131" s="569" t="s">
        <v>368</v>
      </c>
    </row>
    <row r="132" spans="1:16" x14ac:dyDescent="0.25">
      <c r="A132" s="66">
        <v>3900</v>
      </c>
      <c r="B132" s="79">
        <v>136</v>
      </c>
      <c r="C132" t="s">
        <v>365</v>
      </c>
      <c r="D132" s="58" t="s">
        <v>366</v>
      </c>
      <c r="E132" t="s">
        <v>367</v>
      </c>
      <c r="F132" s="77" t="s">
        <v>340</v>
      </c>
      <c r="G132" s="78">
        <f>2100*5.25</f>
        <v>11025</v>
      </c>
      <c r="H132" t="s">
        <v>245</v>
      </c>
      <c r="I132" s="125">
        <v>45992</v>
      </c>
      <c r="J132" s="1">
        <f>+G132</f>
        <v>11025</v>
      </c>
      <c r="K132" t="s">
        <v>216</v>
      </c>
    </row>
    <row r="133" spans="1:16" x14ac:dyDescent="0.25">
      <c r="F133" t="s">
        <v>343</v>
      </c>
      <c r="G133" s="1">
        <f>5400*5.25</f>
        <v>28350</v>
      </c>
      <c r="I133" s="125"/>
    </row>
    <row r="134" spans="1:16" ht="15.75" thickBot="1" x14ac:dyDescent="0.3">
      <c r="F134" t="s">
        <v>344</v>
      </c>
      <c r="G134" s="1">
        <f>5500*5.25</f>
        <v>28875</v>
      </c>
      <c r="I134" s="125"/>
      <c r="M134" s="32" t="s">
        <v>321</v>
      </c>
      <c r="O134" s="32" t="s">
        <v>322</v>
      </c>
    </row>
    <row r="135" spans="1:16" ht="15.75" thickBot="1" x14ac:dyDescent="0.3">
      <c r="F135" t="s">
        <v>336</v>
      </c>
      <c r="G135" s="1">
        <f>SUM(G132:G134)</f>
        <v>68250</v>
      </c>
      <c r="H135" s="140" t="s">
        <v>345</v>
      </c>
      <c r="I135" s="141">
        <f>+(G133+G134)*10%</f>
        <v>5722.5</v>
      </c>
      <c r="M135" s="80" t="s">
        <v>326</v>
      </c>
      <c r="N135" s="81" t="s">
        <v>327</v>
      </c>
      <c r="O135" s="80" t="s">
        <v>326</v>
      </c>
      <c r="P135" s="81" t="s">
        <v>328</v>
      </c>
    </row>
    <row r="136" spans="1:16" ht="30.75" thickBot="1" x14ac:dyDescent="0.3">
      <c r="A136" s="74"/>
      <c r="B136" s="71"/>
      <c r="C136" s="72"/>
      <c r="D136" s="71"/>
      <c r="E136" s="72"/>
      <c r="F136" s="75" t="s">
        <v>337</v>
      </c>
      <c r="G136" s="76">
        <f>+G135</f>
        <v>68250</v>
      </c>
      <c r="H136" s="415"/>
      <c r="I136" s="416"/>
      <c r="J136" s="72"/>
      <c r="K136" s="569" t="s">
        <v>368</v>
      </c>
      <c r="M136" s="126">
        <f>+M142+M143</f>
        <v>26933.722604000002</v>
      </c>
      <c r="N136" s="127" t="s">
        <v>245</v>
      </c>
      <c r="O136" s="128">
        <f>+M142</f>
        <v>13731.119479000001</v>
      </c>
      <c r="P136" s="127" t="str">
        <f>+O142</f>
        <v>Contencioso</v>
      </c>
    </row>
    <row r="137" spans="1:16" ht="15.75" thickBot="1" x14ac:dyDescent="0.3">
      <c r="A137" s="66">
        <v>3957</v>
      </c>
      <c r="B137" s="79">
        <v>136</v>
      </c>
      <c r="C137" t="s">
        <v>365</v>
      </c>
      <c r="D137" s="58" t="s">
        <v>366</v>
      </c>
      <c r="E137" t="s">
        <v>367</v>
      </c>
      <c r="F137" s="77" t="s">
        <v>340</v>
      </c>
      <c r="G137" s="78">
        <f>233.33*5.1623</f>
        <v>1204.5194590000001</v>
      </c>
      <c r="H137" t="s">
        <v>245</v>
      </c>
      <c r="I137" s="125">
        <v>46023</v>
      </c>
      <c r="J137" s="1">
        <f>+G137</f>
        <v>1204.5194590000001</v>
      </c>
      <c r="K137" t="s">
        <v>216</v>
      </c>
      <c r="M137" s="129"/>
      <c r="N137" s="130"/>
      <c r="O137" s="129">
        <f>+M143</f>
        <v>13202.603125000001</v>
      </c>
      <c r="P137" s="130" t="str">
        <f>+O143</f>
        <v>Econômico</v>
      </c>
    </row>
    <row r="138" spans="1:16" ht="15.75" thickBot="1" x14ac:dyDescent="0.3">
      <c r="F138" t="s">
        <v>343</v>
      </c>
      <c r="G138" s="1">
        <f>2350*5.1623</f>
        <v>12131.405000000001</v>
      </c>
      <c r="M138" s="131"/>
      <c r="N138" s="132"/>
      <c r="O138" s="131"/>
      <c r="P138" s="132"/>
    </row>
    <row r="139" spans="1:16" x14ac:dyDescent="0.25">
      <c r="F139" t="s">
        <v>344</v>
      </c>
      <c r="G139" s="1">
        <f>733.33*5.1623</f>
        <v>3785.6694590000002</v>
      </c>
    </row>
    <row r="140" spans="1:16" ht="15.75" thickBot="1" x14ac:dyDescent="0.3">
      <c r="F140" t="s">
        <v>336</v>
      </c>
      <c r="G140" s="1">
        <f>SUM(G137:G139)</f>
        <v>17121.593918000002</v>
      </c>
      <c r="H140" s="140" t="s">
        <v>345</v>
      </c>
      <c r="I140" s="141">
        <f>+(G138+G139)*10%</f>
        <v>1591.7074459000003</v>
      </c>
    </row>
    <row r="141" spans="1:16" ht="15.75" thickBot="1" x14ac:dyDescent="0.3">
      <c r="A141" s="74"/>
      <c r="B141" s="71"/>
      <c r="C141" s="72"/>
      <c r="D141" s="71"/>
      <c r="E141" s="72"/>
      <c r="F141" s="75" t="s">
        <v>337</v>
      </c>
      <c r="G141" s="76">
        <f>+G140</f>
        <v>17121.593918000002</v>
      </c>
      <c r="H141" s="72"/>
      <c r="I141" s="75"/>
      <c r="J141" s="72"/>
      <c r="K141" s="72"/>
      <c r="M141" s="80" t="s">
        <v>569</v>
      </c>
      <c r="N141" s="81" t="s">
        <v>334</v>
      </c>
      <c r="O141" s="81" t="s">
        <v>320</v>
      </c>
      <c r="P141" s="81" t="s">
        <v>335</v>
      </c>
    </row>
    <row r="142" spans="1:16" x14ac:dyDescent="0.25">
      <c r="A142" s="66">
        <v>3985</v>
      </c>
      <c r="B142" s="79">
        <v>136</v>
      </c>
      <c r="C142" t="s">
        <v>365</v>
      </c>
      <c r="D142" s="58" t="s">
        <v>366</v>
      </c>
      <c r="E142" t="s">
        <v>367</v>
      </c>
      <c r="F142" s="77" t="s">
        <v>340</v>
      </c>
      <c r="G142" s="78">
        <f>2508.33*4.994</f>
        <v>12526.60002</v>
      </c>
      <c r="H142" t="s">
        <v>245</v>
      </c>
      <c r="I142" s="125">
        <v>46023</v>
      </c>
      <c r="J142" s="1">
        <f>+G142</f>
        <v>12526.60002</v>
      </c>
      <c r="K142" t="s">
        <v>216</v>
      </c>
      <c r="M142" s="82">
        <f>+J137+J142</f>
        <v>13731.119479000001</v>
      </c>
      <c r="N142" s="82" t="s">
        <v>245</v>
      </c>
      <c r="O142" s="101" t="s">
        <v>216</v>
      </c>
      <c r="P142" s="570">
        <v>46023</v>
      </c>
    </row>
    <row r="143" spans="1:16" ht="15.75" thickBot="1" x14ac:dyDescent="0.3">
      <c r="F143" t="s">
        <v>343</v>
      </c>
      <c r="G143" s="1">
        <f>1100*4.994</f>
        <v>5493.4</v>
      </c>
      <c r="M143" s="98">
        <f>+J147</f>
        <v>13202.603125000001</v>
      </c>
      <c r="N143" s="98" t="s">
        <v>245</v>
      </c>
      <c r="O143" s="572" t="s">
        <v>217</v>
      </c>
      <c r="P143" s="571">
        <v>46023</v>
      </c>
    </row>
    <row r="144" spans="1:16" x14ac:dyDescent="0.25">
      <c r="F144" t="s">
        <v>344</v>
      </c>
      <c r="G144" s="1">
        <f>1283.33*4.994</f>
        <v>6408.9500199999993</v>
      </c>
      <c r="M144" s="134">
        <f>+J152</f>
        <v>4362.5749999999998</v>
      </c>
      <c r="N144" s="134" t="s">
        <v>245</v>
      </c>
      <c r="O144" s="135" t="s">
        <v>216</v>
      </c>
      <c r="P144" s="638">
        <v>46054</v>
      </c>
    </row>
    <row r="145" spans="1:17" ht="15.75" thickBot="1" x14ac:dyDescent="0.3">
      <c r="F145" t="s">
        <v>336</v>
      </c>
      <c r="G145" s="1">
        <f>SUM(G142:G144)</f>
        <v>24428.95004</v>
      </c>
      <c r="H145" s="140" t="s">
        <v>345</v>
      </c>
      <c r="I145" s="141">
        <f>+(G143+G144)*10%</f>
        <v>1190.2350019999999</v>
      </c>
      <c r="M145" s="91"/>
      <c r="N145" s="91"/>
      <c r="O145" s="102"/>
      <c r="P145" s="92"/>
    </row>
    <row r="146" spans="1:17" ht="15.75" thickTop="1" x14ac:dyDescent="0.25">
      <c r="A146" s="74"/>
      <c r="B146" s="71"/>
      <c r="C146" s="72"/>
      <c r="D146" s="71"/>
      <c r="E146" s="72"/>
      <c r="F146" s="75" t="s">
        <v>337</v>
      </c>
      <c r="G146" s="76">
        <f>+G145</f>
        <v>24428.95004</v>
      </c>
      <c r="H146" s="72"/>
      <c r="I146" s="75"/>
      <c r="J146" s="72"/>
      <c r="K146" s="72"/>
    </row>
    <row r="147" spans="1:17" x14ac:dyDescent="0.25">
      <c r="A147" s="66">
        <v>3991</v>
      </c>
      <c r="B147" s="58">
        <v>146</v>
      </c>
      <c r="C147" t="s">
        <v>369</v>
      </c>
      <c r="D147" s="58">
        <v>1</v>
      </c>
      <c r="E147" t="s">
        <v>370</v>
      </c>
      <c r="F147" s="77" t="s">
        <v>351</v>
      </c>
      <c r="G147" s="78">
        <f>10035*31.25%</f>
        <v>3135.9375</v>
      </c>
      <c r="H147" t="s">
        <v>245</v>
      </c>
      <c r="I147" s="125">
        <v>46023</v>
      </c>
      <c r="J147" s="1">
        <f>+G147+G148</f>
        <v>13202.603125000001</v>
      </c>
      <c r="K147" t="s">
        <v>217</v>
      </c>
    </row>
    <row r="148" spans="1:17" x14ac:dyDescent="0.25">
      <c r="F148" s="77" t="s">
        <v>330</v>
      </c>
      <c r="G148" s="78">
        <f>32213.33*31.25%</f>
        <v>10066.665625000001</v>
      </c>
    </row>
    <row r="149" spans="1:17" x14ac:dyDescent="0.25">
      <c r="E149" s="5">
        <v>0.3125</v>
      </c>
      <c r="F149" t="s">
        <v>344</v>
      </c>
      <c r="G149" s="1">
        <f>13751.67*31.25%</f>
        <v>4297.3968750000004</v>
      </c>
      <c r="H149" s="5"/>
    </row>
    <row r="150" spans="1:17" x14ac:dyDescent="0.25">
      <c r="F150" t="s">
        <v>336</v>
      </c>
      <c r="G150" s="1">
        <v>56000</v>
      </c>
    </row>
    <row r="151" spans="1:17" ht="15.75" thickBot="1" x14ac:dyDescent="0.3">
      <c r="A151" s="74"/>
      <c r="B151" s="71"/>
      <c r="C151" s="72"/>
      <c r="D151" s="71"/>
      <c r="E151" s="72"/>
      <c r="F151" s="75" t="s">
        <v>337</v>
      </c>
      <c r="G151" s="76">
        <v>17500</v>
      </c>
      <c r="H151" s="72"/>
      <c r="I151" s="75"/>
      <c r="J151" s="72"/>
      <c r="K151" s="72"/>
    </row>
    <row r="152" spans="1:17" ht="15.75" thickBot="1" x14ac:dyDescent="0.3">
      <c r="A152" s="66">
        <v>4009</v>
      </c>
      <c r="B152" s="79">
        <v>136</v>
      </c>
      <c r="C152" t="s">
        <v>365</v>
      </c>
      <c r="D152" s="58" t="s">
        <v>366</v>
      </c>
      <c r="E152" t="s">
        <v>367</v>
      </c>
      <c r="F152" s="77" t="s">
        <v>340</v>
      </c>
      <c r="G152" s="78">
        <f>875*4.9858</f>
        <v>4362.5749999999998</v>
      </c>
      <c r="H152" t="s">
        <v>245</v>
      </c>
      <c r="I152" s="125">
        <v>46054</v>
      </c>
      <c r="J152" s="1">
        <f>+G152</f>
        <v>4362.5749999999998</v>
      </c>
      <c r="K152" t="s">
        <v>216</v>
      </c>
      <c r="M152" s="80" t="s">
        <v>371</v>
      </c>
      <c r="N152" s="94" t="s">
        <v>334</v>
      </c>
      <c r="O152" s="94" t="s">
        <v>352</v>
      </c>
      <c r="P152" s="81" t="s">
        <v>320</v>
      </c>
      <c r="Q152" s="81" t="s">
        <v>335</v>
      </c>
    </row>
    <row r="153" spans="1:17" x14ac:dyDescent="0.25">
      <c r="F153" t="s">
        <v>343</v>
      </c>
      <c r="G153" s="1">
        <f>300*4.9858</f>
        <v>1495.74</v>
      </c>
      <c r="M153" s="82">
        <f>+I140+I145</f>
        <v>2781.9424478999999</v>
      </c>
      <c r="N153" s="82" t="s">
        <v>245</v>
      </c>
      <c r="O153" s="82">
        <f>+M153/2</f>
        <v>1390.97122395</v>
      </c>
      <c r="P153" s="83" t="s">
        <v>216</v>
      </c>
      <c r="Q153" s="568">
        <v>46023</v>
      </c>
    </row>
    <row r="154" spans="1:17" ht="15.75" thickBot="1" x14ac:dyDescent="0.3">
      <c r="F154" t="s">
        <v>344</v>
      </c>
      <c r="G154" s="1">
        <f>3850*4.9858</f>
        <v>19195.330000000002</v>
      </c>
      <c r="M154" s="98"/>
      <c r="N154" s="98"/>
      <c r="O154" s="98">
        <f>+M153/2</f>
        <v>1390.97122395</v>
      </c>
      <c r="P154" s="99" t="s">
        <v>244</v>
      </c>
      <c r="Q154" s="637">
        <v>46023</v>
      </c>
    </row>
    <row r="155" spans="1:17" x14ac:dyDescent="0.25">
      <c r="F155" t="s">
        <v>336</v>
      </c>
      <c r="G155" s="1">
        <f>SUM(G152:G154)</f>
        <v>25053.645</v>
      </c>
      <c r="H155" s="140" t="s">
        <v>345</v>
      </c>
      <c r="I155" s="141">
        <f>+(G153+G154)*10%</f>
        <v>2069.1070000000004</v>
      </c>
      <c r="M155" s="85">
        <f>+I155</f>
        <v>2069.1070000000004</v>
      </c>
      <c r="N155" s="85" t="s">
        <v>245</v>
      </c>
      <c r="O155" s="88">
        <f>+M155/2</f>
        <v>1034.5535000000002</v>
      </c>
      <c r="P155" s="89" t="s">
        <v>216</v>
      </c>
      <c r="Q155" s="638">
        <v>46054</v>
      </c>
    </row>
    <row r="156" spans="1:17" ht="15.75" thickBot="1" x14ac:dyDescent="0.3">
      <c r="A156" s="74"/>
      <c r="B156" s="71"/>
      <c r="C156" s="72"/>
      <c r="D156" s="71"/>
      <c r="E156" s="72"/>
      <c r="F156" s="75" t="s">
        <v>337</v>
      </c>
      <c r="G156" s="76">
        <f>+G155</f>
        <v>25053.645</v>
      </c>
      <c r="H156" s="72"/>
      <c r="I156" s="75"/>
      <c r="J156" s="72"/>
      <c r="K156" s="72"/>
      <c r="M156" s="98"/>
      <c r="N156" s="98"/>
      <c r="O156" s="98">
        <f>+M155/2</f>
        <v>1034.5535000000002</v>
      </c>
      <c r="P156" s="99" t="s">
        <v>244</v>
      </c>
      <c r="Q156" s="639">
        <f>+Q155</f>
        <v>46054</v>
      </c>
    </row>
    <row r="157" spans="1:17" x14ac:dyDescent="0.25">
      <c r="G157" s="1"/>
      <c r="M157" s="85"/>
      <c r="N157" s="85"/>
      <c r="O157" s="88"/>
      <c r="P157" s="89"/>
      <c r="Q157" s="90"/>
    </row>
    <row r="158" spans="1:17" ht="15.75" thickBot="1" x14ac:dyDescent="0.3">
      <c r="G158" s="1"/>
      <c r="M158" s="98"/>
      <c r="N158" s="98"/>
      <c r="O158" s="98"/>
      <c r="P158" s="99"/>
      <c r="Q158" s="144"/>
    </row>
    <row r="159" spans="1:17" x14ac:dyDescent="0.25">
      <c r="G159" s="1"/>
      <c r="M159" s="85"/>
      <c r="N159" s="85"/>
      <c r="O159" s="88"/>
      <c r="P159" s="89"/>
      <c r="Q159" s="87"/>
    </row>
    <row r="160" spans="1:17" x14ac:dyDescent="0.25">
      <c r="G160" s="1"/>
      <c r="M160" s="85"/>
      <c r="N160" s="85"/>
      <c r="O160" s="85"/>
      <c r="P160" s="86"/>
      <c r="Q160" s="87"/>
    </row>
    <row r="161" spans="7:17" ht="15.75" thickBot="1" x14ac:dyDescent="0.3">
      <c r="G161" s="1"/>
      <c r="M161" s="98"/>
      <c r="N161" s="98"/>
      <c r="O161" s="98"/>
      <c r="P161" s="99"/>
      <c r="Q161" s="144"/>
    </row>
    <row r="162" spans="7:17" x14ac:dyDescent="0.25">
      <c r="G162" s="1"/>
      <c r="M162" s="85"/>
      <c r="N162" s="85"/>
      <c r="O162" s="88"/>
      <c r="P162" s="89"/>
      <c r="Q162" s="87"/>
    </row>
    <row r="163" spans="7:17" x14ac:dyDescent="0.25">
      <c r="G163" s="1"/>
      <c r="M163" s="85"/>
      <c r="N163" s="85"/>
      <c r="O163" s="85"/>
      <c r="P163" s="86"/>
      <c r="Q163" s="87"/>
    </row>
    <row r="164" spans="7:17" x14ac:dyDescent="0.25">
      <c r="G164" s="1"/>
    </row>
    <row r="165" spans="7:17" x14ac:dyDescent="0.25">
      <c r="G165" s="1"/>
    </row>
    <row r="166" spans="7:17" x14ac:dyDescent="0.25">
      <c r="G166" s="1"/>
    </row>
    <row r="167" spans="7:17" x14ac:dyDescent="0.25">
      <c r="G167" s="1"/>
    </row>
    <row r="168" spans="7:17" x14ac:dyDescent="0.25">
      <c r="G168" s="1"/>
    </row>
    <row r="169" spans="7:17" x14ac:dyDescent="0.25">
      <c r="G169" s="1"/>
    </row>
    <row r="170" spans="7:17" x14ac:dyDescent="0.25">
      <c r="G170" s="1"/>
    </row>
    <row r="171" spans="7:17" x14ac:dyDescent="0.25">
      <c r="G171" s="1"/>
    </row>
    <row r="172" spans="7:17" x14ac:dyDescent="0.25">
      <c r="G172" s="1"/>
    </row>
    <row r="173" spans="7:17" x14ac:dyDescent="0.25">
      <c r="G173" s="1"/>
    </row>
    <row r="174" spans="7:17" x14ac:dyDescent="0.25">
      <c r="G174" s="1"/>
    </row>
    <row r="175" spans="7:17" x14ac:dyDescent="0.25">
      <c r="G175" s="1"/>
    </row>
    <row r="176" spans="7:1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</sheetData>
  <autoFilter ref="A1:K105" xr:uid="{64AF732A-86DA-4220-9107-CAE81B512228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82E8-BEB1-4492-9E24-EDC5AF44A29F}">
  <sheetPr filterMode="1">
    <tabColor theme="9" tint="0.39997558519241921"/>
  </sheetPr>
  <dimension ref="A1:I525"/>
  <sheetViews>
    <sheetView topLeftCell="A505" workbookViewId="0">
      <selection activeCell="E516" sqref="E516"/>
    </sheetView>
  </sheetViews>
  <sheetFormatPr defaultColWidth="9.140625" defaultRowHeight="12.75" x14ac:dyDescent="0.25"/>
  <cols>
    <col min="1" max="1" width="9.7109375" style="119" bestFit="1" customWidth="1"/>
    <col min="2" max="2" width="12.140625" style="119" bestFit="1" customWidth="1"/>
    <col min="3" max="3" width="36.5703125" style="113" bestFit="1" customWidth="1"/>
    <col min="4" max="4" width="9.5703125" style="113" customWidth="1"/>
    <col min="5" max="5" width="53.28515625" style="124" customWidth="1"/>
    <col min="6" max="6" width="16.85546875" style="113" bestFit="1" customWidth="1"/>
    <col min="7" max="7" width="18.7109375" style="120" bestFit="1" customWidth="1"/>
    <col min="8" max="8" width="13.42578125" style="120" bestFit="1" customWidth="1"/>
    <col min="9" max="9" width="18.42578125" style="113" bestFit="1" customWidth="1"/>
    <col min="10" max="16384" width="9.140625" style="113"/>
  </cols>
  <sheetData>
    <row r="1" spans="1:9" ht="25.5" customHeight="1" x14ac:dyDescent="0.25">
      <c r="A1" s="110" t="s">
        <v>372</v>
      </c>
      <c r="B1" s="110" t="s">
        <v>373</v>
      </c>
      <c r="C1" s="111" t="s">
        <v>374</v>
      </c>
      <c r="D1" s="111" t="s">
        <v>314</v>
      </c>
      <c r="E1" s="121" t="s">
        <v>375</v>
      </c>
      <c r="F1" s="111" t="s">
        <v>376</v>
      </c>
      <c r="G1" s="112" t="s">
        <v>377</v>
      </c>
      <c r="H1" s="112" t="s">
        <v>378</v>
      </c>
      <c r="I1" s="111" t="s">
        <v>379</v>
      </c>
    </row>
    <row r="2" spans="1:9" ht="25.5" hidden="1" customHeight="1" x14ac:dyDescent="0.25">
      <c r="A2" s="114">
        <v>3339</v>
      </c>
      <c r="B2" s="114">
        <v>5</v>
      </c>
      <c r="C2" s="115" t="s">
        <v>380</v>
      </c>
      <c r="D2" s="118" t="s">
        <v>381</v>
      </c>
      <c r="E2" s="116" t="s">
        <v>382</v>
      </c>
      <c r="F2" s="143">
        <v>45298</v>
      </c>
      <c r="G2" s="117">
        <v>350</v>
      </c>
      <c r="H2" s="117">
        <v>333.73</v>
      </c>
      <c r="I2" s="115" t="s">
        <v>383</v>
      </c>
    </row>
    <row r="3" spans="1:9" ht="25.5" hidden="1" customHeight="1" x14ac:dyDescent="0.25">
      <c r="A3" s="114">
        <v>3295</v>
      </c>
      <c r="B3" s="114">
        <v>3</v>
      </c>
      <c r="C3" s="115" t="s">
        <v>384</v>
      </c>
      <c r="D3" s="118" t="s">
        <v>385</v>
      </c>
      <c r="E3" s="116" t="s">
        <v>386</v>
      </c>
      <c r="F3" s="143">
        <v>45658</v>
      </c>
      <c r="G3" s="117">
        <v>20400</v>
      </c>
      <c r="H3" s="117">
        <v>19145.400000000001</v>
      </c>
      <c r="I3" s="115" t="s">
        <v>245</v>
      </c>
    </row>
    <row r="4" spans="1:9" ht="25.5" hidden="1" customHeight="1" x14ac:dyDescent="0.25">
      <c r="A4" s="114">
        <v>3296</v>
      </c>
      <c r="B4" s="114">
        <v>3</v>
      </c>
      <c r="C4" s="115" t="s">
        <v>384</v>
      </c>
      <c r="D4" s="118" t="s">
        <v>385</v>
      </c>
      <c r="E4" s="116" t="s">
        <v>386</v>
      </c>
      <c r="F4" s="143">
        <v>45659</v>
      </c>
      <c r="G4" s="117">
        <v>6800</v>
      </c>
      <c r="H4" s="117">
        <v>6381.8</v>
      </c>
      <c r="I4" s="115" t="s">
        <v>245</v>
      </c>
    </row>
    <row r="5" spans="1:9" ht="25.5" hidden="1" customHeight="1" x14ac:dyDescent="0.25">
      <c r="A5" s="114">
        <v>3297</v>
      </c>
      <c r="B5" s="114">
        <v>3</v>
      </c>
      <c r="C5" s="115" t="s">
        <v>384</v>
      </c>
      <c r="D5" s="118" t="s">
        <v>385</v>
      </c>
      <c r="E5" s="116" t="s">
        <v>386</v>
      </c>
      <c r="F5" s="143">
        <v>45659</v>
      </c>
      <c r="G5" s="117">
        <v>12183.33</v>
      </c>
      <c r="H5" s="117">
        <v>11434.08</v>
      </c>
      <c r="I5" s="115" t="s">
        <v>245</v>
      </c>
    </row>
    <row r="6" spans="1:9" ht="25.5" hidden="1" customHeight="1" x14ac:dyDescent="0.25">
      <c r="A6" s="114">
        <v>3328</v>
      </c>
      <c r="B6" s="114">
        <v>133</v>
      </c>
      <c r="C6" s="115" t="s">
        <v>387</v>
      </c>
      <c r="D6" s="118" t="s">
        <v>381</v>
      </c>
      <c r="E6" s="116" t="s">
        <v>388</v>
      </c>
      <c r="F6" s="143">
        <v>45659</v>
      </c>
      <c r="G6" s="117">
        <v>40000</v>
      </c>
      <c r="H6" s="117">
        <v>37540</v>
      </c>
      <c r="I6" s="115" t="s">
        <v>217</v>
      </c>
    </row>
    <row r="7" spans="1:9" ht="25.5" hidden="1" customHeight="1" x14ac:dyDescent="0.25">
      <c r="A7" s="114">
        <v>3300</v>
      </c>
      <c r="B7" s="114">
        <v>5</v>
      </c>
      <c r="C7" s="115" t="s">
        <v>380</v>
      </c>
      <c r="D7" s="115" t="s">
        <v>366</v>
      </c>
      <c r="E7" s="116" t="s">
        <v>389</v>
      </c>
      <c r="F7" s="143">
        <v>45660</v>
      </c>
      <c r="G7" s="117">
        <v>500</v>
      </c>
      <c r="H7" s="117">
        <v>476.75</v>
      </c>
      <c r="I7" s="115" t="s">
        <v>383</v>
      </c>
    </row>
    <row r="8" spans="1:9" ht="25.5" hidden="1" customHeight="1" x14ac:dyDescent="0.25">
      <c r="A8" s="114">
        <v>3342</v>
      </c>
      <c r="B8" s="114">
        <v>5</v>
      </c>
      <c r="C8" s="115" t="s">
        <v>380</v>
      </c>
      <c r="D8" s="115" t="s">
        <v>366</v>
      </c>
      <c r="E8" s="116" t="s">
        <v>389</v>
      </c>
      <c r="F8" s="143">
        <v>45660</v>
      </c>
      <c r="G8" s="117">
        <v>500</v>
      </c>
      <c r="H8" s="117">
        <v>476.75</v>
      </c>
      <c r="I8" s="115" t="s">
        <v>383</v>
      </c>
    </row>
    <row r="9" spans="1:9" ht="25.5" hidden="1" customHeight="1" x14ac:dyDescent="0.25">
      <c r="A9" s="114">
        <v>3383</v>
      </c>
      <c r="B9" s="114">
        <v>5</v>
      </c>
      <c r="C9" s="115" t="s">
        <v>380</v>
      </c>
      <c r="D9" s="118" t="s">
        <v>381</v>
      </c>
      <c r="E9" s="116" t="s">
        <v>382</v>
      </c>
      <c r="F9" s="143">
        <v>45660</v>
      </c>
      <c r="G9" s="117">
        <v>350</v>
      </c>
      <c r="H9" s="117">
        <v>333.73</v>
      </c>
      <c r="I9" s="115" t="s">
        <v>383</v>
      </c>
    </row>
    <row r="10" spans="1:9" ht="25.5" hidden="1" customHeight="1" x14ac:dyDescent="0.25">
      <c r="A10" s="114">
        <v>3337</v>
      </c>
      <c r="B10" s="114">
        <v>2</v>
      </c>
      <c r="C10" s="115" t="s">
        <v>390</v>
      </c>
      <c r="D10" s="115"/>
      <c r="E10" s="123" t="s">
        <v>391</v>
      </c>
      <c r="F10" s="143">
        <v>45663</v>
      </c>
      <c r="G10" s="117">
        <v>2600</v>
      </c>
      <c r="H10" s="117">
        <v>2440.1</v>
      </c>
      <c r="I10" s="115" t="s">
        <v>383</v>
      </c>
    </row>
    <row r="11" spans="1:9" ht="25.5" customHeight="1" x14ac:dyDescent="0.25">
      <c r="A11" s="114">
        <v>3952</v>
      </c>
      <c r="B11" s="114">
        <v>114</v>
      </c>
      <c r="C11" s="115" t="s">
        <v>411</v>
      </c>
      <c r="D11" s="118" t="s">
        <v>381</v>
      </c>
      <c r="E11" s="116" t="s">
        <v>412</v>
      </c>
      <c r="F11" s="143">
        <v>46027</v>
      </c>
      <c r="G11" s="117">
        <v>12570.97</v>
      </c>
      <c r="H11" s="117">
        <v>5898.95</v>
      </c>
      <c r="I11" s="115" t="s">
        <v>217</v>
      </c>
    </row>
    <row r="12" spans="1:9" ht="25.5" hidden="1" customHeight="1" x14ac:dyDescent="0.25">
      <c r="A12" s="114">
        <v>3376</v>
      </c>
      <c r="B12" s="114">
        <v>81</v>
      </c>
      <c r="C12" s="115" t="s">
        <v>403</v>
      </c>
      <c r="D12" s="118"/>
      <c r="E12" s="123" t="s">
        <v>404</v>
      </c>
      <c r="F12" s="143">
        <v>45672</v>
      </c>
      <c r="G12" s="117">
        <v>3033.32</v>
      </c>
      <c r="H12" s="117">
        <v>2846.8</v>
      </c>
      <c r="I12" s="115" t="s">
        <v>217</v>
      </c>
    </row>
    <row r="13" spans="1:9" ht="25.5" hidden="1" customHeight="1" x14ac:dyDescent="0.25">
      <c r="A13" s="114">
        <v>3346</v>
      </c>
      <c r="B13" s="114">
        <v>130</v>
      </c>
      <c r="C13" s="115" t="s">
        <v>392</v>
      </c>
      <c r="D13" s="118" t="s">
        <v>381</v>
      </c>
      <c r="E13" s="116" t="s">
        <v>393</v>
      </c>
      <c r="F13" s="143">
        <v>45663</v>
      </c>
      <c r="G13" s="117">
        <v>7800</v>
      </c>
      <c r="H13" s="117">
        <v>3660.15</v>
      </c>
      <c r="I13" s="115" t="s">
        <v>245</v>
      </c>
    </row>
    <row r="14" spans="1:9" ht="25.5" hidden="1" customHeight="1" x14ac:dyDescent="0.25">
      <c r="A14" s="114">
        <v>3351</v>
      </c>
      <c r="B14" s="114">
        <v>97</v>
      </c>
      <c r="C14" s="115" t="s">
        <v>396</v>
      </c>
      <c r="D14" s="118" t="s">
        <v>381</v>
      </c>
      <c r="E14" s="116" t="s">
        <v>397</v>
      </c>
      <c r="F14" s="143">
        <v>45667</v>
      </c>
      <c r="G14" s="117">
        <v>30000</v>
      </c>
      <c r="H14" s="117">
        <v>28155</v>
      </c>
      <c r="I14" s="115" t="s">
        <v>245</v>
      </c>
    </row>
    <row r="15" spans="1:9" ht="25.5" hidden="1" customHeight="1" x14ac:dyDescent="0.25">
      <c r="A15" s="114">
        <v>3379</v>
      </c>
      <c r="B15" s="114">
        <v>61</v>
      </c>
      <c r="C15" s="115" t="s">
        <v>398</v>
      </c>
      <c r="D15" s="118" t="s">
        <v>399</v>
      </c>
      <c r="E15" s="116" t="s">
        <v>400</v>
      </c>
      <c r="F15" s="143">
        <v>45672</v>
      </c>
      <c r="G15" s="117">
        <v>42730.54</v>
      </c>
      <c r="H15" s="117">
        <v>40102.629999999997</v>
      </c>
      <c r="I15" s="115" t="s">
        <v>217</v>
      </c>
    </row>
    <row r="16" spans="1:9" ht="25.5" hidden="1" customHeight="1" x14ac:dyDescent="0.25">
      <c r="A16" s="114">
        <v>3378</v>
      </c>
      <c r="B16" s="114">
        <v>61</v>
      </c>
      <c r="C16" s="115" t="s">
        <v>398</v>
      </c>
      <c r="D16" s="118" t="s">
        <v>401</v>
      </c>
      <c r="E16" s="116" t="s">
        <v>324</v>
      </c>
      <c r="F16" s="143">
        <v>45672</v>
      </c>
      <c r="G16" s="117">
        <v>2702.27</v>
      </c>
      <c r="H16" s="117">
        <v>2536.1</v>
      </c>
      <c r="I16" s="115" t="s">
        <v>217</v>
      </c>
    </row>
    <row r="17" spans="1:9" ht="25.5" hidden="1" customHeight="1" x14ac:dyDescent="0.25">
      <c r="A17" s="114">
        <v>3381</v>
      </c>
      <c r="B17" s="114">
        <v>61</v>
      </c>
      <c r="C17" s="115" t="s">
        <v>398</v>
      </c>
      <c r="D17" s="118" t="s">
        <v>385</v>
      </c>
      <c r="E17" s="116" t="s">
        <v>402</v>
      </c>
      <c r="F17" s="143">
        <v>45672</v>
      </c>
      <c r="G17" s="117">
        <v>3097.33</v>
      </c>
      <c r="H17" s="117">
        <v>2906.86</v>
      </c>
      <c r="I17" s="115" t="s">
        <v>217</v>
      </c>
    </row>
    <row r="18" spans="1:9" ht="25.5" hidden="1" customHeight="1" x14ac:dyDescent="0.25">
      <c r="A18" s="114">
        <v>3388</v>
      </c>
      <c r="B18" s="114">
        <v>81</v>
      </c>
      <c r="C18" s="115" t="s">
        <v>403</v>
      </c>
      <c r="D18" s="115"/>
      <c r="E18" s="123" t="s">
        <v>404</v>
      </c>
      <c r="F18" s="143">
        <v>45698</v>
      </c>
      <c r="G18" s="117">
        <v>699.99</v>
      </c>
      <c r="H18" s="117">
        <v>656.98</v>
      </c>
      <c r="I18" s="115" t="s">
        <v>217</v>
      </c>
    </row>
    <row r="19" spans="1:9" ht="25.5" hidden="1" customHeight="1" x14ac:dyDescent="0.25">
      <c r="A19" s="114">
        <v>3385</v>
      </c>
      <c r="B19" s="114">
        <v>61</v>
      </c>
      <c r="C19" s="115" t="s">
        <v>398</v>
      </c>
      <c r="D19" s="118" t="s">
        <v>405</v>
      </c>
      <c r="E19" s="116" t="s">
        <v>406</v>
      </c>
      <c r="F19" s="143">
        <v>45677</v>
      </c>
      <c r="G19" s="117">
        <v>2275.5700000000002</v>
      </c>
      <c r="H19" s="117">
        <v>2135.64</v>
      </c>
      <c r="I19" s="115" t="s">
        <v>217</v>
      </c>
    </row>
    <row r="20" spans="1:9" ht="25.5" hidden="1" customHeight="1" x14ac:dyDescent="0.25">
      <c r="A20" s="114">
        <v>3343</v>
      </c>
      <c r="B20" s="114">
        <v>61</v>
      </c>
      <c r="C20" s="115" t="s">
        <v>398</v>
      </c>
      <c r="D20" s="118" t="s">
        <v>407</v>
      </c>
      <c r="E20" s="116" t="s">
        <v>408</v>
      </c>
      <c r="F20" s="143">
        <v>45677</v>
      </c>
      <c r="G20" s="117">
        <v>30000</v>
      </c>
      <c r="H20" s="117">
        <v>14077.5</v>
      </c>
      <c r="I20" s="115" t="s">
        <v>217</v>
      </c>
    </row>
    <row r="21" spans="1:9" ht="25.5" hidden="1" customHeight="1" x14ac:dyDescent="0.25">
      <c r="A21" s="114">
        <v>3468</v>
      </c>
      <c r="B21" s="114">
        <v>68</v>
      </c>
      <c r="C21" s="115" t="s">
        <v>448</v>
      </c>
      <c r="D21" s="118" t="s">
        <v>381</v>
      </c>
      <c r="E21" s="116" t="s">
        <v>449</v>
      </c>
      <c r="F21" s="143">
        <v>45723</v>
      </c>
      <c r="G21" s="117">
        <v>345</v>
      </c>
      <c r="H21" s="117">
        <v>328.96</v>
      </c>
      <c r="I21" s="115" t="s">
        <v>383</v>
      </c>
    </row>
    <row r="22" spans="1:9" ht="25.5" hidden="1" customHeight="1" x14ac:dyDescent="0.25">
      <c r="A22" s="114">
        <v>3526</v>
      </c>
      <c r="B22" s="114">
        <v>68</v>
      </c>
      <c r="C22" s="115" t="s">
        <v>448</v>
      </c>
      <c r="D22" s="118" t="s">
        <v>381</v>
      </c>
      <c r="E22" s="116" t="s">
        <v>449</v>
      </c>
      <c r="F22" s="143">
        <v>45748</v>
      </c>
      <c r="G22" s="117">
        <v>1380</v>
      </c>
      <c r="H22" s="117">
        <v>1295.1300000000001</v>
      </c>
      <c r="I22" s="115" t="s">
        <v>383</v>
      </c>
    </row>
    <row r="23" spans="1:9" ht="25.5" hidden="1" customHeight="1" x14ac:dyDescent="0.25">
      <c r="A23" s="114">
        <v>3344</v>
      </c>
      <c r="B23" s="114">
        <v>61</v>
      </c>
      <c r="C23" s="115" t="s">
        <v>398</v>
      </c>
      <c r="D23" s="118" t="s">
        <v>407</v>
      </c>
      <c r="E23" s="116" t="s">
        <v>408</v>
      </c>
      <c r="F23" s="143">
        <v>45679</v>
      </c>
      <c r="G23" s="117">
        <v>30000</v>
      </c>
      <c r="H23" s="117">
        <v>14077.5</v>
      </c>
      <c r="I23" s="115" t="s">
        <v>217</v>
      </c>
    </row>
    <row r="24" spans="1:9" ht="25.5" hidden="1" customHeight="1" x14ac:dyDescent="0.25">
      <c r="A24" s="114">
        <v>3586</v>
      </c>
      <c r="B24" s="114">
        <v>68</v>
      </c>
      <c r="C24" s="115" t="s">
        <v>448</v>
      </c>
      <c r="D24" s="118" t="s">
        <v>381</v>
      </c>
      <c r="E24" s="116" t="s">
        <v>449</v>
      </c>
      <c r="F24" s="143">
        <v>45776</v>
      </c>
      <c r="G24" s="117">
        <v>5230</v>
      </c>
      <c r="H24" s="117">
        <v>4908.3599999999997</v>
      </c>
      <c r="I24" s="115" t="s">
        <v>383</v>
      </c>
    </row>
    <row r="25" spans="1:9" ht="25.5" hidden="1" customHeight="1" x14ac:dyDescent="0.25">
      <c r="A25" s="114">
        <v>3623</v>
      </c>
      <c r="B25" s="114">
        <v>68</v>
      </c>
      <c r="C25" s="115" t="s">
        <v>448</v>
      </c>
      <c r="D25" s="118" t="s">
        <v>381</v>
      </c>
      <c r="E25" s="116" t="s">
        <v>449</v>
      </c>
      <c r="F25" s="143">
        <v>45792</v>
      </c>
      <c r="G25" s="117">
        <v>1900</v>
      </c>
      <c r="H25" s="117">
        <v>1783.15</v>
      </c>
      <c r="I25" s="115" t="s">
        <v>383</v>
      </c>
    </row>
    <row r="26" spans="1:9" ht="25.5" hidden="1" customHeight="1" x14ac:dyDescent="0.25">
      <c r="A26" s="114">
        <v>3401</v>
      </c>
      <c r="B26" s="114">
        <v>123</v>
      </c>
      <c r="C26" s="115" t="s">
        <v>413</v>
      </c>
      <c r="D26" s="115" t="s">
        <v>381</v>
      </c>
      <c r="E26" s="116" t="s">
        <v>414</v>
      </c>
      <c r="F26" s="143">
        <v>45684</v>
      </c>
      <c r="G26" s="117">
        <v>1000</v>
      </c>
      <c r="H26" s="117">
        <v>1000</v>
      </c>
      <c r="I26" s="115" t="s">
        <v>383</v>
      </c>
    </row>
    <row r="27" spans="1:9" ht="25.5" hidden="1" customHeight="1" x14ac:dyDescent="0.25">
      <c r="A27" s="114">
        <v>3426</v>
      </c>
      <c r="B27" s="114">
        <v>28</v>
      </c>
      <c r="C27" s="115" t="s">
        <v>415</v>
      </c>
      <c r="D27" s="118" t="s">
        <v>416</v>
      </c>
      <c r="E27" s="116" t="s">
        <v>417</v>
      </c>
      <c r="F27" s="143">
        <v>45685</v>
      </c>
      <c r="G27" s="117">
        <v>2090</v>
      </c>
      <c r="H27" s="117">
        <v>2090</v>
      </c>
      <c r="I27" s="115" t="s">
        <v>383</v>
      </c>
    </row>
    <row r="28" spans="1:9" ht="25.5" hidden="1" customHeight="1" x14ac:dyDescent="0.25">
      <c r="A28" s="114">
        <v>3427</v>
      </c>
      <c r="B28" s="114">
        <v>28</v>
      </c>
      <c r="C28" s="115" t="s">
        <v>415</v>
      </c>
      <c r="D28" s="118" t="s">
        <v>401</v>
      </c>
      <c r="E28" s="116" t="s">
        <v>418</v>
      </c>
      <c r="F28" s="143">
        <v>45685</v>
      </c>
      <c r="G28" s="117">
        <v>81290.83</v>
      </c>
      <c r="H28" s="117">
        <v>81290.83</v>
      </c>
      <c r="I28" s="115" t="s">
        <v>383</v>
      </c>
    </row>
    <row r="29" spans="1:9" ht="25.5" hidden="1" customHeight="1" x14ac:dyDescent="0.25">
      <c r="A29" s="114">
        <v>3428</v>
      </c>
      <c r="B29" s="114">
        <v>137</v>
      </c>
      <c r="C29" s="115" t="s">
        <v>419</v>
      </c>
      <c r="D29" s="118" t="s">
        <v>381</v>
      </c>
      <c r="E29" s="116" t="s">
        <v>420</v>
      </c>
      <c r="F29" s="143">
        <v>45685</v>
      </c>
      <c r="G29" s="117">
        <v>1167.5</v>
      </c>
      <c r="H29" s="117">
        <v>1095.72</v>
      </c>
      <c r="I29" s="115" t="s">
        <v>383</v>
      </c>
    </row>
    <row r="30" spans="1:9" ht="25.5" hidden="1" customHeight="1" x14ac:dyDescent="0.25">
      <c r="A30" s="114">
        <v>3302</v>
      </c>
      <c r="B30" s="114">
        <v>6</v>
      </c>
      <c r="C30" s="115" t="s">
        <v>421</v>
      </c>
      <c r="D30" s="115"/>
      <c r="E30" s="123" t="s">
        <v>422</v>
      </c>
      <c r="F30" s="143">
        <v>45686</v>
      </c>
      <c r="G30" s="117">
        <v>3870</v>
      </c>
      <c r="H30" s="117">
        <v>3632</v>
      </c>
      <c r="I30" s="115" t="s">
        <v>383</v>
      </c>
    </row>
    <row r="31" spans="1:9" ht="25.5" hidden="1" customHeight="1" x14ac:dyDescent="0.25">
      <c r="A31" s="114">
        <v>3341</v>
      </c>
      <c r="B31" s="114">
        <v>6</v>
      </c>
      <c r="C31" s="115" t="s">
        <v>421</v>
      </c>
      <c r="D31" s="115"/>
      <c r="E31" s="123" t="s">
        <v>422</v>
      </c>
      <c r="F31" s="143">
        <v>45686</v>
      </c>
      <c r="G31" s="117">
        <v>3870</v>
      </c>
      <c r="H31" s="117">
        <v>3632</v>
      </c>
      <c r="I31" s="115" t="s">
        <v>383</v>
      </c>
    </row>
    <row r="32" spans="1:9" ht="25.5" hidden="1" customHeight="1" x14ac:dyDescent="0.25">
      <c r="A32" s="114">
        <v>3447</v>
      </c>
      <c r="B32" s="114">
        <v>32</v>
      </c>
      <c r="C32" s="115" t="s">
        <v>423</v>
      </c>
      <c r="D32" s="115" t="s">
        <v>424</v>
      </c>
      <c r="E32" s="116" t="s">
        <v>425</v>
      </c>
      <c r="F32" s="143">
        <v>45686</v>
      </c>
      <c r="G32" s="117">
        <v>2192.48</v>
      </c>
      <c r="H32" s="117">
        <v>2192.48</v>
      </c>
      <c r="I32" s="115" t="s">
        <v>383</v>
      </c>
    </row>
    <row r="33" spans="1:9" ht="25.5" hidden="1" customHeight="1" x14ac:dyDescent="0.25">
      <c r="A33" s="114">
        <v>3333</v>
      </c>
      <c r="B33" s="114">
        <v>3</v>
      </c>
      <c r="C33" s="115" t="s">
        <v>384</v>
      </c>
      <c r="D33" s="118" t="s">
        <v>385</v>
      </c>
      <c r="E33" s="116" t="s">
        <v>386</v>
      </c>
      <c r="F33" s="143">
        <v>45691</v>
      </c>
      <c r="G33" s="117">
        <v>34569</v>
      </c>
      <c r="H33" s="117">
        <v>32443.02</v>
      </c>
      <c r="I33" s="115" t="s">
        <v>245</v>
      </c>
    </row>
    <row r="34" spans="1:9" ht="25.5" hidden="1" customHeight="1" x14ac:dyDescent="0.25">
      <c r="A34" s="114">
        <v>3345</v>
      </c>
      <c r="B34" s="114">
        <v>130</v>
      </c>
      <c r="C34" s="115" t="s">
        <v>392</v>
      </c>
      <c r="D34" s="118" t="s">
        <v>381</v>
      </c>
      <c r="E34" s="116" t="s">
        <v>393</v>
      </c>
      <c r="F34" s="143">
        <v>45664</v>
      </c>
      <c r="G34" s="117">
        <v>7800</v>
      </c>
      <c r="H34" s="117">
        <v>3660.15</v>
      </c>
      <c r="I34" s="115" t="s">
        <v>245</v>
      </c>
    </row>
    <row r="35" spans="1:9" ht="25.5" hidden="1" customHeight="1" x14ac:dyDescent="0.25">
      <c r="A35" s="114">
        <v>3364</v>
      </c>
      <c r="B35" s="114">
        <v>133</v>
      </c>
      <c r="C35" s="115" t="s">
        <v>387</v>
      </c>
      <c r="D35" s="118" t="s">
        <v>381</v>
      </c>
      <c r="E35" s="116" t="s">
        <v>388</v>
      </c>
      <c r="F35" s="143">
        <v>45691</v>
      </c>
      <c r="G35" s="117">
        <v>40000</v>
      </c>
      <c r="H35" s="117">
        <v>37540</v>
      </c>
      <c r="I35" s="115" t="s">
        <v>217</v>
      </c>
    </row>
    <row r="36" spans="1:9" ht="25.5" hidden="1" customHeight="1" x14ac:dyDescent="0.25">
      <c r="A36" s="114">
        <v>3392</v>
      </c>
      <c r="B36" s="114">
        <v>5</v>
      </c>
      <c r="C36" s="115" t="s">
        <v>380</v>
      </c>
      <c r="D36" s="115" t="s">
        <v>366</v>
      </c>
      <c r="E36" s="116" t="s">
        <v>389</v>
      </c>
      <c r="F36" s="143">
        <v>45692</v>
      </c>
      <c r="G36" s="117">
        <v>500</v>
      </c>
      <c r="H36" s="117">
        <v>476.75</v>
      </c>
      <c r="I36" s="115" t="s">
        <v>383</v>
      </c>
    </row>
    <row r="37" spans="1:9" ht="25.5" hidden="1" customHeight="1" x14ac:dyDescent="0.25">
      <c r="A37" s="114">
        <v>3421</v>
      </c>
      <c r="B37" s="114">
        <v>5</v>
      </c>
      <c r="C37" s="115" t="s">
        <v>380</v>
      </c>
      <c r="D37" s="118" t="s">
        <v>381</v>
      </c>
      <c r="E37" s="116" t="s">
        <v>382</v>
      </c>
      <c r="F37" s="143">
        <v>45692</v>
      </c>
      <c r="G37" s="117">
        <v>350</v>
      </c>
      <c r="H37" s="117">
        <v>333.73</v>
      </c>
      <c r="I37" s="115" t="s">
        <v>383</v>
      </c>
    </row>
    <row r="38" spans="1:9" ht="25.5" hidden="1" customHeight="1" x14ac:dyDescent="0.25">
      <c r="A38" s="114">
        <v>3390</v>
      </c>
      <c r="B38" s="114">
        <v>130</v>
      </c>
      <c r="C38" s="115" t="s">
        <v>392</v>
      </c>
      <c r="D38" s="118" t="s">
        <v>381</v>
      </c>
      <c r="E38" s="116" t="s">
        <v>393</v>
      </c>
      <c r="F38" s="143">
        <v>45691</v>
      </c>
      <c r="G38" s="117">
        <v>10233.33</v>
      </c>
      <c r="H38" s="117">
        <v>4802.03</v>
      </c>
      <c r="I38" s="115" t="s">
        <v>245</v>
      </c>
    </row>
    <row r="39" spans="1:9" ht="25.5" hidden="1" customHeight="1" x14ac:dyDescent="0.25">
      <c r="A39" s="114">
        <v>3386</v>
      </c>
      <c r="B39" s="114">
        <v>97</v>
      </c>
      <c r="C39" s="115" t="s">
        <v>396</v>
      </c>
      <c r="D39" s="118" t="s">
        <v>381</v>
      </c>
      <c r="E39" s="116" t="s">
        <v>397</v>
      </c>
      <c r="F39" s="143">
        <v>45695</v>
      </c>
      <c r="G39" s="117">
        <v>14450</v>
      </c>
      <c r="H39" s="117">
        <v>13561.33</v>
      </c>
      <c r="I39" s="115" t="s">
        <v>245</v>
      </c>
    </row>
    <row r="40" spans="1:9" ht="25.5" hidden="1" customHeight="1" x14ac:dyDescent="0.25">
      <c r="A40" s="114">
        <v>3387</v>
      </c>
      <c r="B40" s="114">
        <v>61</v>
      </c>
      <c r="C40" s="115" t="s">
        <v>398</v>
      </c>
      <c r="D40" s="118" t="s">
        <v>428</v>
      </c>
      <c r="E40" s="116" t="s">
        <v>429</v>
      </c>
      <c r="F40" s="143">
        <v>45698</v>
      </c>
      <c r="G40" s="117">
        <v>853.34</v>
      </c>
      <c r="H40" s="117">
        <v>800.87</v>
      </c>
      <c r="I40" s="115" t="s">
        <v>383</v>
      </c>
    </row>
    <row r="41" spans="1:9" ht="25.5" hidden="1" customHeight="1" x14ac:dyDescent="0.25">
      <c r="A41" s="114">
        <v>3407</v>
      </c>
      <c r="B41" s="114">
        <v>61</v>
      </c>
      <c r="C41" s="115" t="s">
        <v>398</v>
      </c>
      <c r="D41" s="118" t="s">
        <v>407</v>
      </c>
      <c r="E41" s="116" t="s">
        <v>408</v>
      </c>
      <c r="F41" s="143">
        <v>45698</v>
      </c>
      <c r="G41" s="117">
        <v>30000</v>
      </c>
      <c r="H41" s="117">
        <v>14077.5</v>
      </c>
      <c r="I41" s="115" t="s">
        <v>217</v>
      </c>
    </row>
    <row r="42" spans="1:9" ht="25.5" hidden="1" customHeight="1" x14ac:dyDescent="0.25">
      <c r="A42" s="114">
        <v>3455</v>
      </c>
      <c r="B42" s="114">
        <v>81</v>
      </c>
      <c r="C42" s="115" t="s">
        <v>403</v>
      </c>
      <c r="D42" s="115"/>
      <c r="E42" s="123" t="s">
        <v>404</v>
      </c>
      <c r="F42" s="143">
        <v>45701</v>
      </c>
      <c r="G42" s="117">
        <v>699.99</v>
      </c>
      <c r="H42" s="117">
        <v>656.98</v>
      </c>
      <c r="I42" s="115" t="s">
        <v>217</v>
      </c>
    </row>
    <row r="43" spans="1:9" ht="25.5" hidden="1" customHeight="1" x14ac:dyDescent="0.25">
      <c r="A43" s="114">
        <v>3680</v>
      </c>
      <c r="B43" s="114">
        <v>68</v>
      </c>
      <c r="C43" s="115" t="s">
        <v>448</v>
      </c>
      <c r="D43" s="118" t="s">
        <v>381</v>
      </c>
      <c r="E43" s="116" t="s">
        <v>449</v>
      </c>
      <c r="F43" s="143">
        <v>45831</v>
      </c>
      <c r="G43" s="117">
        <v>20140</v>
      </c>
      <c r="H43" s="117">
        <v>18901.39</v>
      </c>
      <c r="I43" s="115" t="s">
        <v>383</v>
      </c>
    </row>
    <row r="44" spans="1:9" ht="25.5" hidden="1" customHeight="1" x14ac:dyDescent="0.25">
      <c r="A44" s="114">
        <v>3730</v>
      </c>
      <c r="B44" s="114">
        <v>68</v>
      </c>
      <c r="C44" s="115" t="s">
        <v>448</v>
      </c>
      <c r="D44" s="118" t="s">
        <v>381</v>
      </c>
      <c r="E44" s="116" t="s">
        <v>449</v>
      </c>
      <c r="F44" s="143">
        <v>45856</v>
      </c>
      <c r="G44" s="117">
        <v>405</v>
      </c>
      <c r="H44" s="117">
        <v>386.17</v>
      </c>
      <c r="I44" s="115" t="s">
        <v>383</v>
      </c>
    </row>
    <row r="45" spans="1:9" ht="25.5" hidden="1" customHeight="1" x14ac:dyDescent="0.25">
      <c r="A45" s="114">
        <v>3409</v>
      </c>
      <c r="B45" s="114">
        <v>116</v>
      </c>
      <c r="C45" s="115" t="s">
        <v>430</v>
      </c>
      <c r="D45" s="115" t="s">
        <v>431</v>
      </c>
      <c r="E45" s="116" t="s">
        <v>432</v>
      </c>
      <c r="F45" s="143">
        <v>45698</v>
      </c>
      <c r="G45" s="117">
        <v>6000</v>
      </c>
      <c r="H45" s="117">
        <v>3000</v>
      </c>
      <c r="I45" s="115" t="s">
        <v>383</v>
      </c>
    </row>
    <row r="46" spans="1:9" ht="25.5" hidden="1" customHeight="1" x14ac:dyDescent="0.25">
      <c r="A46" s="114">
        <v>3411</v>
      </c>
      <c r="B46" s="114">
        <v>116</v>
      </c>
      <c r="C46" s="115" t="s">
        <v>430</v>
      </c>
      <c r="D46" s="115" t="s">
        <v>431</v>
      </c>
      <c r="E46" s="116" t="s">
        <v>432</v>
      </c>
      <c r="F46" s="143">
        <v>45698</v>
      </c>
      <c r="G46" s="117">
        <v>1000</v>
      </c>
      <c r="H46" s="117">
        <v>500</v>
      </c>
      <c r="I46" s="115" t="s">
        <v>383</v>
      </c>
    </row>
    <row r="47" spans="1:9" ht="25.5" hidden="1" customHeight="1" x14ac:dyDescent="0.25">
      <c r="A47" s="114">
        <v>3413</v>
      </c>
      <c r="B47" s="114">
        <v>116</v>
      </c>
      <c r="C47" s="115" t="s">
        <v>430</v>
      </c>
      <c r="D47" s="115" t="s">
        <v>431</v>
      </c>
      <c r="E47" s="116" t="s">
        <v>432</v>
      </c>
      <c r="F47" s="143">
        <v>45698</v>
      </c>
      <c r="G47" s="117">
        <v>1000</v>
      </c>
      <c r="H47" s="117">
        <v>500</v>
      </c>
      <c r="I47" s="115" t="s">
        <v>383</v>
      </c>
    </row>
    <row r="48" spans="1:9" ht="25.5" hidden="1" customHeight="1" x14ac:dyDescent="0.25">
      <c r="A48" s="114">
        <v>3391</v>
      </c>
      <c r="B48" s="114">
        <v>130</v>
      </c>
      <c r="C48" s="115" t="s">
        <v>392</v>
      </c>
      <c r="D48" s="118" t="s">
        <v>381</v>
      </c>
      <c r="E48" s="116" t="s">
        <v>393</v>
      </c>
      <c r="F48" s="143">
        <v>45698</v>
      </c>
      <c r="G48" s="117">
        <v>10233.33</v>
      </c>
      <c r="H48" s="117">
        <v>4802.03</v>
      </c>
      <c r="I48" s="115" t="s">
        <v>245</v>
      </c>
    </row>
    <row r="49" spans="1:9" ht="25.5" hidden="1" customHeight="1" x14ac:dyDescent="0.25">
      <c r="A49" s="114">
        <v>3405</v>
      </c>
      <c r="B49" s="114">
        <v>6</v>
      </c>
      <c r="C49" s="115" t="s">
        <v>421</v>
      </c>
      <c r="D49" s="115"/>
      <c r="E49" s="123" t="s">
        <v>422</v>
      </c>
      <c r="F49" s="143">
        <v>45700</v>
      </c>
      <c r="G49" s="117">
        <v>3870</v>
      </c>
      <c r="H49" s="117">
        <v>3632</v>
      </c>
      <c r="I49" s="115" t="s">
        <v>383</v>
      </c>
    </row>
    <row r="50" spans="1:9" ht="25.5" hidden="1" customHeight="1" x14ac:dyDescent="0.25">
      <c r="A50" s="114">
        <v>3508</v>
      </c>
      <c r="B50" s="114">
        <v>81</v>
      </c>
      <c r="C50" s="115" t="s">
        <v>403</v>
      </c>
      <c r="D50" s="115"/>
      <c r="E50" s="123" t="s">
        <v>404</v>
      </c>
      <c r="F50" s="143">
        <v>45758</v>
      </c>
      <c r="G50" s="117">
        <v>999.99</v>
      </c>
      <c r="H50" s="117">
        <v>938.53</v>
      </c>
      <c r="I50" s="115" t="s">
        <v>217</v>
      </c>
    </row>
    <row r="51" spans="1:9" ht="25.5" hidden="1" customHeight="1" x14ac:dyDescent="0.25">
      <c r="A51" s="114">
        <v>3424</v>
      </c>
      <c r="B51" s="114">
        <v>61</v>
      </c>
      <c r="C51" s="115" t="s">
        <v>398</v>
      </c>
      <c r="D51" s="118" t="s">
        <v>405</v>
      </c>
      <c r="E51" s="116" t="s">
        <v>406</v>
      </c>
      <c r="F51" s="143">
        <v>45707</v>
      </c>
      <c r="G51" s="117">
        <v>2702.24</v>
      </c>
      <c r="H51" s="117">
        <v>2536.0700000000002</v>
      </c>
      <c r="I51" s="115" t="s">
        <v>217</v>
      </c>
    </row>
    <row r="52" spans="1:9" ht="25.5" hidden="1" customHeight="1" x14ac:dyDescent="0.25">
      <c r="A52" s="114">
        <v>3406</v>
      </c>
      <c r="B52" s="114">
        <v>61</v>
      </c>
      <c r="C52" s="115" t="s">
        <v>398</v>
      </c>
      <c r="D52" s="118" t="s">
        <v>407</v>
      </c>
      <c r="E52" s="116" t="s">
        <v>408</v>
      </c>
      <c r="F52" s="143">
        <v>45707</v>
      </c>
      <c r="G52" s="117">
        <v>30000</v>
      </c>
      <c r="H52" s="117">
        <v>14077.5</v>
      </c>
      <c r="I52" s="115" t="s">
        <v>217</v>
      </c>
    </row>
    <row r="53" spans="1:9" ht="25.5" hidden="1" customHeight="1" x14ac:dyDescent="0.25">
      <c r="A53" s="114">
        <v>3769</v>
      </c>
      <c r="B53" s="114">
        <v>68</v>
      </c>
      <c r="C53" s="115" t="s">
        <v>448</v>
      </c>
      <c r="D53" s="118" t="s">
        <v>381</v>
      </c>
      <c r="E53" s="116" t="s">
        <v>449</v>
      </c>
      <c r="F53" s="143">
        <v>45887</v>
      </c>
      <c r="G53" s="117">
        <v>290</v>
      </c>
      <c r="H53" s="117">
        <v>272.17</v>
      </c>
      <c r="I53" s="115" t="s">
        <v>383</v>
      </c>
    </row>
    <row r="54" spans="1:9" ht="25.5" hidden="1" customHeight="1" x14ac:dyDescent="0.25">
      <c r="A54" s="114">
        <v>3384</v>
      </c>
      <c r="B54" s="114">
        <v>2</v>
      </c>
      <c r="C54" s="115" t="s">
        <v>390</v>
      </c>
      <c r="D54" s="115"/>
      <c r="E54" s="123" t="s">
        <v>433</v>
      </c>
      <c r="F54" s="143">
        <v>45708</v>
      </c>
      <c r="G54" s="117">
        <v>1950</v>
      </c>
      <c r="H54" s="117">
        <v>1830.08</v>
      </c>
      <c r="I54" s="115" t="s">
        <v>383</v>
      </c>
    </row>
    <row r="55" spans="1:9" ht="25.5" hidden="1" customHeight="1" x14ac:dyDescent="0.25">
      <c r="A55" s="114">
        <v>3772</v>
      </c>
      <c r="B55" s="114">
        <v>68</v>
      </c>
      <c r="C55" s="115" t="s">
        <v>448</v>
      </c>
      <c r="D55" s="118" t="s">
        <v>424</v>
      </c>
      <c r="E55" s="116" t="s">
        <v>488</v>
      </c>
      <c r="F55" s="143">
        <v>45887</v>
      </c>
      <c r="G55" s="117">
        <v>750</v>
      </c>
      <c r="H55" s="117">
        <v>703.88</v>
      </c>
      <c r="I55" s="115" t="s">
        <v>383</v>
      </c>
    </row>
    <row r="56" spans="1:9" ht="25.5" hidden="1" customHeight="1" x14ac:dyDescent="0.25">
      <c r="A56" s="114">
        <v>3796</v>
      </c>
      <c r="B56" s="114">
        <v>68</v>
      </c>
      <c r="C56" s="115" t="s">
        <v>448</v>
      </c>
      <c r="D56" s="118" t="s">
        <v>381</v>
      </c>
      <c r="E56" s="116" t="s">
        <v>449</v>
      </c>
      <c r="F56" s="143">
        <v>45909</v>
      </c>
      <c r="G56" s="117">
        <v>580</v>
      </c>
      <c r="H56" s="117">
        <v>544.33000000000004</v>
      </c>
      <c r="I56" s="115" t="s">
        <v>383</v>
      </c>
    </row>
    <row r="57" spans="1:9" ht="25.5" hidden="1" customHeight="1" x14ac:dyDescent="0.25">
      <c r="A57" s="114">
        <v>3408</v>
      </c>
      <c r="B57" s="114">
        <v>116</v>
      </c>
      <c r="C57" s="115" t="s">
        <v>430</v>
      </c>
      <c r="D57" s="115" t="s">
        <v>436</v>
      </c>
      <c r="E57" s="116" t="s">
        <v>437</v>
      </c>
      <c r="F57" s="143">
        <v>45708</v>
      </c>
      <c r="G57" s="117">
        <v>6000</v>
      </c>
      <c r="H57" s="117">
        <v>3000</v>
      </c>
      <c r="I57" s="115" t="s">
        <v>383</v>
      </c>
    </row>
    <row r="58" spans="1:9" ht="25.5" hidden="1" customHeight="1" x14ac:dyDescent="0.25">
      <c r="A58" s="114">
        <v>3410</v>
      </c>
      <c r="B58" s="114">
        <v>116</v>
      </c>
      <c r="C58" s="115" t="s">
        <v>430</v>
      </c>
      <c r="D58" s="115" t="s">
        <v>436</v>
      </c>
      <c r="E58" s="116" t="s">
        <v>437</v>
      </c>
      <c r="F58" s="143">
        <v>45708</v>
      </c>
      <c r="G58" s="117">
        <v>1000</v>
      </c>
      <c r="H58" s="117">
        <v>500</v>
      </c>
      <c r="I58" s="115" t="s">
        <v>383</v>
      </c>
    </row>
    <row r="59" spans="1:9" ht="25.5" hidden="1" customHeight="1" x14ac:dyDescent="0.25">
      <c r="A59" s="114">
        <v>3412</v>
      </c>
      <c r="B59" s="114">
        <v>116</v>
      </c>
      <c r="C59" s="115" t="s">
        <v>430</v>
      </c>
      <c r="D59" s="115" t="s">
        <v>436</v>
      </c>
      <c r="E59" s="116" t="s">
        <v>437</v>
      </c>
      <c r="F59" s="143">
        <v>45708</v>
      </c>
      <c r="G59" s="117">
        <v>1000</v>
      </c>
      <c r="H59" s="117">
        <v>500</v>
      </c>
      <c r="I59" s="115" t="s">
        <v>383</v>
      </c>
    </row>
    <row r="60" spans="1:9" ht="25.5" hidden="1" customHeight="1" x14ac:dyDescent="0.25">
      <c r="A60" s="114">
        <v>3423</v>
      </c>
      <c r="B60" s="114">
        <v>61</v>
      </c>
      <c r="C60" s="115" t="s">
        <v>398</v>
      </c>
      <c r="D60" s="118" t="s">
        <v>399</v>
      </c>
      <c r="E60" s="116" t="s">
        <v>400</v>
      </c>
      <c r="F60" s="143">
        <v>45709</v>
      </c>
      <c r="G60" s="117">
        <v>9860.8700000000008</v>
      </c>
      <c r="H60" s="117">
        <v>9247.34</v>
      </c>
      <c r="I60" s="115" t="s">
        <v>217</v>
      </c>
    </row>
    <row r="61" spans="1:9" ht="25.5" hidden="1" customHeight="1" x14ac:dyDescent="0.25">
      <c r="A61" s="114">
        <v>3422</v>
      </c>
      <c r="B61" s="114">
        <v>61</v>
      </c>
      <c r="C61" s="115" t="s">
        <v>398</v>
      </c>
      <c r="D61" s="118" t="s">
        <v>401</v>
      </c>
      <c r="E61" s="116" t="s">
        <v>324</v>
      </c>
      <c r="F61" s="143">
        <v>45709</v>
      </c>
      <c r="G61" s="117">
        <v>474.09</v>
      </c>
      <c r="H61" s="117">
        <v>452.05</v>
      </c>
      <c r="I61" s="115" t="s">
        <v>217</v>
      </c>
    </row>
    <row r="62" spans="1:9" ht="25.5" hidden="1" customHeight="1" x14ac:dyDescent="0.25">
      <c r="A62" s="114">
        <v>3912</v>
      </c>
      <c r="B62" s="114">
        <v>68</v>
      </c>
      <c r="C62" s="115" t="s">
        <v>498</v>
      </c>
      <c r="D62" s="118" t="s">
        <v>381</v>
      </c>
      <c r="E62" s="116" t="s">
        <v>449</v>
      </c>
      <c r="F62" s="143">
        <v>45988</v>
      </c>
      <c r="G62" s="117">
        <v>875</v>
      </c>
      <c r="H62" s="117">
        <v>821.2</v>
      </c>
      <c r="I62" s="115" t="s">
        <v>216</v>
      </c>
    </row>
    <row r="63" spans="1:9" ht="25.5" hidden="1" customHeight="1" x14ac:dyDescent="0.25">
      <c r="A63" s="114">
        <v>3454</v>
      </c>
      <c r="B63" s="114">
        <v>20</v>
      </c>
      <c r="C63" s="115" t="s">
        <v>438</v>
      </c>
      <c r="D63" s="118" t="s">
        <v>424</v>
      </c>
      <c r="E63" s="116" t="s">
        <v>439</v>
      </c>
      <c r="F63" s="143">
        <v>45713</v>
      </c>
      <c r="G63" s="117">
        <v>116.67</v>
      </c>
      <c r="H63" s="117">
        <v>116.67</v>
      </c>
      <c r="I63" s="115" t="s">
        <v>383</v>
      </c>
    </row>
    <row r="64" spans="1:9" ht="25.5" hidden="1" customHeight="1" x14ac:dyDescent="0.25">
      <c r="A64" s="114">
        <v>3369</v>
      </c>
      <c r="B64" s="114">
        <v>87</v>
      </c>
      <c r="C64" s="115" t="s">
        <v>440</v>
      </c>
      <c r="D64" s="118" t="s">
        <v>424</v>
      </c>
      <c r="E64" s="116" t="s">
        <v>441</v>
      </c>
      <c r="F64" s="143">
        <v>45713</v>
      </c>
      <c r="G64" s="117">
        <v>5695.83</v>
      </c>
      <c r="H64" s="117">
        <v>5695.83</v>
      </c>
      <c r="I64" s="115" t="s">
        <v>217</v>
      </c>
    </row>
    <row r="65" spans="1:9" ht="25.5" hidden="1" customHeight="1" x14ac:dyDescent="0.25">
      <c r="A65" s="114">
        <v>3404</v>
      </c>
      <c r="B65" s="114">
        <v>91</v>
      </c>
      <c r="C65" s="115" t="s">
        <v>442</v>
      </c>
      <c r="D65" s="118" t="s">
        <v>381</v>
      </c>
      <c r="E65" s="116" t="s">
        <v>443</v>
      </c>
      <c r="F65" s="143">
        <v>45713</v>
      </c>
      <c r="G65" s="117">
        <v>506.67</v>
      </c>
      <c r="H65" s="117">
        <v>506.67</v>
      </c>
      <c r="I65" s="115" t="s">
        <v>217</v>
      </c>
    </row>
    <row r="66" spans="1:9" ht="25.5" hidden="1" customHeight="1" x14ac:dyDescent="0.25">
      <c r="A66" s="114">
        <v>3435</v>
      </c>
      <c r="B66" s="114">
        <v>123</v>
      </c>
      <c r="C66" s="115" t="s">
        <v>413</v>
      </c>
      <c r="D66" s="115" t="s">
        <v>381</v>
      </c>
      <c r="E66" s="116" t="s">
        <v>414</v>
      </c>
      <c r="F66" s="143">
        <v>45713</v>
      </c>
      <c r="G66" s="117">
        <v>1000</v>
      </c>
      <c r="H66" s="117">
        <v>1000</v>
      </c>
      <c r="I66" s="115" t="s">
        <v>383</v>
      </c>
    </row>
    <row r="67" spans="1:9" ht="25.5" hidden="1" customHeight="1" x14ac:dyDescent="0.25">
      <c r="A67" s="114">
        <v>3448</v>
      </c>
      <c r="B67" s="114">
        <v>130</v>
      </c>
      <c r="C67" s="115" t="s">
        <v>392</v>
      </c>
      <c r="D67" s="118" t="s">
        <v>381</v>
      </c>
      <c r="E67" s="116" t="s">
        <v>393</v>
      </c>
      <c r="F67" s="143">
        <v>45716</v>
      </c>
      <c r="G67" s="117">
        <v>3566.67</v>
      </c>
      <c r="H67" s="117">
        <v>1673.67</v>
      </c>
      <c r="I67" s="115" t="s">
        <v>245</v>
      </c>
    </row>
    <row r="68" spans="1:9" ht="25.5" hidden="1" customHeight="1" x14ac:dyDescent="0.25">
      <c r="A68" s="114">
        <v>3365</v>
      </c>
      <c r="B68" s="114">
        <v>3</v>
      </c>
      <c r="C68" s="115" t="s">
        <v>384</v>
      </c>
      <c r="D68" s="118" t="s">
        <v>444</v>
      </c>
      <c r="E68" s="123" t="s">
        <v>445</v>
      </c>
      <c r="F68" s="143">
        <v>45721</v>
      </c>
      <c r="G68" s="117">
        <v>6500</v>
      </c>
      <c r="H68" s="117">
        <v>6100.25</v>
      </c>
      <c r="I68" s="115" t="s">
        <v>217</v>
      </c>
    </row>
    <row r="69" spans="1:9" ht="25.5" hidden="1" customHeight="1" x14ac:dyDescent="0.25">
      <c r="A69" s="114">
        <v>3373</v>
      </c>
      <c r="B69" s="114">
        <v>3</v>
      </c>
      <c r="C69" s="115" t="s">
        <v>384</v>
      </c>
      <c r="D69" s="118" t="s">
        <v>385</v>
      </c>
      <c r="E69" s="463" t="s">
        <v>386</v>
      </c>
      <c r="F69" s="143">
        <v>45721</v>
      </c>
      <c r="G69" s="117">
        <v>44591.5</v>
      </c>
      <c r="H69" s="117">
        <v>41849.14</v>
      </c>
      <c r="I69" s="115" t="s">
        <v>245</v>
      </c>
    </row>
    <row r="70" spans="1:9" ht="25.5" hidden="1" customHeight="1" x14ac:dyDescent="0.25">
      <c r="A70" s="114">
        <v>3478</v>
      </c>
      <c r="B70" s="114">
        <v>28</v>
      </c>
      <c r="C70" s="115" t="s">
        <v>415</v>
      </c>
      <c r="D70" s="118" t="s">
        <v>416</v>
      </c>
      <c r="E70" s="116" t="s">
        <v>417</v>
      </c>
      <c r="F70" s="143">
        <v>45721</v>
      </c>
      <c r="G70" s="117">
        <v>9155</v>
      </c>
      <c r="H70" s="117">
        <v>9155</v>
      </c>
      <c r="I70" s="115" t="s">
        <v>383</v>
      </c>
    </row>
    <row r="71" spans="1:9" ht="25.5" hidden="1" customHeight="1" x14ac:dyDescent="0.25">
      <c r="A71" s="114">
        <v>3479</v>
      </c>
      <c r="B71" s="114">
        <v>28</v>
      </c>
      <c r="C71" s="115" t="s">
        <v>415</v>
      </c>
      <c r="D71" s="118" t="s">
        <v>401</v>
      </c>
      <c r="E71" s="116" t="s">
        <v>418</v>
      </c>
      <c r="F71" s="143">
        <v>45721</v>
      </c>
      <c r="G71" s="117">
        <v>54435</v>
      </c>
      <c r="H71" s="117">
        <v>54435</v>
      </c>
      <c r="I71" s="115" t="s">
        <v>383</v>
      </c>
    </row>
    <row r="72" spans="1:9" ht="25.5" hidden="1" customHeight="1" x14ac:dyDescent="0.25">
      <c r="A72" s="114">
        <v>3469</v>
      </c>
      <c r="B72" s="114">
        <v>64</v>
      </c>
      <c r="C72" s="115" t="s">
        <v>446</v>
      </c>
      <c r="D72" s="118" t="s">
        <v>416</v>
      </c>
      <c r="E72" s="116" t="s">
        <v>447</v>
      </c>
      <c r="F72" s="143">
        <v>45721</v>
      </c>
      <c r="G72" s="117">
        <v>345</v>
      </c>
      <c r="H72" s="117">
        <v>323.79000000000002</v>
      </c>
      <c r="I72" s="115" t="s">
        <v>383</v>
      </c>
    </row>
    <row r="73" spans="1:9" ht="25.5" hidden="1" customHeight="1" x14ac:dyDescent="0.25">
      <c r="A73" s="114">
        <v>3449</v>
      </c>
      <c r="B73" s="114">
        <v>130</v>
      </c>
      <c r="C73" s="115" t="s">
        <v>392</v>
      </c>
      <c r="D73" s="118" t="s">
        <v>381</v>
      </c>
      <c r="E73" s="116" t="s">
        <v>393</v>
      </c>
      <c r="F73" s="143">
        <v>45721</v>
      </c>
      <c r="G73" s="117">
        <v>3566.67</v>
      </c>
      <c r="H73" s="117">
        <v>1673.67</v>
      </c>
      <c r="I73" s="115" t="s">
        <v>245</v>
      </c>
    </row>
    <row r="74" spans="1:9" ht="25.5" hidden="1" customHeight="1" x14ac:dyDescent="0.25">
      <c r="A74" s="114">
        <v>3414</v>
      </c>
      <c r="B74" s="114">
        <v>133</v>
      </c>
      <c r="C74" s="115" t="s">
        <v>387</v>
      </c>
      <c r="D74" s="118" t="s">
        <v>381</v>
      </c>
      <c r="E74" s="116" t="s">
        <v>388</v>
      </c>
      <c r="F74" s="143">
        <v>45721</v>
      </c>
      <c r="G74" s="117">
        <v>40000</v>
      </c>
      <c r="H74" s="117">
        <v>37540</v>
      </c>
      <c r="I74" s="115" t="s">
        <v>217</v>
      </c>
    </row>
    <row r="75" spans="1:9" ht="25.5" hidden="1" customHeight="1" x14ac:dyDescent="0.25">
      <c r="A75" s="114">
        <v>3572</v>
      </c>
      <c r="B75" s="114">
        <v>81</v>
      </c>
      <c r="C75" s="115" t="s">
        <v>403</v>
      </c>
      <c r="D75" s="115"/>
      <c r="E75" s="123" t="s">
        <v>404</v>
      </c>
      <c r="F75" s="143">
        <v>45791</v>
      </c>
      <c r="G75" s="117">
        <v>999.99</v>
      </c>
      <c r="H75" s="117">
        <v>928.68</v>
      </c>
      <c r="I75" s="115" t="s">
        <v>217</v>
      </c>
    </row>
    <row r="76" spans="1:9" ht="25.5" hidden="1" customHeight="1" x14ac:dyDescent="0.25">
      <c r="A76" s="114">
        <v>3476</v>
      </c>
      <c r="B76" s="114">
        <v>137</v>
      </c>
      <c r="C76" s="115" t="s">
        <v>419</v>
      </c>
      <c r="D76" s="118" t="s">
        <v>381</v>
      </c>
      <c r="E76" s="116" t="s">
        <v>420</v>
      </c>
      <c r="F76" s="143">
        <v>45721</v>
      </c>
      <c r="G76" s="117">
        <v>3735</v>
      </c>
      <c r="H76" s="117">
        <v>3505.31</v>
      </c>
      <c r="I76" s="115" t="s">
        <v>383</v>
      </c>
    </row>
    <row r="77" spans="1:9" ht="25.5" hidden="1" customHeight="1" x14ac:dyDescent="0.25">
      <c r="A77" s="114">
        <v>3942</v>
      </c>
      <c r="B77" s="114">
        <v>68</v>
      </c>
      <c r="C77" s="115" t="s">
        <v>498</v>
      </c>
      <c r="D77" s="118" t="s">
        <v>381</v>
      </c>
      <c r="E77" s="116" t="s">
        <v>449</v>
      </c>
      <c r="F77" s="143">
        <v>45992</v>
      </c>
      <c r="G77" s="464">
        <v>920</v>
      </c>
      <c r="H77" s="464">
        <v>818</v>
      </c>
      <c r="I77" s="115" t="s">
        <v>216</v>
      </c>
    </row>
    <row r="78" spans="1:9" ht="25.5" hidden="1" customHeight="1" x14ac:dyDescent="0.25">
      <c r="A78" s="114">
        <v>3436</v>
      </c>
      <c r="B78" s="114">
        <v>6</v>
      </c>
      <c r="C78" s="115" t="s">
        <v>421</v>
      </c>
      <c r="D78" s="115"/>
      <c r="E78" s="116" t="s">
        <v>422</v>
      </c>
      <c r="F78" s="143">
        <v>45726</v>
      </c>
      <c r="G78" s="117">
        <v>3870</v>
      </c>
      <c r="H78" s="117">
        <v>3632</v>
      </c>
      <c r="I78" s="115" t="s">
        <v>383</v>
      </c>
    </row>
    <row r="79" spans="1:9" ht="25.5" hidden="1" customHeight="1" x14ac:dyDescent="0.25">
      <c r="A79" s="114">
        <v>3429</v>
      </c>
      <c r="B79" s="114">
        <v>56</v>
      </c>
      <c r="C79" s="115" t="s">
        <v>450</v>
      </c>
      <c r="D79" s="118" t="s">
        <v>399</v>
      </c>
      <c r="E79" s="116" t="s">
        <v>451</v>
      </c>
      <c r="F79" s="143">
        <v>45726</v>
      </c>
      <c r="G79" s="117">
        <v>22700</v>
      </c>
      <c r="H79" s="117">
        <v>21303.95</v>
      </c>
      <c r="I79" s="115" t="s">
        <v>217</v>
      </c>
    </row>
    <row r="80" spans="1:9" ht="25.5" hidden="1" customHeight="1" x14ac:dyDescent="0.25">
      <c r="A80" s="114">
        <v>3456</v>
      </c>
      <c r="B80" s="114">
        <v>56</v>
      </c>
      <c r="C80" s="115" t="s">
        <v>450</v>
      </c>
      <c r="D80" s="118" t="s">
        <v>399</v>
      </c>
      <c r="E80" s="463" t="s">
        <v>451</v>
      </c>
      <c r="F80" s="143">
        <v>45726</v>
      </c>
      <c r="G80" s="117">
        <v>2300</v>
      </c>
      <c r="H80" s="117">
        <v>2158.5500000000002</v>
      </c>
      <c r="I80" s="115" t="s">
        <v>217</v>
      </c>
    </row>
    <row r="81" spans="1:9" ht="25.5" customHeight="1" x14ac:dyDescent="0.25">
      <c r="A81" s="114">
        <v>3919</v>
      </c>
      <c r="B81" s="114">
        <v>2</v>
      </c>
      <c r="C81" s="115" t="s">
        <v>390</v>
      </c>
      <c r="D81" s="118" t="s">
        <v>524</v>
      </c>
      <c r="E81" s="116" t="s">
        <v>525</v>
      </c>
      <c r="F81" s="143">
        <v>46028</v>
      </c>
      <c r="G81" s="117">
        <v>1332.56</v>
      </c>
      <c r="H81" s="117">
        <v>1250.6300000000001</v>
      </c>
      <c r="I81" s="115" t="s">
        <v>216</v>
      </c>
    </row>
    <row r="82" spans="1:9" ht="25.5" customHeight="1" x14ac:dyDescent="0.25">
      <c r="A82" s="114">
        <v>3932</v>
      </c>
      <c r="B82" s="114">
        <v>139</v>
      </c>
      <c r="C82" s="115" t="s">
        <v>465</v>
      </c>
      <c r="D82" s="118" t="s">
        <v>424</v>
      </c>
      <c r="E82" s="116" t="s">
        <v>479</v>
      </c>
      <c r="F82" s="143">
        <v>46029</v>
      </c>
      <c r="G82" s="117">
        <v>10000</v>
      </c>
      <c r="H82" s="117">
        <v>9385</v>
      </c>
      <c r="I82" s="115" t="s">
        <v>217</v>
      </c>
    </row>
    <row r="83" spans="1:9" ht="25.5" hidden="1" customHeight="1" x14ac:dyDescent="0.25">
      <c r="A83" s="114">
        <v>3419</v>
      </c>
      <c r="B83" s="114">
        <v>101</v>
      </c>
      <c r="C83" s="115" t="s">
        <v>434</v>
      </c>
      <c r="D83" s="118" t="s">
        <v>381</v>
      </c>
      <c r="E83" s="116" t="s">
        <v>435</v>
      </c>
      <c r="F83" s="143">
        <v>45708</v>
      </c>
      <c r="G83" s="117">
        <v>5747.5</v>
      </c>
      <c r="H83" s="117">
        <v>5747.5</v>
      </c>
      <c r="I83" s="115" t="s">
        <v>383</v>
      </c>
    </row>
    <row r="84" spans="1:9" ht="25.5" hidden="1" customHeight="1" x14ac:dyDescent="0.25">
      <c r="A84" s="114">
        <v>3527</v>
      </c>
      <c r="B84" s="114">
        <v>101</v>
      </c>
      <c r="C84" s="115" t="s">
        <v>434</v>
      </c>
      <c r="D84" s="118" t="s">
        <v>381</v>
      </c>
      <c r="E84" s="116" t="s">
        <v>435</v>
      </c>
      <c r="F84" s="143">
        <v>45742</v>
      </c>
      <c r="G84" s="117">
        <v>9915</v>
      </c>
      <c r="H84" s="117">
        <v>9915</v>
      </c>
      <c r="I84" s="115" t="s">
        <v>383</v>
      </c>
    </row>
    <row r="85" spans="1:9" ht="25.5" hidden="1" customHeight="1" x14ac:dyDescent="0.25">
      <c r="A85" s="114">
        <v>3488</v>
      </c>
      <c r="B85" s="114">
        <v>130</v>
      </c>
      <c r="C85" s="115" t="s">
        <v>392</v>
      </c>
      <c r="D85" s="118" t="s">
        <v>381</v>
      </c>
      <c r="E85" s="116" t="s">
        <v>393</v>
      </c>
      <c r="F85" s="143">
        <v>45741</v>
      </c>
      <c r="G85" s="117">
        <v>8966.67</v>
      </c>
      <c r="H85" s="117">
        <v>4207.62</v>
      </c>
      <c r="I85" s="115" t="s">
        <v>245</v>
      </c>
    </row>
    <row r="86" spans="1:9" ht="25.5" hidden="1" customHeight="1" x14ac:dyDescent="0.25">
      <c r="A86" s="114">
        <v>3431</v>
      </c>
      <c r="B86" s="114">
        <v>5</v>
      </c>
      <c r="C86" s="115" t="s">
        <v>380</v>
      </c>
      <c r="D86" s="115" t="s">
        <v>366</v>
      </c>
      <c r="E86" s="116" t="s">
        <v>389</v>
      </c>
      <c r="F86" s="143">
        <v>45733</v>
      </c>
      <c r="G86" s="117">
        <v>500</v>
      </c>
      <c r="H86" s="117">
        <v>476.75</v>
      </c>
      <c r="I86" s="115" t="s">
        <v>383</v>
      </c>
    </row>
    <row r="87" spans="1:9" ht="25.5" hidden="1" customHeight="1" x14ac:dyDescent="0.25">
      <c r="A87" s="114">
        <v>3480</v>
      </c>
      <c r="B87" s="114">
        <v>5</v>
      </c>
      <c r="C87" s="115" t="s">
        <v>380</v>
      </c>
      <c r="D87" s="118" t="s">
        <v>381</v>
      </c>
      <c r="E87" s="122" t="s">
        <v>339</v>
      </c>
      <c r="F87" s="143">
        <v>45733</v>
      </c>
      <c r="G87" s="117">
        <v>1575</v>
      </c>
      <c r="H87" s="117">
        <v>1478.15</v>
      </c>
      <c r="I87" s="115" t="s">
        <v>383</v>
      </c>
    </row>
    <row r="88" spans="1:9" ht="25.5" hidden="1" customHeight="1" x14ac:dyDescent="0.25">
      <c r="A88" s="114">
        <v>3367</v>
      </c>
      <c r="B88" s="114">
        <v>119</v>
      </c>
      <c r="C88" s="115" t="s">
        <v>453</v>
      </c>
      <c r="D88" s="115" t="s">
        <v>381</v>
      </c>
      <c r="E88" s="116" t="s">
        <v>454</v>
      </c>
      <c r="F88" s="143">
        <v>45733</v>
      </c>
      <c r="G88" s="117">
        <v>12000</v>
      </c>
      <c r="H88" s="117">
        <v>12000</v>
      </c>
      <c r="I88" s="115" t="s">
        <v>383</v>
      </c>
    </row>
    <row r="89" spans="1:9" ht="25.5" hidden="1" customHeight="1" x14ac:dyDescent="0.25">
      <c r="A89" s="114">
        <v>3587</v>
      </c>
      <c r="B89" s="114">
        <v>101</v>
      </c>
      <c r="C89" s="115" t="s">
        <v>434</v>
      </c>
      <c r="D89" s="118" t="s">
        <v>381</v>
      </c>
      <c r="E89" s="116" t="s">
        <v>435</v>
      </c>
      <c r="F89" s="143">
        <v>45777</v>
      </c>
      <c r="G89" s="117">
        <v>1935</v>
      </c>
      <c r="H89" s="117">
        <v>1935</v>
      </c>
      <c r="I89" s="115" t="s">
        <v>383</v>
      </c>
    </row>
    <row r="90" spans="1:9" ht="25.5" hidden="1" customHeight="1" x14ac:dyDescent="0.25">
      <c r="A90" s="114">
        <v>3624</v>
      </c>
      <c r="B90" s="114">
        <v>101</v>
      </c>
      <c r="C90" s="115" t="s">
        <v>434</v>
      </c>
      <c r="D90" s="118" t="s">
        <v>381</v>
      </c>
      <c r="E90" s="116" t="s">
        <v>435</v>
      </c>
      <c r="F90" s="143">
        <v>45792</v>
      </c>
      <c r="G90" s="117">
        <v>3390</v>
      </c>
      <c r="H90" s="117">
        <v>3390</v>
      </c>
      <c r="I90" s="115" t="s">
        <v>383</v>
      </c>
    </row>
    <row r="91" spans="1:9" ht="25.5" hidden="1" customHeight="1" x14ac:dyDescent="0.25">
      <c r="A91" s="114">
        <v>3438</v>
      </c>
      <c r="B91" s="114">
        <v>116</v>
      </c>
      <c r="C91" s="115" t="s">
        <v>430</v>
      </c>
      <c r="D91" s="115" t="s">
        <v>436</v>
      </c>
      <c r="E91" s="116" t="s">
        <v>437</v>
      </c>
      <c r="F91" s="143">
        <v>45734</v>
      </c>
      <c r="G91" s="117">
        <v>6000</v>
      </c>
      <c r="H91" s="117">
        <v>3000</v>
      </c>
      <c r="I91" s="115" t="s">
        <v>383</v>
      </c>
    </row>
    <row r="92" spans="1:9" ht="25.5" hidden="1" customHeight="1" x14ac:dyDescent="0.25">
      <c r="A92" s="114">
        <v>3440</v>
      </c>
      <c r="B92" s="114">
        <v>116</v>
      </c>
      <c r="C92" s="115" t="s">
        <v>430</v>
      </c>
      <c r="D92" s="115" t="s">
        <v>431</v>
      </c>
      <c r="E92" s="116" t="s">
        <v>432</v>
      </c>
      <c r="F92" s="143">
        <v>45734</v>
      </c>
      <c r="G92" s="117">
        <v>1000</v>
      </c>
      <c r="H92" s="117">
        <v>500</v>
      </c>
      <c r="I92" s="115" t="s">
        <v>383</v>
      </c>
    </row>
    <row r="93" spans="1:9" ht="25.5" hidden="1" customHeight="1" x14ac:dyDescent="0.25">
      <c r="A93" s="114">
        <v>3442</v>
      </c>
      <c r="B93" s="114">
        <v>116</v>
      </c>
      <c r="C93" s="115" t="s">
        <v>430</v>
      </c>
      <c r="D93" s="115" t="s">
        <v>436</v>
      </c>
      <c r="E93" s="116" t="s">
        <v>437</v>
      </c>
      <c r="F93" s="143">
        <v>45734</v>
      </c>
      <c r="G93" s="117">
        <v>1000</v>
      </c>
      <c r="H93" s="117">
        <v>500</v>
      </c>
      <c r="I93" s="115" t="s">
        <v>383</v>
      </c>
    </row>
    <row r="94" spans="1:9" ht="25.5" hidden="1" customHeight="1" x14ac:dyDescent="0.25">
      <c r="A94" s="114">
        <v>3466</v>
      </c>
      <c r="B94" s="114">
        <v>61</v>
      </c>
      <c r="C94" s="115" t="s">
        <v>398</v>
      </c>
      <c r="D94" s="118" t="s">
        <v>399</v>
      </c>
      <c r="E94" s="116" t="s">
        <v>400</v>
      </c>
      <c r="F94" s="143">
        <v>45735</v>
      </c>
      <c r="G94" s="117">
        <v>9244.56</v>
      </c>
      <c r="H94" s="117">
        <v>8676.0400000000009</v>
      </c>
      <c r="I94" s="115" t="s">
        <v>217</v>
      </c>
    </row>
    <row r="95" spans="1:9" ht="25.5" hidden="1" customHeight="1" x14ac:dyDescent="0.25">
      <c r="A95" s="114">
        <v>3465</v>
      </c>
      <c r="B95" s="114">
        <v>61</v>
      </c>
      <c r="C95" s="115" t="s">
        <v>398</v>
      </c>
      <c r="D95" s="118" t="s">
        <v>401</v>
      </c>
      <c r="E95" s="122" t="s">
        <v>324</v>
      </c>
      <c r="F95" s="143">
        <v>45735</v>
      </c>
      <c r="G95" s="117">
        <v>38400.57</v>
      </c>
      <c r="H95" s="117">
        <v>36038.959999999999</v>
      </c>
      <c r="I95" s="115" t="s">
        <v>217</v>
      </c>
    </row>
    <row r="96" spans="1:9" ht="25.5" hidden="1" customHeight="1" x14ac:dyDescent="0.25">
      <c r="A96" s="114">
        <v>3770</v>
      </c>
      <c r="B96" s="114">
        <v>101</v>
      </c>
      <c r="C96" s="115" t="s">
        <v>434</v>
      </c>
      <c r="D96" s="118" t="s">
        <v>381</v>
      </c>
      <c r="E96" s="116" t="s">
        <v>435</v>
      </c>
      <c r="F96" s="143">
        <v>45887</v>
      </c>
      <c r="G96" s="117">
        <v>145</v>
      </c>
      <c r="H96" s="117">
        <v>145</v>
      </c>
      <c r="I96" s="115" t="s">
        <v>383</v>
      </c>
    </row>
    <row r="97" spans="1:9" ht="25.5" hidden="1" customHeight="1" x14ac:dyDescent="0.25">
      <c r="A97" s="114">
        <v>3473</v>
      </c>
      <c r="B97" s="114">
        <v>61</v>
      </c>
      <c r="C97" s="115" t="s">
        <v>398</v>
      </c>
      <c r="D97" s="118" t="s">
        <v>405</v>
      </c>
      <c r="E97" s="116" t="s">
        <v>406</v>
      </c>
      <c r="F97" s="143">
        <v>45736</v>
      </c>
      <c r="G97" s="117">
        <v>3903.25</v>
      </c>
      <c r="H97" s="117">
        <v>3663.22</v>
      </c>
      <c r="I97" s="115" t="s">
        <v>217</v>
      </c>
    </row>
    <row r="98" spans="1:9" ht="25.5" hidden="1" customHeight="1" x14ac:dyDescent="0.25">
      <c r="A98" s="114">
        <v>3461</v>
      </c>
      <c r="B98" s="114">
        <v>61</v>
      </c>
      <c r="C98" s="115" t="s">
        <v>398</v>
      </c>
      <c r="D98" s="118" t="s">
        <v>407</v>
      </c>
      <c r="E98" s="116" t="s">
        <v>408</v>
      </c>
      <c r="F98" s="143">
        <v>45736</v>
      </c>
      <c r="G98" s="117">
        <v>30000</v>
      </c>
      <c r="H98" s="117">
        <v>14077.5</v>
      </c>
      <c r="I98" s="115" t="s">
        <v>217</v>
      </c>
    </row>
    <row r="99" spans="1:9" ht="25.5" hidden="1" customHeight="1" x14ac:dyDescent="0.25">
      <c r="A99" s="114">
        <v>3453</v>
      </c>
      <c r="B99" s="114">
        <v>61</v>
      </c>
      <c r="C99" s="115" t="s">
        <v>398</v>
      </c>
      <c r="D99" s="118" t="s">
        <v>428</v>
      </c>
      <c r="E99" s="116" t="s">
        <v>429</v>
      </c>
      <c r="F99" s="143">
        <v>45737</v>
      </c>
      <c r="G99" s="117">
        <v>2038.54</v>
      </c>
      <c r="H99" s="117">
        <v>1913.19</v>
      </c>
      <c r="I99" s="115" t="s">
        <v>383</v>
      </c>
    </row>
    <row r="100" spans="1:9" ht="25.5" hidden="1" customHeight="1" x14ac:dyDescent="0.25">
      <c r="A100" s="114">
        <v>3497</v>
      </c>
      <c r="B100" s="114">
        <v>94</v>
      </c>
      <c r="C100" s="115" t="s">
        <v>455</v>
      </c>
      <c r="D100" s="118" t="s">
        <v>424</v>
      </c>
      <c r="E100" s="116" t="s">
        <v>456</v>
      </c>
      <c r="F100" s="143">
        <v>45740</v>
      </c>
      <c r="G100" s="117">
        <v>36000</v>
      </c>
      <c r="H100" s="117">
        <v>33786</v>
      </c>
      <c r="I100" s="115" t="s">
        <v>245</v>
      </c>
    </row>
    <row r="101" spans="1:9" ht="25.5" hidden="1" customHeight="1" x14ac:dyDescent="0.25">
      <c r="A101" s="114">
        <v>3797</v>
      </c>
      <c r="B101" s="114">
        <v>101</v>
      </c>
      <c r="C101" s="115" t="s">
        <v>434</v>
      </c>
      <c r="D101" s="118" t="s">
        <v>381</v>
      </c>
      <c r="E101" s="116" t="s">
        <v>435</v>
      </c>
      <c r="F101" s="143">
        <v>45910</v>
      </c>
      <c r="G101" s="117">
        <v>145</v>
      </c>
      <c r="H101" s="117">
        <v>145</v>
      </c>
      <c r="I101" s="115" t="s">
        <v>383</v>
      </c>
    </row>
    <row r="102" spans="1:9" ht="25.5" hidden="1" customHeight="1" x14ac:dyDescent="0.25">
      <c r="A102" s="114">
        <v>3503</v>
      </c>
      <c r="B102" s="114">
        <v>123</v>
      </c>
      <c r="C102" s="115" t="s">
        <v>413</v>
      </c>
      <c r="D102" s="115" t="s">
        <v>381</v>
      </c>
      <c r="E102" s="116" t="s">
        <v>414</v>
      </c>
      <c r="F102" s="143">
        <v>45741</v>
      </c>
      <c r="G102" s="117">
        <v>1000</v>
      </c>
      <c r="H102" s="117">
        <v>1000</v>
      </c>
      <c r="I102" s="115" t="s">
        <v>383</v>
      </c>
    </row>
    <row r="103" spans="1:9" ht="25.5" hidden="1" customHeight="1" x14ac:dyDescent="0.25">
      <c r="A103" s="114">
        <v>3489</v>
      </c>
      <c r="B103" s="114">
        <v>130</v>
      </c>
      <c r="C103" s="115" t="s">
        <v>392</v>
      </c>
      <c r="D103" s="118" t="s">
        <v>381</v>
      </c>
      <c r="E103" s="116" t="s">
        <v>393</v>
      </c>
      <c r="F103" s="143">
        <v>45756</v>
      </c>
      <c r="G103" s="117">
        <v>8966.67</v>
      </c>
      <c r="H103" s="117">
        <v>4207.62</v>
      </c>
      <c r="I103" s="115" t="s">
        <v>245</v>
      </c>
    </row>
    <row r="104" spans="1:9" ht="25.5" hidden="1" customHeight="1" x14ac:dyDescent="0.25">
      <c r="A104" s="114">
        <v>3529</v>
      </c>
      <c r="B104" s="114">
        <v>28</v>
      </c>
      <c r="C104" s="115" t="s">
        <v>415</v>
      </c>
      <c r="D104" s="118" t="s">
        <v>401</v>
      </c>
      <c r="E104" s="116" t="s">
        <v>418</v>
      </c>
      <c r="F104" s="143">
        <v>45742</v>
      </c>
      <c r="G104" s="117">
        <v>72040</v>
      </c>
      <c r="H104" s="117">
        <v>68438</v>
      </c>
      <c r="I104" s="115" t="s">
        <v>383</v>
      </c>
    </row>
    <row r="105" spans="1:9" ht="25.5" hidden="1" customHeight="1" x14ac:dyDescent="0.25">
      <c r="A105" s="114">
        <v>3531</v>
      </c>
      <c r="B105" s="114">
        <v>28</v>
      </c>
      <c r="C105" s="115" t="s">
        <v>415</v>
      </c>
      <c r="D105" s="118" t="s">
        <v>416</v>
      </c>
      <c r="E105" s="116" t="s">
        <v>417</v>
      </c>
      <c r="F105" s="143">
        <v>45742</v>
      </c>
      <c r="G105" s="117">
        <v>16545</v>
      </c>
      <c r="H105" s="117">
        <v>16545</v>
      </c>
      <c r="I105" s="115" t="s">
        <v>383</v>
      </c>
    </row>
    <row r="106" spans="1:9" ht="25.5" hidden="1" customHeight="1" x14ac:dyDescent="0.25">
      <c r="A106" s="114">
        <v>3462</v>
      </c>
      <c r="B106" s="114">
        <v>61</v>
      </c>
      <c r="C106" s="115" t="s">
        <v>398</v>
      </c>
      <c r="D106" s="118" t="s">
        <v>407</v>
      </c>
      <c r="E106" s="116" t="s">
        <v>408</v>
      </c>
      <c r="F106" s="143">
        <v>45742</v>
      </c>
      <c r="G106" s="117">
        <v>30000</v>
      </c>
      <c r="H106" s="117">
        <v>14077.5</v>
      </c>
      <c r="I106" s="115" t="s">
        <v>217</v>
      </c>
    </row>
    <row r="107" spans="1:9" ht="25.5" hidden="1" customHeight="1" x14ac:dyDescent="0.25">
      <c r="A107" s="114">
        <v>3525</v>
      </c>
      <c r="B107" s="114">
        <v>64</v>
      </c>
      <c r="C107" s="115" t="s">
        <v>446</v>
      </c>
      <c r="D107" s="118" t="s">
        <v>416</v>
      </c>
      <c r="E107" s="116" t="s">
        <v>447</v>
      </c>
      <c r="F107" s="143">
        <v>45742</v>
      </c>
      <c r="G107" s="117">
        <v>3420</v>
      </c>
      <c r="H107" s="117">
        <v>3209.67</v>
      </c>
      <c r="I107" s="115" t="s">
        <v>383</v>
      </c>
    </row>
    <row r="108" spans="1:9" ht="25.5" hidden="1" customHeight="1" x14ac:dyDescent="0.25">
      <c r="A108" s="114">
        <v>3403</v>
      </c>
      <c r="B108" s="114">
        <v>87</v>
      </c>
      <c r="C108" s="115" t="s">
        <v>440</v>
      </c>
      <c r="D108" s="118" t="s">
        <v>366</v>
      </c>
      <c r="E108" s="116" t="s">
        <v>457</v>
      </c>
      <c r="F108" s="143">
        <v>45742</v>
      </c>
      <c r="G108" s="117">
        <v>408.33</v>
      </c>
      <c r="H108" s="117">
        <v>408.33</v>
      </c>
      <c r="I108" s="115" t="s">
        <v>217</v>
      </c>
    </row>
    <row r="109" spans="1:9" ht="25.5" hidden="1" customHeight="1" x14ac:dyDescent="0.25">
      <c r="A109" s="114">
        <v>3920</v>
      </c>
      <c r="B109" s="114">
        <v>101</v>
      </c>
      <c r="C109" s="115" t="s">
        <v>434</v>
      </c>
      <c r="D109" s="118" t="s">
        <v>381</v>
      </c>
      <c r="E109" s="116" t="s">
        <v>435</v>
      </c>
      <c r="F109" s="143">
        <v>45988</v>
      </c>
      <c r="G109" s="117">
        <v>4230</v>
      </c>
      <c r="H109" s="117">
        <v>4230</v>
      </c>
      <c r="I109" s="115" t="s">
        <v>216</v>
      </c>
    </row>
    <row r="110" spans="1:9" ht="25.5" hidden="1" customHeight="1" x14ac:dyDescent="0.25">
      <c r="A110" s="114">
        <v>3532</v>
      </c>
      <c r="B110" s="114">
        <v>137</v>
      </c>
      <c r="C110" s="115" t="s">
        <v>419</v>
      </c>
      <c r="D110" s="118" t="s">
        <v>381</v>
      </c>
      <c r="E110" s="116" t="s">
        <v>420</v>
      </c>
      <c r="F110" s="143">
        <v>45743</v>
      </c>
      <c r="G110" s="117">
        <v>2835</v>
      </c>
      <c r="H110" s="117">
        <v>2660.66</v>
      </c>
      <c r="I110" s="115" t="s">
        <v>383</v>
      </c>
    </row>
    <row r="111" spans="1:9" ht="25.5" hidden="1" customHeight="1" x14ac:dyDescent="0.25">
      <c r="A111" s="114">
        <v>3140</v>
      </c>
      <c r="B111" s="114">
        <v>109</v>
      </c>
      <c r="C111" s="115" t="s">
        <v>458</v>
      </c>
      <c r="D111" s="115" t="s">
        <v>381</v>
      </c>
      <c r="E111" s="116" t="s">
        <v>459</v>
      </c>
      <c r="F111" s="143">
        <v>45744</v>
      </c>
      <c r="G111" s="117">
        <v>70000</v>
      </c>
      <c r="H111" s="117">
        <v>70000</v>
      </c>
      <c r="I111" s="115" t="s">
        <v>245</v>
      </c>
    </row>
    <row r="112" spans="1:9" ht="25.5" hidden="1" customHeight="1" x14ac:dyDescent="0.25">
      <c r="A112" s="114">
        <v>3139</v>
      </c>
      <c r="B112" s="114">
        <v>109</v>
      </c>
      <c r="C112" s="115" t="s">
        <v>458</v>
      </c>
      <c r="D112" s="115" t="s">
        <v>381</v>
      </c>
      <c r="E112" s="116" t="s">
        <v>459</v>
      </c>
      <c r="F112" s="143">
        <v>45744</v>
      </c>
      <c r="G112" s="117">
        <v>70000</v>
      </c>
      <c r="H112" s="117">
        <v>70000</v>
      </c>
      <c r="I112" s="115" t="s">
        <v>245</v>
      </c>
    </row>
    <row r="113" spans="1:9" ht="25.5" customHeight="1" x14ac:dyDescent="0.25">
      <c r="A113" s="114">
        <v>3933</v>
      </c>
      <c r="B113" s="114">
        <v>6</v>
      </c>
      <c r="C113" s="115" t="s">
        <v>510</v>
      </c>
      <c r="D113" s="118" t="s">
        <v>497</v>
      </c>
      <c r="E113" s="116" t="s">
        <v>422</v>
      </c>
      <c r="F113" s="143">
        <v>46030</v>
      </c>
      <c r="G113" s="117">
        <v>4068</v>
      </c>
      <c r="H113" s="117">
        <v>3817.82</v>
      </c>
      <c r="I113" s="115" t="s">
        <v>216</v>
      </c>
    </row>
    <row r="114" spans="1:9" ht="25.5" hidden="1" customHeight="1" x14ac:dyDescent="0.25">
      <c r="A114" s="114">
        <v>3460</v>
      </c>
      <c r="B114" s="114">
        <v>133</v>
      </c>
      <c r="C114" s="115" t="s">
        <v>387</v>
      </c>
      <c r="D114" s="118" t="s">
        <v>381</v>
      </c>
      <c r="E114" s="116" t="s">
        <v>388</v>
      </c>
      <c r="F114" s="143">
        <v>45748</v>
      </c>
      <c r="G114" s="117">
        <v>40000</v>
      </c>
      <c r="H114" s="117">
        <v>37540</v>
      </c>
      <c r="I114" s="115" t="s">
        <v>217</v>
      </c>
    </row>
    <row r="115" spans="1:9" ht="25.5" hidden="1" customHeight="1" x14ac:dyDescent="0.25">
      <c r="A115" s="114">
        <v>3481</v>
      </c>
      <c r="B115" s="114">
        <v>7</v>
      </c>
      <c r="C115" s="115" t="s">
        <v>460</v>
      </c>
      <c r="D115" s="118" t="s">
        <v>381</v>
      </c>
      <c r="E115" s="116" t="s">
        <v>461</v>
      </c>
      <c r="F115" s="143">
        <v>45751</v>
      </c>
      <c r="G115" s="117">
        <v>257.14999999999998</v>
      </c>
      <c r="H115" s="117">
        <v>245.2</v>
      </c>
      <c r="I115" s="115" t="s">
        <v>217</v>
      </c>
    </row>
    <row r="116" spans="1:9" ht="25.5" hidden="1" customHeight="1" x14ac:dyDescent="0.25">
      <c r="A116" s="114">
        <v>3487</v>
      </c>
      <c r="B116" s="114">
        <v>84</v>
      </c>
      <c r="C116" s="115" t="s">
        <v>462</v>
      </c>
      <c r="D116" s="118" t="s">
        <v>424</v>
      </c>
      <c r="E116" s="116" t="s">
        <v>417</v>
      </c>
      <c r="F116" s="143">
        <v>45751</v>
      </c>
      <c r="G116" s="117">
        <v>2950</v>
      </c>
      <c r="H116" s="117">
        <v>2768.58</v>
      </c>
      <c r="I116" s="115" t="s">
        <v>217</v>
      </c>
    </row>
    <row r="117" spans="1:9" ht="25.5" hidden="1" customHeight="1" x14ac:dyDescent="0.25">
      <c r="A117" s="114">
        <v>3474</v>
      </c>
      <c r="B117" s="114">
        <v>2</v>
      </c>
      <c r="C117" s="115" t="s">
        <v>390</v>
      </c>
      <c r="D117" s="115"/>
      <c r="E117" s="123" t="s">
        <v>433</v>
      </c>
      <c r="F117" s="143">
        <v>45754</v>
      </c>
      <c r="G117" s="117">
        <v>1982.56</v>
      </c>
      <c r="H117" s="117">
        <v>1860.66</v>
      </c>
      <c r="I117" s="115" t="s">
        <v>383</v>
      </c>
    </row>
    <row r="118" spans="1:9" ht="25.5" hidden="1" customHeight="1" x14ac:dyDescent="0.25">
      <c r="A118" s="114">
        <v>3425</v>
      </c>
      <c r="B118" s="114">
        <v>2</v>
      </c>
      <c r="C118" s="115" t="s">
        <v>390</v>
      </c>
      <c r="D118" s="115"/>
      <c r="E118" s="123" t="s">
        <v>433</v>
      </c>
      <c r="F118" s="143">
        <v>45754</v>
      </c>
      <c r="G118" s="117">
        <v>1982.56</v>
      </c>
      <c r="H118" s="117">
        <v>1860.66</v>
      </c>
      <c r="I118" s="115" t="s">
        <v>383</v>
      </c>
    </row>
    <row r="119" spans="1:9" ht="25.5" hidden="1" customHeight="1" x14ac:dyDescent="0.25">
      <c r="A119" s="114">
        <v>3629</v>
      </c>
      <c r="B119" s="114">
        <v>81</v>
      </c>
      <c r="C119" s="115" t="s">
        <v>403</v>
      </c>
      <c r="D119" s="115"/>
      <c r="E119" s="123" t="s">
        <v>404</v>
      </c>
      <c r="F119" s="143">
        <v>45821</v>
      </c>
      <c r="G119" s="117">
        <v>6733.32</v>
      </c>
      <c r="H119" s="117">
        <v>6319.25</v>
      </c>
      <c r="I119" s="115" t="s">
        <v>217</v>
      </c>
    </row>
    <row r="120" spans="1:9" ht="25.5" hidden="1" customHeight="1" x14ac:dyDescent="0.25">
      <c r="A120" s="114">
        <v>3548</v>
      </c>
      <c r="B120" s="114">
        <v>130</v>
      </c>
      <c r="C120" s="115" t="s">
        <v>392</v>
      </c>
      <c r="D120" s="118" t="s">
        <v>381</v>
      </c>
      <c r="E120" s="116" t="s">
        <v>393</v>
      </c>
      <c r="F120" s="143">
        <v>45779</v>
      </c>
      <c r="G120" s="117">
        <v>46283.33</v>
      </c>
      <c r="H120" s="117">
        <v>21718.48</v>
      </c>
      <c r="I120" s="115" t="s">
        <v>245</v>
      </c>
    </row>
    <row r="121" spans="1:9" ht="25.5" hidden="1" customHeight="1" x14ac:dyDescent="0.25">
      <c r="A121" s="114">
        <v>3496</v>
      </c>
      <c r="B121" s="114">
        <v>5</v>
      </c>
      <c r="C121" s="115" t="s">
        <v>380</v>
      </c>
      <c r="D121" s="115" t="s">
        <v>366</v>
      </c>
      <c r="E121" s="116" t="s">
        <v>389</v>
      </c>
      <c r="F121" s="143">
        <v>45757</v>
      </c>
      <c r="G121" s="117">
        <v>500</v>
      </c>
      <c r="H121" s="117">
        <v>469.25</v>
      </c>
      <c r="I121" s="115" t="s">
        <v>383</v>
      </c>
    </row>
    <row r="122" spans="1:9" ht="25.5" hidden="1" customHeight="1" x14ac:dyDescent="0.25">
      <c r="A122" s="114">
        <v>3537</v>
      </c>
      <c r="B122" s="114">
        <v>5</v>
      </c>
      <c r="C122" s="115" t="s">
        <v>380</v>
      </c>
      <c r="D122" s="86">
        <v>1</v>
      </c>
      <c r="E122" s="122" t="s">
        <v>339</v>
      </c>
      <c r="F122" s="143">
        <v>45757</v>
      </c>
      <c r="G122" s="117">
        <v>525</v>
      </c>
      <c r="H122" s="117">
        <v>492.72</v>
      </c>
      <c r="I122" s="115" t="s">
        <v>383</v>
      </c>
    </row>
    <row r="123" spans="1:9" ht="25.5" hidden="1" customHeight="1" x14ac:dyDescent="0.25">
      <c r="A123" s="114">
        <v>3510</v>
      </c>
      <c r="B123" s="114">
        <v>107</v>
      </c>
      <c r="C123" s="115" t="s">
        <v>463</v>
      </c>
      <c r="D123" s="118" t="s">
        <v>416</v>
      </c>
      <c r="E123" s="116" t="s">
        <v>464</v>
      </c>
      <c r="F123" s="143">
        <v>45757</v>
      </c>
      <c r="G123" s="117">
        <v>35000</v>
      </c>
      <c r="H123" s="117">
        <v>32847.5</v>
      </c>
      <c r="I123" s="115" t="s">
        <v>217</v>
      </c>
    </row>
    <row r="124" spans="1:9" ht="25.5" customHeight="1" x14ac:dyDescent="0.25">
      <c r="A124" s="574">
        <v>3957</v>
      </c>
      <c r="B124" s="574">
        <v>136</v>
      </c>
      <c r="C124" s="575" t="s">
        <v>365</v>
      </c>
      <c r="D124" s="576" t="s">
        <v>366</v>
      </c>
      <c r="E124" s="577" t="s">
        <v>367</v>
      </c>
      <c r="F124" s="578">
        <v>46031</v>
      </c>
      <c r="G124" s="579">
        <v>3316.66</v>
      </c>
      <c r="H124" s="579">
        <v>3316.66</v>
      </c>
      <c r="I124" s="575" t="s">
        <v>245</v>
      </c>
    </row>
    <row r="125" spans="1:9" ht="25.5" hidden="1" customHeight="1" x14ac:dyDescent="0.25">
      <c r="A125" s="114">
        <v>3549</v>
      </c>
      <c r="B125" s="114">
        <v>130</v>
      </c>
      <c r="C125" s="115" t="s">
        <v>392</v>
      </c>
      <c r="D125" s="118" t="s">
        <v>381</v>
      </c>
      <c r="E125" s="116" t="s">
        <v>393</v>
      </c>
      <c r="F125" s="143">
        <v>45782</v>
      </c>
      <c r="G125" s="117">
        <v>46283.33</v>
      </c>
      <c r="H125" s="117">
        <v>21718.48</v>
      </c>
      <c r="I125" s="115" t="s">
        <v>245</v>
      </c>
    </row>
    <row r="126" spans="1:9" ht="25.5" hidden="1" customHeight="1" x14ac:dyDescent="0.25">
      <c r="A126" s="114">
        <v>3670</v>
      </c>
      <c r="B126" s="114">
        <v>81</v>
      </c>
      <c r="C126" s="115" t="s">
        <v>403</v>
      </c>
      <c r="D126" s="115"/>
      <c r="E126" s="123" t="s">
        <v>404</v>
      </c>
      <c r="F126" s="143">
        <v>45852</v>
      </c>
      <c r="G126" s="117">
        <v>13166.68</v>
      </c>
      <c r="H126" s="117">
        <v>12356.94</v>
      </c>
      <c r="I126" s="115" t="s">
        <v>217</v>
      </c>
    </row>
    <row r="127" spans="1:9" ht="25.5" hidden="1" customHeight="1" x14ac:dyDescent="0.25">
      <c r="A127" s="114">
        <v>3491</v>
      </c>
      <c r="B127" s="114">
        <v>97</v>
      </c>
      <c r="C127" s="115" t="s">
        <v>396</v>
      </c>
      <c r="D127" s="118" t="s">
        <v>381</v>
      </c>
      <c r="E127" s="116" t="s">
        <v>397</v>
      </c>
      <c r="F127" s="143">
        <v>45758</v>
      </c>
      <c r="G127" s="117">
        <v>8450</v>
      </c>
      <c r="H127" s="117">
        <v>7930.33</v>
      </c>
      <c r="I127" s="115" t="s">
        <v>245</v>
      </c>
    </row>
    <row r="128" spans="1:9" ht="25.5" hidden="1" customHeight="1" x14ac:dyDescent="0.25">
      <c r="A128" s="114">
        <v>3359</v>
      </c>
      <c r="B128" s="114">
        <v>114</v>
      </c>
      <c r="C128" s="115" t="s">
        <v>411</v>
      </c>
      <c r="D128" s="118" t="s">
        <v>381</v>
      </c>
      <c r="E128" s="116" t="s">
        <v>412</v>
      </c>
      <c r="F128" s="143">
        <v>45679</v>
      </c>
      <c r="G128" s="117">
        <v>12570.97</v>
      </c>
      <c r="H128" s="117">
        <v>5898.95</v>
      </c>
      <c r="I128" s="115" t="s">
        <v>217</v>
      </c>
    </row>
    <row r="129" spans="1:9" ht="25.5" hidden="1" customHeight="1" x14ac:dyDescent="0.25">
      <c r="A129" s="114">
        <v>3393</v>
      </c>
      <c r="B129" s="114">
        <v>114</v>
      </c>
      <c r="C129" s="115" t="s">
        <v>411</v>
      </c>
      <c r="D129" s="115" t="s">
        <v>381</v>
      </c>
      <c r="E129" s="116" t="s">
        <v>412</v>
      </c>
      <c r="F129" s="143">
        <v>45681</v>
      </c>
      <c r="G129" s="117">
        <v>12570.97</v>
      </c>
      <c r="H129" s="117">
        <v>5898.95</v>
      </c>
      <c r="I129" s="115" t="s">
        <v>217</v>
      </c>
    </row>
    <row r="130" spans="1:9" ht="25.5" hidden="1" customHeight="1" x14ac:dyDescent="0.25">
      <c r="A130" s="114">
        <v>3515</v>
      </c>
      <c r="B130" s="114">
        <v>61</v>
      </c>
      <c r="C130" s="115" t="s">
        <v>398</v>
      </c>
      <c r="D130" s="115" t="s">
        <v>428</v>
      </c>
      <c r="E130" s="116" t="s">
        <v>429</v>
      </c>
      <c r="F130" s="143">
        <v>45761</v>
      </c>
      <c r="G130" s="117">
        <v>50000</v>
      </c>
      <c r="H130" s="117">
        <v>46925</v>
      </c>
      <c r="I130" s="115" t="s">
        <v>383</v>
      </c>
    </row>
    <row r="131" spans="1:9" ht="25.5" hidden="1" customHeight="1" x14ac:dyDescent="0.25">
      <c r="A131" s="114">
        <v>3514</v>
      </c>
      <c r="B131" s="114">
        <v>61</v>
      </c>
      <c r="C131" s="115" t="s">
        <v>398</v>
      </c>
      <c r="D131" s="115" t="s">
        <v>428</v>
      </c>
      <c r="E131" s="116" t="s">
        <v>429</v>
      </c>
      <c r="F131" s="143">
        <v>45761</v>
      </c>
      <c r="G131" s="117">
        <v>1422.23</v>
      </c>
      <c r="H131" s="117">
        <v>1334.78</v>
      </c>
      <c r="I131" s="115" t="s">
        <v>383</v>
      </c>
    </row>
    <row r="132" spans="1:9" ht="25.5" hidden="1" customHeight="1" x14ac:dyDescent="0.25">
      <c r="A132" s="114">
        <v>3512</v>
      </c>
      <c r="B132" s="114">
        <v>61</v>
      </c>
      <c r="C132" s="115" t="s">
        <v>398</v>
      </c>
      <c r="D132" s="118" t="s">
        <v>407</v>
      </c>
      <c r="E132" s="116" t="s">
        <v>408</v>
      </c>
      <c r="F132" s="143">
        <v>45761</v>
      </c>
      <c r="G132" s="117">
        <v>30000</v>
      </c>
      <c r="H132" s="117">
        <v>14077.5</v>
      </c>
      <c r="I132" s="115" t="s">
        <v>217</v>
      </c>
    </row>
    <row r="133" spans="1:9" ht="25.5" hidden="1" customHeight="1" x14ac:dyDescent="0.25">
      <c r="A133" s="114">
        <v>3490</v>
      </c>
      <c r="B133" s="114">
        <v>87</v>
      </c>
      <c r="C133" s="115" t="s">
        <v>440</v>
      </c>
      <c r="D133" s="118" t="s">
        <v>424</v>
      </c>
      <c r="E133" s="116" t="s">
        <v>457</v>
      </c>
      <c r="F133" s="143">
        <v>45761</v>
      </c>
      <c r="G133" s="117">
        <v>2025</v>
      </c>
      <c r="H133" s="117">
        <v>2025</v>
      </c>
      <c r="I133" s="115" t="s">
        <v>217</v>
      </c>
    </row>
    <row r="134" spans="1:9" ht="25.5" hidden="1" customHeight="1" x14ac:dyDescent="0.25">
      <c r="A134" s="114">
        <v>3370</v>
      </c>
      <c r="B134" s="114">
        <v>87</v>
      </c>
      <c r="C134" s="115" t="s">
        <v>440</v>
      </c>
      <c r="D134" s="118" t="s">
        <v>366</v>
      </c>
      <c r="E134" s="116" t="s">
        <v>457</v>
      </c>
      <c r="F134" s="143">
        <v>45761</v>
      </c>
      <c r="G134" s="117">
        <v>525</v>
      </c>
      <c r="H134" s="117">
        <v>525</v>
      </c>
      <c r="I134" s="115" t="s">
        <v>217</v>
      </c>
    </row>
    <row r="135" spans="1:9" ht="25.5" hidden="1" customHeight="1" x14ac:dyDescent="0.25">
      <c r="A135" s="114">
        <v>3402</v>
      </c>
      <c r="B135" s="114">
        <v>87</v>
      </c>
      <c r="C135" s="115" t="s">
        <v>440</v>
      </c>
      <c r="D135" s="118" t="s">
        <v>424</v>
      </c>
      <c r="E135" s="116" t="s">
        <v>441</v>
      </c>
      <c r="F135" s="143">
        <v>45761</v>
      </c>
      <c r="G135" s="117">
        <v>6500</v>
      </c>
      <c r="H135" s="117">
        <v>6500</v>
      </c>
      <c r="I135" s="115" t="s">
        <v>217</v>
      </c>
    </row>
    <row r="136" spans="1:9" ht="25.5" hidden="1" customHeight="1" x14ac:dyDescent="0.25">
      <c r="A136" s="114">
        <v>3451</v>
      </c>
      <c r="B136" s="114">
        <v>87</v>
      </c>
      <c r="C136" s="115" t="s">
        <v>440</v>
      </c>
      <c r="D136" s="118" t="s">
        <v>366</v>
      </c>
      <c r="E136" s="116" t="s">
        <v>457</v>
      </c>
      <c r="F136" s="143">
        <v>45761</v>
      </c>
      <c r="G136" s="117">
        <v>408.33</v>
      </c>
      <c r="H136" s="117">
        <v>408.33</v>
      </c>
      <c r="I136" s="115" t="s">
        <v>217</v>
      </c>
    </row>
    <row r="137" spans="1:9" ht="25.5" hidden="1" customHeight="1" x14ac:dyDescent="0.25">
      <c r="A137" s="114">
        <v>3495</v>
      </c>
      <c r="B137" s="114">
        <v>6</v>
      </c>
      <c r="C137" s="115" t="s">
        <v>421</v>
      </c>
      <c r="D137" s="115"/>
      <c r="E137" s="116" t="s">
        <v>422</v>
      </c>
      <c r="F137" s="143">
        <v>45762</v>
      </c>
      <c r="G137" s="117">
        <v>3870</v>
      </c>
      <c r="H137" s="117">
        <v>3632</v>
      </c>
      <c r="I137" s="115" t="s">
        <v>383</v>
      </c>
    </row>
    <row r="138" spans="1:9" ht="25.5" hidden="1" customHeight="1" x14ac:dyDescent="0.25">
      <c r="A138" s="114">
        <v>3507</v>
      </c>
      <c r="B138" s="114">
        <v>139</v>
      </c>
      <c r="C138" s="115" t="s">
        <v>465</v>
      </c>
      <c r="D138" s="115" t="s">
        <v>381</v>
      </c>
      <c r="E138" s="116" t="s">
        <v>466</v>
      </c>
      <c r="F138" s="143">
        <v>45762</v>
      </c>
      <c r="G138" s="117">
        <v>30000</v>
      </c>
      <c r="H138" s="117">
        <v>28155</v>
      </c>
      <c r="I138" s="115" t="s">
        <v>217</v>
      </c>
    </row>
    <row r="139" spans="1:9" ht="25.5" hidden="1" customHeight="1" x14ac:dyDescent="0.25">
      <c r="A139" s="114">
        <v>3433</v>
      </c>
      <c r="B139" s="114">
        <v>114</v>
      </c>
      <c r="C139" s="115" t="s">
        <v>411</v>
      </c>
      <c r="D139" s="118" t="s">
        <v>381</v>
      </c>
      <c r="E139" s="116" t="s">
        <v>412</v>
      </c>
      <c r="F139" s="143">
        <v>45709</v>
      </c>
      <c r="G139" s="117">
        <v>12570.97</v>
      </c>
      <c r="H139" s="117">
        <v>5898.95</v>
      </c>
      <c r="I139" s="115" t="s">
        <v>217</v>
      </c>
    </row>
    <row r="140" spans="1:9" ht="25.5" hidden="1" customHeight="1" x14ac:dyDescent="0.25">
      <c r="A140" s="114">
        <v>3394</v>
      </c>
      <c r="B140" s="114">
        <v>114</v>
      </c>
      <c r="C140" s="115" t="s">
        <v>411</v>
      </c>
      <c r="D140" s="115" t="s">
        <v>424</v>
      </c>
      <c r="E140" s="116" t="s">
        <v>452</v>
      </c>
      <c r="F140" s="143">
        <v>45728</v>
      </c>
      <c r="G140" s="117">
        <v>12570.97</v>
      </c>
      <c r="H140" s="117">
        <v>5898.95</v>
      </c>
      <c r="I140" s="115" t="s">
        <v>217</v>
      </c>
    </row>
    <row r="141" spans="1:9" ht="25.5" hidden="1" customHeight="1" x14ac:dyDescent="0.25">
      <c r="A141" s="114">
        <v>3513</v>
      </c>
      <c r="B141" s="114">
        <v>20</v>
      </c>
      <c r="C141" s="115" t="s">
        <v>438</v>
      </c>
      <c r="D141" s="118" t="s">
        <v>424</v>
      </c>
      <c r="E141" s="116" t="s">
        <v>439</v>
      </c>
      <c r="F141" s="143">
        <v>45764</v>
      </c>
      <c r="G141" s="117">
        <v>656.66</v>
      </c>
      <c r="H141" s="117">
        <v>656.66</v>
      </c>
      <c r="I141" s="115" t="s">
        <v>383</v>
      </c>
    </row>
    <row r="142" spans="1:9" ht="25.5" hidden="1" customHeight="1" x14ac:dyDescent="0.25">
      <c r="A142" s="114">
        <v>3450</v>
      </c>
      <c r="B142" s="114">
        <v>87</v>
      </c>
      <c r="C142" s="115" t="s">
        <v>440</v>
      </c>
      <c r="D142" s="118" t="s">
        <v>424</v>
      </c>
      <c r="E142" s="116" t="s">
        <v>441</v>
      </c>
      <c r="F142" s="143">
        <v>45764</v>
      </c>
      <c r="G142" s="117">
        <v>8370.83</v>
      </c>
      <c r="H142" s="117">
        <v>8370.83</v>
      </c>
      <c r="I142" s="115" t="s">
        <v>217</v>
      </c>
    </row>
    <row r="143" spans="1:9" ht="25.5" hidden="1" customHeight="1" x14ac:dyDescent="0.25">
      <c r="A143" s="114">
        <v>3467</v>
      </c>
      <c r="B143" s="114">
        <v>9</v>
      </c>
      <c r="C143" s="115" t="s">
        <v>467</v>
      </c>
      <c r="D143" s="118" t="s">
        <v>468</v>
      </c>
      <c r="E143" s="116" t="s">
        <v>469</v>
      </c>
      <c r="F143" s="143">
        <v>45769</v>
      </c>
      <c r="G143" s="117">
        <v>20495</v>
      </c>
      <c r="H143" s="117">
        <v>19234.57</v>
      </c>
      <c r="I143" s="115" t="s">
        <v>217</v>
      </c>
    </row>
    <row r="144" spans="1:9" ht="25.5" hidden="1" customHeight="1" x14ac:dyDescent="0.25">
      <c r="A144" s="114">
        <v>3472</v>
      </c>
      <c r="B144" s="114">
        <v>9</v>
      </c>
      <c r="C144" s="115" t="s">
        <v>467</v>
      </c>
      <c r="D144" s="118" t="s">
        <v>468</v>
      </c>
      <c r="E144" s="116" t="s">
        <v>469</v>
      </c>
      <c r="F144" s="143">
        <v>45769</v>
      </c>
      <c r="G144" s="117">
        <v>2955</v>
      </c>
      <c r="H144" s="117">
        <v>2773.28</v>
      </c>
      <c r="I144" s="115" t="s">
        <v>217</v>
      </c>
    </row>
    <row r="145" spans="1:9" ht="25.5" hidden="1" customHeight="1" x14ac:dyDescent="0.25">
      <c r="A145" s="114">
        <v>3523</v>
      </c>
      <c r="B145" s="114">
        <v>61</v>
      </c>
      <c r="C145" s="115" t="s">
        <v>398</v>
      </c>
      <c r="D145" s="118" t="s">
        <v>399</v>
      </c>
      <c r="E145" s="116" t="s">
        <v>400</v>
      </c>
      <c r="F145" s="143">
        <v>45769</v>
      </c>
      <c r="G145" s="117">
        <v>43188.800000000003</v>
      </c>
      <c r="H145" s="117">
        <v>40532.71</v>
      </c>
      <c r="I145" s="115" t="s">
        <v>217</v>
      </c>
    </row>
    <row r="146" spans="1:9" ht="25.5" hidden="1" customHeight="1" x14ac:dyDescent="0.25">
      <c r="A146" s="114">
        <v>3524</v>
      </c>
      <c r="B146" s="114">
        <v>61</v>
      </c>
      <c r="C146" s="115" t="s">
        <v>398</v>
      </c>
      <c r="D146" s="118" t="s">
        <v>405</v>
      </c>
      <c r="E146" s="116" t="s">
        <v>406</v>
      </c>
      <c r="F146" s="143">
        <v>45769</v>
      </c>
      <c r="G146" s="117">
        <v>7016.37</v>
      </c>
      <c r="H146" s="117">
        <v>6584.88</v>
      </c>
      <c r="I146" s="115" t="s">
        <v>217</v>
      </c>
    </row>
    <row r="147" spans="1:9" ht="25.5" hidden="1" customHeight="1" x14ac:dyDescent="0.25">
      <c r="A147" s="114">
        <v>3522</v>
      </c>
      <c r="B147" s="114">
        <v>61</v>
      </c>
      <c r="C147" s="115" t="s">
        <v>398</v>
      </c>
      <c r="D147" s="118" t="s">
        <v>401</v>
      </c>
      <c r="E147" s="122" t="s">
        <v>324</v>
      </c>
      <c r="F147" s="143">
        <v>45769</v>
      </c>
      <c r="G147" s="117">
        <v>60000</v>
      </c>
      <c r="H147" s="117">
        <v>56310</v>
      </c>
      <c r="I147" s="115" t="s">
        <v>217</v>
      </c>
    </row>
    <row r="148" spans="1:9" ht="25.5" hidden="1" customHeight="1" x14ac:dyDescent="0.25">
      <c r="A148" s="114">
        <v>3511</v>
      </c>
      <c r="B148" s="114">
        <v>61</v>
      </c>
      <c r="C148" s="115" t="s">
        <v>398</v>
      </c>
      <c r="D148" s="118" t="s">
        <v>407</v>
      </c>
      <c r="E148" s="116" t="s">
        <v>408</v>
      </c>
      <c r="F148" s="143">
        <v>45769</v>
      </c>
      <c r="G148" s="117">
        <v>30000</v>
      </c>
      <c r="H148" s="117">
        <v>14077.5</v>
      </c>
      <c r="I148" s="115" t="s">
        <v>217</v>
      </c>
    </row>
    <row r="149" spans="1:9" ht="25.5" hidden="1" customHeight="1" x14ac:dyDescent="0.25">
      <c r="A149" s="114">
        <v>3604</v>
      </c>
      <c r="B149" s="114">
        <v>130</v>
      </c>
      <c r="C149" s="115" t="s">
        <v>392</v>
      </c>
      <c r="D149" s="118" t="s">
        <v>381</v>
      </c>
      <c r="E149" s="116" t="s">
        <v>393</v>
      </c>
      <c r="F149" s="143">
        <v>45824</v>
      </c>
      <c r="G149" s="117">
        <v>65300</v>
      </c>
      <c r="H149" s="117">
        <v>30642.03</v>
      </c>
      <c r="I149" s="115" t="s">
        <v>245</v>
      </c>
    </row>
    <row r="150" spans="1:9" ht="25.5" hidden="1" customHeight="1" x14ac:dyDescent="0.25">
      <c r="A150" s="114">
        <v>3434</v>
      </c>
      <c r="B150" s="114">
        <v>114</v>
      </c>
      <c r="C150" s="115" t="s">
        <v>411</v>
      </c>
      <c r="D150" s="118" t="s">
        <v>381</v>
      </c>
      <c r="E150" s="116" t="s">
        <v>412</v>
      </c>
      <c r="F150" s="143">
        <v>45735</v>
      </c>
      <c r="G150" s="117">
        <v>12570.97</v>
      </c>
      <c r="H150" s="117">
        <v>5898.95</v>
      </c>
      <c r="I150" s="115" t="s">
        <v>217</v>
      </c>
    </row>
    <row r="151" spans="1:9" ht="25.5" hidden="1" customHeight="1" x14ac:dyDescent="0.25">
      <c r="A151" s="114">
        <v>3543</v>
      </c>
      <c r="B151" s="114">
        <v>123</v>
      </c>
      <c r="C151" s="115" t="s">
        <v>413</v>
      </c>
      <c r="D151" s="115" t="s">
        <v>381</v>
      </c>
      <c r="E151" s="116" t="s">
        <v>414</v>
      </c>
      <c r="F151" s="143">
        <v>45772</v>
      </c>
      <c r="G151" s="117">
        <v>1000</v>
      </c>
      <c r="H151" s="117">
        <v>1000</v>
      </c>
      <c r="I151" s="115" t="s">
        <v>383</v>
      </c>
    </row>
    <row r="152" spans="1:9" ht="25.5" hidden="1" customHeight="1" x14ac:dyDescent="0.25">
      <c r="A152" s="114">
        <v>3573</v>
      </c>
      <c r="B152" s="114">
        <v>20</v>
      </c>
      <c r="C152" s="115" t="s">
        <v>438</v>
      </c>
      <c r="D152" s="118" t="s">
        <v>381</v>
      </c>
      <c r="E152" s="116" t="s">
        <v>347</v>
      </c>
      <c r="F152" s="143">
        <v>45775</v>
      </c>
      <c r="G152" s="117">
        <v>50</v>
      </c>
      <c r="H152" s="117">
        <v>50</v>
      </c>
      <c r="I152" s="115" t="s">
        <v>217</v>
      </c>
    </row>
    <row r="153" spans="1:9" ht="25.5" hidden="1" customHeight="1" x14ac:dyDescent="0.25">
      <c r="A153" s="114">
        <v>3585</v>
      </c>
      <c r="B153" s="114">
        <v>64</v>
      </c>
      <c r="C153" s="115" t="s">
        <v>446</v>
      </c>
      <c r="D153" s="118" t="s">
        <v>416</v>
      </c>
      <c r="E153" s="123" t="s">
        <v>447</v>
      </c>
      <c r="F153" s="143">
        <v>45776</v>
      </c>
      <c r="G153" s="117">
        <v>4500</v>
      </c>
      <c r="H153" s="117">
        <v>4223.25</v>
      </c>
      <c r="I153" s="115" t="s">
        <v>383</v>
      </c>
    </row>
    <row r="154" spans="1:9" ht="25.5" hidden="1" customHeight="1" x14ac:dyDescent="0.25">
      <c r="A154" s="114">
        <v>3493</v>
      </c>
      <c r="B154" s="114">
        <v>114</v>
      </c>
      <c r="C154" s="115" t="s">
        <v>411</v>
      </c>
      <c r="D154" s="115" t="s">
        <v>381</v>
      </c>
      <c r="E154" s="116" t="s">
        <v>412</v>
      </c>
      <c r="F154" s="143">
        <v>45740</v>
      </c>
      <c r="G154" s="117">
        <v>12570.97</v>
      </c>
      <c r="H154" s="117">
        <v>5898.95</v>
      </c>
      <c r="I154" s="115" t="s">
        <v>217</v>
      </c>
    </row>
    <row r="155" spans="1:9" ht="25.5" hidden="1" customHeight="1" x14ac:dyDescent="0.25">
      <c r="A155" s="114">
        <v>3538</v>
      </c>
      <c r="B155" s="114">
        <v>84</v>
      </c>
      <c r="C155" s="115" t="s">
        <v>462</v>
      </c>
      <c r="D155" s="118" t="s">
        <v>424</v>
      </c>
      <c r="E155" s="116" t="s">
        <v>417</v>
      </c>
      <c r="F155" s="143">
        <v>45776</v>
      </c>
      <c r="G155" s="117">
        <v>19950</v>
      </c>
      <c r="H155" s="117">
        <v>18723.080000000002</v>
      </c>
      <c r="I155" s="115" t="s">
        <v>217</v>
      </c>
    </row>
    <row r="156" spans="1:9" ht="25.5" hidden="1" customHeight="1" x14ac:dyDescent="0.25">
      <c r="A156" s="114">
        <v>3588</v>
      </c>
      <c r="B156" s="114">
        <v>28</v>
      </c>
      <c r="C156" s="115" t="s">
        <v>415</v>
      </c>
      <c r="D156" s="118" t="s">
        <v>401</v>
      </c>
      <c r="E156" s="116" t="s">
        <v>418</v>
      </c>
      <c r="F156" s="143">
        <v>45777</v>
      </c>
      <c r="G156" s="117">
        <v>65370</v>
      </c>
      <c r="H156" s="117">
        <v>62101.5</v>
      </c>
      <c r="I156" s="115" t="s">
        <v>383</v>
      </c>
    </row>
    <row r="157" spans="1:9" ht="25.5" hidden="1" customHeight="1" x14ac:dyDescent="0.25">
      <c r="A157" s="114">
        <v>3589</v>
      </c>
      <c r="B157" s="114">
        <v>28</v>
      </c>
      <c r="C157" s="115" t="s">
        <v>415</v>
      </c>
      <c r="D157" s="118" t="s">
        <v>416</v>
      </c>
      <c r="E157" s="116" t="s">
        <v>417</v>
      </c>
      <c r="F157" s="143">
        <v>45777</v>
      </c>
      <c r="G157" s="117">
        <v>290</v>
      </c>
      <c r="H157" s="117">
        <v>290</v>
      </c>
      <c r="I157" s="115" t="s">
        <v>383</v>
      </c>
    </row>
    <row r="158" spans="1:9" ht="25.5" hidden="1" customHeight="1" x14ac:dyDescent="0.25">
      <c r="A158" s="114">
        <v>3593</v>
      </c>
      <c r="B158" s="114">
        <v>28</v>
      </c>
      <c r="C158" s="115" t="s">
        <v>415</v>
      </c>
      <c r="D158" s="118" t="s">
        <v>405</v>
      </c>
      <c r="E158" s="116" t="s">
        <v>470</v>
      </c>
      <c r="F158" s="143">
        <v>45777</v>
      </c>
      <c r="G158" s="117">
        <v>9630</v>
      </c>
      <c r="H158" s="117">
        <v>9630</v>
      </c>
      <c r="I158" s="115" t="s">
        <v>383</v>
      </c>
    </row>
    <row r="159" spans="1:9" ht="25.5" hidden="1" customHeight="1" x14ac:dyDescent="0.25">
      <c r="A159" s="114">
        <v>3494</v>
      </c>
      <c r="B159" s="114">
        <v>114</v>
      </c>
      <c r="C159" s="115" t="s">
        <v>411</v>
      </c>
      <c r="D159" s="118" t="s">
        <v>381</v>
      </c>
      <c r="E159" s="116" t="s">
        <v>412</v>
      </c>
      <c r="F159" s="143">
        <v>45763</v>
      </c>
      <c r="G159" s="117">
        <v>12570.97</v>
      </c>
      <c r="H159" s="117">
        <v>5898.95</v>
      </c>
      <c r="I159" s="115" t="s">
        <v>217</v>
      </c>
    </row>
    <row r="160" spans="1:9" ht="25.5" hidden="1" customHeight="1" x14ac:dyDescent="0.25">
      <c r="A160" s="114">
        <v>3470</v>
      </c>
      <c r="B160" s="114">
        <v>3</v>
      </c>
      <c r="C160" s="115" t="s">
        <v>384</v>
      </c>
      <c r="D160" s="118" t="s">
        <v>385</v>
      </c>
      <c r="E160" s="116" t="s">
        <v>386</v>
      </c>
      <c r="F160" s="143">
        <v>45779</v>
      </c>
      <c r="G160" s="117">
        <v>120246</v>
      </c>
      <c r="H160" s="117">
        <v>112850.88</v>
      </c>
      <c r="I160" s="115" t="s">
        <v>245</v>
      </c>
    </row>
    <row r="161" spans="1:9" ht="25.5" hidden="1" customHeight="1" x14ac:dyDescent="0.25">
      <c r="A161" s="114">
        <v>3603</v>
      </c>
      <c r="B161" s="114">
        <v>130</v>
      </c>
      <c r="C161" s="115" t="s">
        <v>392</v>
      </c>
      <c r="D161" s="118" t="s">
        <v>381</v>
      </c>
      <c r="E161" s="116" t="s">
        <v>393</v>
      </c>
      <c r="F161" s="143">
        <v>45838</v>
      </c>
      <c r="G161" s="117">
        <v>65300</v>
      </c>
      <c r="H161" s="117">
        <v>30642.03</v>
      </c>
      <c r="I161" s="115" t="s">
        <v>245</v>
      </c>
    </row>
    <row r="162" spans="1:9" ht="25.5" hidden="1" customHeight="1" x14ac:dyDescent="0.25">
      <c r="A162" s="114">
        <v>3492</v>
      </c>
      <c r="B162" s="114">
        <v>133</v>
      </c>
      <c r="C162" s="115" t="s">
        <v>387</v>
      </c>
      <c r="D162" s="118" t="s">
        <v>381</v>
      </c>
      <c r="E162" s="116" t="s">
        <v>388</v>
      </c>
      <c r="F162" s="143">
        <v>45779</v>
      </c>
      <c r="G162" s="117">
        <v>40000</v>
      </c>
      <c r="H162" s="117">
        <v>37540</v>
      </c>
      <c r="I162" s="115" t="s">
        <v>217</v>
      </c>
    </row>
    <row r="163" spans="1:9" ht="25.5" hidden="1" customHeight="1" x14ac:dyDescent="0.25">
      <c r="A163" s="114">
        <v>3528</v>
      </c>
      <c r="B163" s="114">
        <v>2</v>
      </c>
      <c r="C163" s="115" t="s">
        <v>390</v>
      </c>
      <c r="D163" s="115"/>
      <c r="E163" s="123" t="s">
        <v>433</v>
      </c>
      <c r="F163" s="143">
        <v>45782</v>
      </c>
      <c r="G163" s="117">
        <v>1982.56</v>
      </c>
      <c r="H163" s="117">
        <v>1860.66</v>
      </c>
      <c r="I163" s="115" t="s">
        <v>383</v>
      </c>
    </row>
    <row r="164" spans="1:9" ht="25.5" hidden="1" customHeight="1" x14ac:dyDescent="0.25">
      <c r="A164" s="114">
        <v>3224</v>
      </c>
      <c r="B164" s="114">
        <v>109</v>
      </c>
      <c r="C164" s="115" t="s">
        <v>458</v>
      </c>
      <c r="D164" s="115" t="s">
        <v>381</v>
      </c>
      <c r="E164" s="116" t="s">
        <v>459</v>
      </c>
      <c r="F164" s="143">
        <v>45782</v>
      </c>
      <c r="G164" s="117">
        <v>14220</v>
      </c>
      <c r="H164" s="117">
        <v>14220</v>
      </c>
      <c r="I164" s="115" t="s">
        <v>245</v>
      </c>
    </row>
    <row r="165" spans="1:9" ht="25.5" hidden="1" customHeight="1" x14ac:dyDescent="0.25">
      <c r="A165" s="114">
        <v>3274</v>
      </c>
      <c r="B165" s="114">
        <v>109</v>
      </c>
      <c r="C165" s="115" t="s">
        <v>458</v>
      </c>
      <c r="D165" s="115" t="s">
        <v>381</v>
      </c>
      <c r="E165" s="116" t="s">
        <v>459</v>
      </c>
      <c r="F165" s="143">
        <v>45782</v>
      </c>
      <c r="G165" s="117">
        <v>22020</v>
      </c>
      <c r="H165" s="117">
        <v>22020</v>
      </c>
      <c r="I165" s="115" t="s">
        <v>245</v>
      </c>
    </row>
    <row r="166" spans="1:9" ht="25.5" hidden="1" customHeight="1" x14ac:dyDescent="0.25">
      <c r="A166" s="114">
        <v>3225</v>
      </c>
      <c r="B166" s="114">
        <v>109</v>
      </c>
      <c r="C166" s="115" t="s">
        <v>458</v>
      </c>
      <c r="D166" s="115" t="s">
        <v>381</v>
      </c>
      <c r="E166" s="116" t="s">
        <v>459</v>
      </c>
      <c r="F166" s="143">
        <v>45782</v>
      </c>
      <c r="G166" s="117">
        <v>66780</v>
      </c>
      <c r="H166" s="117">
        <v>66780</v>
      </c>
      <c r="I166" s="115" t="s">
        <v>245</v>
      </c>
    </row>
    <row r="167" spans="1:9" ht="25.5" hidden="1" customHeight="1" x14ac:dyDescent="0.25">
      <c r="A167" s="114">
        <v>3541</v>
      </c>
      <c r="B167" s="114">
        <v>114</v>
      </c>
      <c r="C167" s="115" t="s">
        <v>411</v>
      </c>
      <c r="D167" s="115" t="s">
        <v>424</v>
      </c>
      <c r="E167" s="116" t="s">
        <v>452</v>
      </c>
      <c r="F167" s="143">
        <v>45763</v>
      </c>
      <c r="G167" s="117">
        <v>12570.97</v>
      </c>
      <c r="H167" s="117">
        <v>5898.95</v>
      </c>
      <c r="I167" s="115" t="s">
        <v>217</v>
      </c>
    </row>
    <row r="168" spans="1:9" ht="25.5" hidden="1" customHeight="1" x14ac:dyDescent="0.25">
      <c r="A168" s="114">
        <v>3740</v>
      </c>
      <c r="B168" s="114">
        <v>130</v>
      </c>
      <c r="C168" s="115" t="s">
        <v>392</v>
      </c>
      <c r="D168" s="118" t="s">
        <v>381</v>
      </c>
      <c r="E168" s="116" t="s">
        <v>393</v>
      </c>
      <c r="F168" s="143">
        <v>45884</v>
      </c>
      <c r="G168" s="117">
        <v>13850</v>
      </c>
      <c r="H168" s="117">
        <v>6499.12</v>
      </c>
      <c r="I168" s="115" t="s">
        <v>245</v>
      </c>
    </row>
    <row r="169" spans="1:9" ht="25.5" hidden="1" customHeight="1" x14ac:dyDescent="0.25">
      <c r="A169" s="114">
        <v>3542</v>
      </c>
      <c r="B169" s="114">
        <v>114</v>
      </c>
      <c r="C169" s="115" t="s">
        <v>411</v>
      </c>
      <c r="D169" s="118" t="s">
        <v>381</v>
      </c>
      <c r="E169" s="116" t="s">
        <v>412</v>
      </c>
      <c r="F169" s="143">
        <v>45784</v>
      </c>
      <c r="G169" s="117">
        <v>12570.97</v>
      </c>
      <c r="H169" s="117">
        <v>5898.95</v>
      </c>
      <c r="I169" s="115" t="s">
        <v>217</v>
      </c>
    </row>
    <row r="170" spans="1:9" ht="25.5" hidden="1" customHeight="1" x14ac:dyDescent="0.25">
      <c r="A170" s="114">
        <v>3711</v>
      </c>
      <c r="B170" s="114">
        <v>81</v>
      </c>
      <c r="C170" s="115" t="s">
        <v>403</v>
      </c>
      <c r="D170" s="115"/>
      <c r="E170" s="123" t="s">
        <v>404</v>
      </c>
      <c r="F170" s="143">
        <v>45883</v>
      </c>
      <c r="G170" s="117">
        <v>15233.33</v>
      </c>
      <c r="H170" s="117">
        <v>14296.51</v>
      </c>
      <c r="I170" s="115" t="s">
        <v>217</v>
      </c>
    </row>
    <row r="171" spans="1:9" ht="25.5" hidden="1" customHeight="1" x14ac:dyDescent="0.25">
      <c r="A171" s="114">
        <v>3763</v>
      </c>
      <c r="B171" s="114">
        <v>81</v>
      </c>
      <c r="C171" s="115" t="s">
        <v>403</v>
      </c>
      <c r="D171" s="115"/>
      <c r="E171" s="123" t="s">
        <v>404</v>
      </c>
      <c r="F171" s="143">
        <v>45918</v>
      </c>
      <c r="G171" s="117">
        <v>1059.99</v>
      </c>
      <c r="H171" s="117">
        <v>994.84</v>
      </c>
      <c r="I171" s="115" t="s">
        <v>217</v>
      </c>
    </row>
    <row r="172" spans="1:9" ht="25.5" hidden="1" customHeight="1" x14ac:dyDescent="0.25">
      <c r="A172" s="114">
        <v>3802</v>
      </c>
      <c r="B172" s="114">
        <v>81</v>
      </c>
      <c r="C172" s="115" t="s">
        <v>403</v>
      </c>
      <c r="D172" s="118" t="s">
        <v>500</v>
      </c>
      <c r="E172" s="116" t="s">
        <v>404</v>
      </c>
      <c r="F172" s="143">
        <v>45931</v>
      </c>
      <c r="G172" s="117">
        <v>1059.99</v>
      </c>
      <c r="H172" s="117">
        <v>994.84</v>
      </c>
      <c r="I172" s="115" t="s">
        <v>217</v>
      </c>
    </row>
    <row r="173" spans="1:9" ht="25.5" hidden="1" customHeight="1" x14ac:dyDescent="0.25">
      <c r="A173" s="114">
        <v>3504</v>
      </c>
      <c r="B173" s="114">
        <v>22</v>
      </c>
      <c r="C173" s="115" t="s">
        <v>472</v>
      </c>
      <c r="D173" s="115" t="s">
        <v>428</v>
      </c>
      <c r="E173" s="116" t="s">
        <v>473</v>
      </c>
      <c r="F173" s="143">
        <v>45786</v>
      </c>
      <c r="G173" s="117">
        <v>25000</v>
      </c>
      <c r="H173" s="117">
        <v>25000</v>
      </c>
      <c r="I173" s="115" t="s">
        <v>245</v>
      </c>
    </row>
    <row r="174" spans="1:9" ht="25.5" hidden="1" customHeight="1" x14ac:dyDescent="0.25">
      <c r="A174" s="114">
        <v>3600</v>
      </c>
      <c r="B174" s="114">
        <v>114</v>
      </c>
      <c r="C174" s="115" t="s">
        <v>411</v>
      </c>
      <c r="D174" s="115" t="s">
        <v>381</v>
      </c>
      <c r="E174" s="116" t="s">
        <v>412</v>
      </c>
      <c r="F174" s="143">
        <v>45804</v>
      </c>
      <c r="G174" s="117">
        <v>12570.97</v>
      </c>
      <c r="H174" s="117">
        <v>5898.95</v>
      </c>
      <c r="I174" s="115" t="s">
        <v>217</v>
      </c>
    </row>
    <row r="175" spans="1:9" ht="25.5" hidden="1" customHeight="1" x14ac:dyDescent="0.25">
      <c r="A175" s="114">
        <v>3601</v>
      </c>
      <c r="B175" s="114">
        <v>114</v>
      </c>
      <c r="C175" s="115" t="s">
        <v>411</v>
      </c>
      <c r="D175" s="118" t="s">
        <v>381</v>
      </c>
      <c r="E175" s="116" t="s">
        <v>412</v>
      </c>
      <c r="F175" s="143">
        <v>45819</v>
      </c>
      <c r="G175" s="117">
        <v>12570.97</v>
      </c>
      <c r="H175" s="117">
        <v>5898.95</v>
      </c>
      <c r="I175" s="115" t="s">
        <v>217</v>
      </c>
    </row>
    <row r="176" spans="1:9" ht="25.5" hidden="1" customHeight="1" x14ac:dyDescent="0.25">
      <c r="A176" s="114">
        <v>3569</v>
      </c>
      <c r="B176" s="114">
        <v>6</v>
      </c>
      <c r="C176" s="115" t="s">
        <v>421</v>
      </c>
      <c r="D176" s="115"/>
      <c r="E176" s="116" t="s">
        <v>422</v>
      </c>
      <c r="F176" s="143">
        <v>45791</v>
      </c>
      <c r="G176" s="117">
        <v>3870</v>
      </c>
      <c r="H176" s="117">
        <v>3632</v>
      </c>
      <c r="I176" s="115" t="s">
        <v>383</v>
      </c>
    </row>
    <row r="177" spans="1:9" ht="25.5" customHeight="1" x14ac:dyDescent="0.25">
      <c r="A177" s="114">
        <v>3929</v>
      </c>
      <c r="B177" s="114">
        <v>132</v>
      </c>
      <c r="C177" s="115" t="s">
        <v>426</v>
      </c>
      <c r="D177" s="118" t="s">
        <v>381</v>
      </c>
      <c r="E177" s="116" t="s">
        <v>427</v>
      </c>
      <c r="F177" s="143">
        <v>46032</v>
      </c>
      <c r="G177" s="117">
        <v>2318.1799999999998</v>
      </c>
      <c r="H177" s="117">
        <v>2175.63</v>
      </c>
      <c r="I177" s="115" t="s">
        <v>216</v>
      </c>
    </row>
    <row r="178" spans="1:9" ht="25.5" hidden="1" customHeight="1" x14ac:dyDescent="0.25">
      <c r="A178" s="114">
        <v>3625</v>
      </c>
      <c r="B178" s="114">
        <v>116</v>
      </c>
      <c r="C178" s="115" t="s">
        <v>430</v>
      </c>
      <c r="D178" s="115" t="s">
        <v>431</v>
      </c>
      <c r="E178" s="116" t="s">
        <v>432</v>
      </c>
      <c r="F178" s="143">
        <v>45791</v>
      </c>
      <c r="G178" s="117">
        <v>6059.53</v>
      </c>
      <c r="H178" s="117">
        <v>3029.77</v>
      </c>
      <c r="I178" s="115" t="s">
        <v>383</v>
      </c>
    </row>
    <row r="179" spans="1:9" ht="25.5" hidden="1" customHeight="1" x14ac:dyDescent="0.25">
      <c r="A179" s="114">
        <v>3626</v>
      </c>
      <c r="B179" s="114">
        <v>116</v>
      </c>
      <c r="C179" s="115" t="s">
        <v>430</v>
      </c>
      <c r="D179" s="115" t="s">
        <v>436</v>
      </c>
      <c r="E179" s="116" t="s">
        <v>437</v>
      </c>
      <c r="F179" s="143">
        <v>45791</v>
      </c>
      <c r="G179" s="117">
        <v>6059.53</v>
      </c>
      <c r="H179" s="117">
        <v>3029.77</v>
      </c>
      <c r="I179" s="115" t="s">
        <v>383</v>
      </c>
    </row>
    <row r="180" spans="1:9" ht="25.5" hidden="1" customHeight="1" x14ac:dyDescent="0.25">
      <c r="A180" s="114">
        <v>3627</v>
      </c>
      <c r="B180" s="114">
        <v>116</v>
      </c>
      <c r="C180" s="115" t="s">
        <v>430</v>
      </c>
      <c r="D180" s="115" t="s">
        <v>431</v>
      </c>
      <c r="E180" s="116" t="s">
        <v>432</v>
      </c>
      <c r="F180" s="143">
        <v>45791</v>
      </c>
      <c r="G180" s="117">
        <v>27333.33</v>
      </c>
      <c r="H180" s="117">
        <v>13666.67</v>
      </c>
      <c r="I180" s="115" t="s">
        <v>383</v>
      </c>
    </row>
    <row r="181" spans="1:9" ht="25.5" hidden="1" customHeight="1" x14ac:dyDescent="0.25">
      <c r="A181" s="114">
        <v>3628</v>
      </c>
      <c r="B181" s="114">
        <v>116</v>
      </c>
      <c r="C181" s="115" t="s">
        <v>430</v>
      </c>
      <c r="D181" s="115" t="s">
        <v>436</v>
      </c>
      <c r="E181" s="116" t="s">
        <v>437</v>
      </c>
      <c r="F181" s="143">
        <v>45791</v>
      </c>
      <c r="G181" s="117">
        <v>27333.33</v>
      </c>
      <c r="H181" s="117">
        <v>13666.67</v>
      </c>
      <c r="I181" s="115" t="s">
        <v>383</v>
      </c>
    </row>
    <row r="182" spans="1:9" ht="25.5" hidden="1" customHeight="1" x14ac:dyDescent="0.25">
      <c r="A182" s="114">
        <v>3564</v>
      </c>
      <c r="B182" s="114">
        <v>5</v>
      </c>
      <c r="C182" s="115" t="s">
        <v>380</v>
      </c>
      <c r="D182" s="115" t="s">
        <v>366</v>
      </c>
      <c r="E182" s="116" t="s">
        <v>389</v>
      </c>
      <c r="F182" s="143">
        <v>45792</v>
      </c>
      <c r="G182" s="117">
        <v>500</v>
      </c>
      <c r="H182" s="117">
        <v>469.25</v>
      </c>
      <c r="I182" s="115" t="s">
        <v>383</v>
      </c>
    </row>
    <row r="183" spans="1:9" ht="25.5" hidden="1" customHeight="1" x14ac:dyDescent="0.25">
      <c r="A183" s="114">
        <v>3594</v>
      </c>
      <c r="B183" s="114">
        <v>5</v>
      </c>
      <c r="C183" s="115" t="s">
        <v>380</v>
      </c>
      <c r="D183" s="118" t="s">
        <v>474</v>
      </c>
      <c r="E183" s="123" t="s">
        <v>475</v>
      </c>
      <c r="F183" s="143">
        <v>45792</v>
      </c>
      <c r="G183" s="117">
        <v>2625</v>
      </c>
      <c r="H183" s="117">
        <v>2463.5700000000002</v>
      </c>
      <c r="I183" s="115" t="s">
        <v>383</v>
      </c>
    </row>
    <row r="184" spans="1:9" ht="25.5" hidden="1" customHeight="1" x14ac:dyDescent="0.25">
      <c r="A184" s="114">
        <v>3595</v>
      </c>
      <c r="B184" s="114">
        <v>5</v>
      </c>
      <c r="C184" s="115" t="s">
        <v>380</v>
      </c>
      <c r="D184" s="86">
        <v>1</v>
      </c>
      <c r="E184" s="122" t="s">
        <v>339</v>
      </c>
      <c r="F184" s="143">
        <v>45792</v>
      </c>
      <c r="G184" s="117">
        <v>525</v>
      </c>
      <c r="H184" s="117">
        <v>492.72</v>
      </c>
      <c r="I184" s="115" t="s">
        <v>383</v>
      </c>
    </row>
    <row r="185" spans="1:9" ht="25.5" hidden="1" customHeight="1" x14ac:dyDescent="0.25">
      <c r="A185" s="114">
        <v>3577</v>
      </c>
      <c r="B185" s="114">
        <v>61</v>
      </c>
      <c r="C185" s="115" t="s">
        <v>398</v>
      </c>
      <c r="D185" s="118" t="s">
        <v>407</v>
      </c>
      <c r="E185" s="116" t="s">
        <v>408</v>
      </c>
      <c r="F185" s="143">
        <v>45792</v>
      </c>
      <c r="G185" s="117">
        <v>30000</v>
      </c>
      <c r="H185" s="117">
        <v>14077.5</v>
      </c>
      <c r="I185" s="115" t="s">
        <v>217</v>
      </c>
    </row>
    <row r="186" spans="1:9" ht="25.5" hidden="1" customHeight="1" x14ac:dyDescent="0.25">
      <c r="A186" s="114">
        <v>3622</v>
      </c>
      <c r="B186" s="114">
        <v>64</v>
      </c>
      <c r="C186" s="115" t="s">
        <v>446</v>
      </c>
      <c r="D186" s="115"/>
      <c r="E186" s="123" t="s">
        <v>476</v>
      </c>
      <c r="F186" s="143">
        <v>45792</v>
      </c>
      <c r="G186" s="117">
        <v>580</v>
      </c>
      <c r="H186" s="117">
        <v>544.33000000000004</v>
      </c>
      <c r="I186" s="115" t="s">
        <v>383</v>
      </c>
    </row>
    <row r="187" spans="1:9" ht="25.5" hidden="1" customHeight="1" x14ac:dyDescent="0.25">
      <c r="A187" s="114">
        <v>3656</v>
      </c>
      <c r="B187" s="114">
        <v>114</v>
      </c>
      <c r="C187" s="115" t="s">
        <v>411</v>
      </c>
      <c r="D187" s="115" t="s">
        <v>424</v>
      </c>
      <c r="E187" s="116" t="s">
        <v>452</v>
      </c>
      <c r="F187" s="143">
        <v>45832</v>
      </c>
      <c r="G187" s="117">
        <v>12570.97</v>
      </c>
      <c r="H187" s="117">
        <v>5898.95</v>
      </c>
      <c r="I187" s="115" t="s">
        <v>217</v>
      </c>
    </row>
    <row r="188" spans="1:9" ht="25.5" hidden="1" customHeight="1" x14ac:dyDescent="0.25">
      <c r="A188" s="114">
        <v>3657</v>
      </c>
      <c r="B188" s="114">
        <v>114</v>
      </c>
      <c r="C188" s="115" t="s">
        <v>411</v>
      </c>
      <c r="D188" s="118" t="s">
        <v>381</v>
      </c>
      <c r="E188" s="116" t="s">
        <v>412</v>
      </c>
      <c r="F188" s="143">
        <v>45848</v>
      </c>
      <c r="G188" s="117">
        <v>12570.97</v>
      </c>
      <c r="H188" s="117">
        <v>5898.95</v>
      </c>
      <c r="I188" s="115" t="s">
        <v>217</v>
      </c>
    </row>
    <row r="189" spans="1:9" ht="25.5" hidden="1" customHeight="1" x14ac:dyDescent="0.25">
      <c r="A189" s="114">
        <v>3698</v>
      </c>
      <c r="B189" s="114">
        <v>114</v>
      </c>
      <c r="C189" s="115" t="s">
        <v>411</v>
      </c>
      <c r="D189" s="115" t="s">
        <v>381</v>
      </c>
      <c r="E189" s="116" t="s">
        <v>412</v>
      </c>
      <c r="F189" s="143">
        <v>45860</v>
      </c>
      <c r="G189" s="117">
        <v>12570.97</v>
      </c>
      <c r="H189" s="117">
        <v>5898.95</v>
      </c>
      <c r="I189" s="115" t="s">
        <v>217</v>
      </c>
    </row>
    <row r="190" spans="1:9" ht="25.5" hidden="1" customHeight="1" x14ac:dyDescent="0.25">
      <c r="A190" s="114">
        <v>3620</v>
      </c>
      <c r="B190" s="114">
        <v>28</v>
      </c>
      <c r="C190" s="115" t="s">
        <v>415</v>
      </c>
      <c r="D190" s="118" t="s">
        <v>416</v>
      </c>
      <c r="E190" s="116" t="s">
        <v>417</v>
      </c>
      <c r="F190" s="143">
        <v>45793</v>
      </c>
      <c r="G190" s="117">
        <v>6700</v>
      </c>
      <c r="H190" s="117">
        <v>6700</v>
      </c>
      <c r="I190" s="115" t="s">
        <v>383</v>
      </c>
    </row>
    <row r="191" spans="1:9" ht="25.5" hidden="1" customHeight="1" x14ac:dyDescent="0.25">
      <c r="A191" s="114">
        <v>3621</v>
      </c>
      <c r="B191" s="114">
        <v>28</v>
      </c>
      <c r="C191" s="115" t="s">
        <v>415</v>
      </c>
      <c r="D191" s="118" t="s">
        <v>401</v>
      </c>
      <c r="E191" s="116" t="s">
        <v>418</v>
      </c>
      <c r="F191" s="143">
        <v>45793</v>
      </c>
      <c r="G191" s="117">
        <v>5990</v>
      </c>
      <c r="H191" s="117">
        <v>5990</v>
      </c>
      <c r="I191" s="115" t="s">
        <v>383</v>
      </c>
    </row>
    <row r="192" spans="1:9" ht="25.5" hidden="1" customHeight="1" x14ac:dyDescent="0.25">
      <c r="A192" s="114">
        <v>3581</v>
      </c>
      <c r="B192" s="114">
        <v>7</v>
      </c>
      <c r="C192" s="115" t="s">
        <v>460</v>
      </c>
      <c r="D192" s="118" t="s">
        <v>381</v>
      </c>
      <c r="E192" s="116" t="s">
        <v>461</v>
      </c>
      <c r="F192" s="143">
        <v>45796</v>
      </c>
      <c r="G192" s="117">
        <v>257.14999999999998</v>
      </c>
      <c r="H192" s="117">
        <v>245.2</v>
      </c>
      <c r="I192" s="115" t="s">
        <v>217</v>
      </c>
    </row>
    <row r="193" spans="1:9" ht="25.5" hidden="1" customHeight="1" x14ac:dyDescent="0.25">
      <c r="A193" s="114">
        <v>3579</v>
      </c>
      <c r="B193" s="114">
        <v>61</v>
      </c>
      <c r="C193" s="115" t="s">
        <v>398</v>
      </c>
      <c r="D193" s="118" t="s">
        <v>399</v>
      </c>
      <c r="E193" s="116" t="s">
        <v>400</v>
      </c>
      <c r="F193" s="143">
        <v>45796</v>
      </c>
      <c r="G193" s="117">
        <v>5167.47</v>
      </c>
      <c r="H193" s="117">
        <v>4849.6899999999996</v>
      </c>
      <c r="I193" s="115" t="s">
        <v>217</v>
      </c>
    </row>
    <row r="194" spans="1:9" ht="25.5" hidden="1" customHeight="1" x14ac:dyDescent="0.25">
      <c r="A194" s="114">
        <v>3580</v>
      </c>
      <c r="B194" s="114">
        <v>61</v>
      </c>
      <c r="C194" s="115" t="s">
        <v>398</v>
      </c>
      <c r="D194" s="118" t="s">
        <v>401</v>
      </c>
      <c r="E194" s="116" t="s">
        <v>324</v>
      </c>
      <c r="F194" s="143">
        <v>45796</v>
      </c>
      <c r="G194" s="117">
        <v>17891.39</v>
      </c>
      <c r="H194" s="117">
        <v>16791.080000000002</v>
      </c>
      <c r="I194" s="115" t="s">
        <v>217</v>
      </c>
    </row>
    <row r="195" spans="1:9" ht="25.5" hidden="1" customHeight="1" x14ac:dyDescent="0.25">
      <c r="A195" s="114">
        <v>3699</v>
      </c>
      <c r="B195" s="114">
        <v>114</v>
      </c>
      <c r="C195" s="115" t="s">
        <v>411</v>
      </c>
      <c r="D195" s="118" t="s">
        <v>381</v>
      </c>
      <c r="E195" s="116" t="s">
        <v>412</v>
      </c>
      <c r="F195" s="143">
        <v>45882</v>
      </c>
      <c r="G195" s="117">
        <v>12570.97</v>
      </c>
      <c r="H195" s="117">
        <v>5898.95</v>
      </c>
      <c r="I195" s="115" t="s">
        <v>217</v>
      </c>
    </row>
    <row r="196" spans="1:9" ht="25.5" hidden="1" customHeight="1" x14ac:dyDescent="0.25">
      <c r="A196" s="114">
        <v>3578</v>
      </c>
      <c r="B196" s="114">
        <v>61</v>
      </c>
      <c r="C196" s="115" t="s">
        <v>398</v>
      </c>
      <c r="D196" s="118" t="s">
        <v>477</v>
      </c>
      <c r="E196" s="116" t="s">
        <v>478</v>
      </c>
      <c r="F196" s="143">
        <v>45798</v>
      </c>
      <c r="G196" s="117">
        <v>9623.83</v>
      </c>
      <c r="H196" s="117">
        <v>9031.99</v>
      </c>
      <c r="I196" s="115" t="s">
        <v>217</v>
      </c>
    </row>
    <row r="197" spans="1:9" ht="25.5" hidden="1" customHeight="1" x14ac:dyDescent="0.25">
      <c r="A197" s="114">
        <v>3576</v>
      </c>
      <c r="B197" s="114">
        <v>61</v>
      </c>
      <c r="C197" s="115" t="s">
        <v>398</v>
      </c>
      <c r="D197" s="118" t="s">
        <v>407</v>
      </c>
      <c r="E197" s="116" t="s">
        <v>408</v>
      </c>
      <c r="F197" s="143">
        <v>45798</v>
      </c>
      <c r="G197" s="117">
        <v>30000</v>
      </c>
      <c r="H197" s="117">
        <v>14077.5</v>
      </c>
      <c r="I197" s="115" t="s">
        <v>217</v>
      </c>
    </row>
    <row r="198" spans="1:9" ht="25.5" hidden="1" customHeight="1" x14ac:dyDescent="0.25">
      <c r="A198" s="114">
        <v>3618</v>
      </c>
      <c r="B198" s="114">
        <v>20</v>
      </c>
      <c r="C198" s="115" t="s">
        <v>438</v>
      </c>
      <c r="D198" s="118" t="s">
        <v>381</v>
      </c>
      <c r="E198" s="116" t="s">
        <v>347</v>
      </c>
      <c r="F198" s="143">
        <v>45800</v>
      </c>
      <c r="G198" s="117">
        <v>50</v>
      </c>
      <c r="H198" s="117">
        <v>50</v>
      </c>
      <c r="I198" s="115" t="s">
        <v>217</v>
      </c>
    </row>
    <row r="199" spans="1:9" ht="25.5" hidden="1" customHeight="1" x14ac:dyDescent="0.25">
      <c r="A199" s="114">
        <v>3574</v>
      </c>
      <c r="B199" s="114">
        <v>107</v>
      </c>
      <c r="C199" s="115" t="s">
        <v>463</v>
      </c>
      <c r="D199" s="118" t="s">
        <v>416</v>
      </c>
      <c r="E199" s="116" t="s">
        <v>464</v>
      </c>
      <c r="F199" s="143">
        <v>45800</v>
      </c>
      <c r="G199" s="117">
        <v>25000</v>
      </c>
      <c r="H199" s="117">
        <v>23462.5</v>
      </c>
      <c r="I199" s="115" t="s">
        <v>217</v>
      </c>
    </row>
    <row r="200" spans="1:9" ht="25.5" hidden="1" customHeight="1" x14ac:dyDescent="0.25">
      <c r="A200" s="114">
        <v>3584</v>
      </c>
      <c r="B200" s="114">
        <v>139</v>
      </c>
      <c r="C200" s="115" t="s">
        <v>465</v>
      </c>
      <c r="D200" s="118" t="s">
        <v>424</v>
      </c>
      <c r="E200" s="116" t="s">
        <v>479</v>
      </c>
      <c r="F200" s="143">
        <v>45800</v>
      </c>
      <c r="G200" s="117">
        <v>10000</v>
      </c>
      <c r="H200" s="117">
        <v>9385</v>
      </c>
      <c r="I200" s="115" t="s">
        <v>217</v>
      </c>
    </row>
    <row r="201" spans="1:9" ht="25.5" hidden="1" customHeight="1" x14ac:dyDescent="0.25">
      <c r="A201" s="114">
        <v>3599</v>
      </c>
      <c r="B201" s="114">
        <v>123</v>
      </c>
      <c r="C201" s="115" t="s">
        <v>413</v>
      </c>
      <c r="D201" s="115" t="s">
        <v>381</v>
      </c>
      <c r="E201" s="116" t="s">
        <v>414</v>
      </c>
      <c r="F201" s="143">
        <v>45803</v>
      </c>
      <c r="G201" s="117">
        <v>1000</v>
      </c>
      <c r="H201" s="117">
        <v>1000</v>
      </c>
      <c r="I201" s="115" t="s">
        <v>383</v>
      </c>
    </row>
    <row r="202" spans="1:9" ht="25.5" hidden="1" customHeight="1" x14ac:dyDescent="0.25">
      <c r="A202" s="114">
        <v>3582</v>
      </c>
      <c r="B202" s="114">
        <v>87</v>
      </c>
      <c r="C202" s="115" t="s">
        <v>440</v>
      </c>
      <c r="D202" s="118" t="s">
        <v>424</v>
      </c>
      <c r="E202" s="116" t="s">
        <v>441</v>
      </c>
      <c r="F202" s="143">
        <v>45804</v>
      </c>
      <c r="G202" s="117">
        <v>3966.66</v>
      </c>
      <c r="H202" s="117">
        <v>3966.66</v>
      </c>
      <c r="I202" s="115" t="s">
        <v>217</v>
      </c>
    </row>
    <row r="203" spans="1:9" ht="25.5" hidden="1" customHeight="1" x14ac:dyDescent="0.25">
      <c r="A203" s="114">
        <v>3761</v>
      </c>
      <c r="B203" s="114">
        <v>114</v>
      </c>
      <c r="C203" s="115" t="s">
        <v>411</v>
      </c>
      <c r="D203" s="118" t="s">
        <v>424</v>
      </c>
      <c r="E203" s="116" t="s">
        <v>452</v>
      </c>
      <c r="F203" s="143">
        <v>45894</v>
      </c>
      <c r="G203" s="117">
        <v>49693.33</v>
      </c>
      <c r="H203" s="117">
        <v>23318.63</v>
      </c>
      <c r="I203" s="115" t="s">
        <v>217</v>
      </c>
    </row>
    <row r="204" spans="1:9" ht="25.5" hidden="1" customHeight="1" x14ac:dyDescent="0.25">
      <c r="A204" s="114">
        <v>3642</v>
      </c>
      <c r="B204" s="114">
        <v>28</v>
      </c>
      <c r="C204" s="115" t="s">
        <v>415</v>
      </c>
      <c r="D204" s="118" t="s">
        <v>399</v>
      </c>
      <c r="E204" s="116" t="s">
        <v>480</v>
      </c>
      <c r="F204" s="143">
        <v>45806</v>
      </c>
      <c r="G204" s="117">
        <v>60454.55</v>
      </c>
      <c r="H204" s="117">
        <v>60454.55</v>
      </c>
      <c r="I204" s="115" t="s">
        <v>383</v>
      </c>
    </row>
    <row r="205" spans="1:9" ht="25.5" hidden="1" customHeight="1" x14ac:dyDescent="0.25">
      <c r="A205" s="114">
        <v>3643</v>
      </c>
      <c r="B205" s="114">
        <v>116</v>
      </c>
      <c r="C205" s="115" t="s">
        <v>430</v>
      </c>
      <c r="D205" s="115" t="s">
        <v>431</v>
      </c>
      <c r="E205" s="116" t="s">
        <v>432</v>
      </c>
      <c r="F205" s="143">
        <v>45807</v>
      </c>
      <c r="G205" s="117">
        <v>17525.41</v>
      </c>
      <c r="H205" s="117">
        <v>8762.7099999999991</v>
      </c>
      <c r="I205" s="115" t="s">
        <v>383</v>
      </c>
    </row>
    <row r="206" spans="1:9" ht="25.5" hidden="1" customHeight="1" x14ac:dyDescent="0.25">
      <c r="A206" s="114">
        <v>3644</v>
      </c>
      <c r="B206" s="114">
        <v>116</v>
      </c>
      <c r="C206" s="115" t="s">
        <v>430</v>
      </c>
      <c r="D206" s="115" t="s">
        <v>436</v>
      </c>
      <c r="E206" s="116" t="s">
        <v>437</v>
      </c>
      <c r="F206" s="143">
        <v>45807</v>
      </c>
      <c r="G206" s="117">
        <v>17525.41</v>
      </c>
      <c r="H206" s="117">
        <v>8762.7099999999991</v>
      </c>
      <c r="I206" s="115" t="s">
        <v>383</v>
      </c>
    </row>
    <row r="207" spans="1:9" ht="25.5" hidden="1" customHeight="1" x14ac:dyDescent="0.25">
      <c r="A207" s="114">
        <v>3645</v>
      </c>
      <c r="B207" s="114">
        <v>116</v>
      </c>
      <c r="C207" s="115" t="s">
        <v>430</v>
      </c>
      <c r="D207" s="115" t="s">
        <v>431</v>
      </c>
      <c r="E207" s="116" t="s">
        <v>432</v>
      </c>
      <c r="F207" s="143">
        <v>45807</v>
      </c>
      <c r="G207" s="117">
        <v>17525.41</v>
      </c>
      <c r="H207" s="117">
        <v>8762.7099999999991</v>
      </c>
      <c r="I207" s="115" t="s">
        <v>383</v>
      </c>
    </row>
    <row r="208" spans="1:9" ht="25.5" hidden="1" customHeight="1" x14ac:dyDescent="0.25">
      <c r="A208" s="114">
        <v>3646</v>
      </c>
      <c r="B208" s="114">
        <v>116</v>
      </c>
      <c r="C208" s="115" t="s">
        <v>430</v>
      </c>
      <c r="D208" s="115" t="s">
        <v>431</v>
      </c>
      <c r="E208" s="116" t="s">
        <v>432</v>
      </c>
      <c r="F208" s="143">
        <v>45807</v>
      </c>
      <c r="G208" s="117">
        <v>17525.41</v>
      </c>
      <c r="H208" s="117">
        <v>8762.7099999999991</v>
      </c>
      <c r="I208" s="115" t="s">
        <v>383</v>
      </c>
    </row>
    <row r="209" spans="1:9" ht="25.5" hidden="1" customHeight="1" x14ac:dyDescent="0.25">
      <c r="A209" s="114">
        <v>3509</v>
      </c>
      <c r="B209" s="114">
        <v>3</v>
      </c>
      <c r="C209" s="115" t="s">
        <v>384</v>
      </c>
      <c r="D209" s="118" t="s">
        <v>385</v>
      </c>
      <c r="E209" s="116" t="s">
        <v>386</v>
      </c>
      <c r="F209" s="143">
        <v>45810</v>
      </c>
      <c r="G209" s="117">
        <v>87559.5</v>
      </c>
      <c r="H209" s="117">
        <v>82174.61</v>
      </c>
      <c r="I209" s="115" t="s">
        <v>245</v>
      </c>
    </row>
    <row r="210" spans="1:9" ht="25.5" hidden="1" customHeight="1" x14ac:dyDescent="0.25">
      <c r="A210" s="114">
        <v>3539</v>
      </c>
      <c r="B210" s="114">
        <v>3</v>
      </c>
      <c r="C210" s="115" t="s">
        <v>384</v>
      </c>
      <c r="D210" s="118" t="s">
        <v>385</v>
      </c>
      <c r="E210" s="116" t="s">
        <v>386</v>
      </c>
      <c r="F210" s="143">
        <v>45810</v>
      </c>
      <c r="G210" s="117">
        <v>14000</v>
      </c>
      <c r="H210" s="117">
        <v>13139</v>
      </c>
      <c r="I210" s="115" t="s">
        <v>245</v>
      </c>
    </row>
    <row r="211" spans="1:9" ht="25.5" hidden="1" customHeight="1" x14ac:dyDescent="0.25">
      <c r="A211" s="114">
        <v>3776</v>
      </c>
      <c r="B211" s="114">
        <v>130</v>
      </c>
      <c r="C211" s="115" t="s">
        <v>392</v>
      </c>
      <c r="D211" s="118" t="s">
        <v>381</v>
      </c>
      <c r="E211" s="116" t="s">
        <v>393</v>
      </c>
      <c r="F211" s="143">
        <v>45915</v>
      </c>
      <c r="G211" s="117">
        <v>88966.67</v>
      </c>
      <c r="H211" s="117">
        <v>41747.620000000003</v>
      </c>
      <c r="I211" s="115" t="s">
        <v>245</v>
      </c>
    </row>
    <row r="212" spans="1:9" ht="25.5" hidden="1" customHeight="1" x14ac:dyDescent="0.25">
      <c r="A212" s="114">
        <v>3570</v>
      </c>
      <c r="B212" s="114">
        <v>133</v>
      </c>
      <c r="C212" s="115" t="s">
        <v>387</v>
      </c>
      <c r="D212" s="118" t="s">
        <v>381</v>
      </c>
      <c r="E212" s="116" t="s">
        <v>388</v>
      </c>
      <c r="F212" s="143">
        <v>45810</v>
      </c>
      <c r="G212" s="117">
        <v>24500</v>
      </c>
      <c r="H212" s="117">
        <v>22993.25</v>
      </c>
      <c r="I212" s="115" t="s">
        <v>217</v>
      </c>
    </row>
    <row r="213" spans="1:9" ht="25.5" hidden="1" customHeight="1" x14ac:dyDescent="0.25">
      <c r="A213" s="114">
        <v>3614</v>
      </c>
      <c r="B213" s="114">
        <v>140</v>
      </c>
      <c r="C213" s="115" t="s">
        <v>481</v>
      </c>
      <c r="D213" s="86">
        <v>1</v>
      </c>
      <c r="E213" s="122" t="s">
        <v>350</v>
      </c>
      <c r="F213" s="143">
        <v>45810</v>
      </c>
      <c r="G213" s="117">
        <v>30000</v>
      </c>
      <c r="H213" s="117">
        <v>28155</v>
      </c>
      <c r="I213" s="115" t="s">
        <v>383</v>
      </c>
    </row>
    <row r="214" spans="1:9" ht="25.5" hidden="1" customHeight="1" x14ac:dyDescent="0.25">
      <c r="A214" s="114">
        <v>3602</v>
      </c>
      <c r="B214" s="114">
        <v>125</v>
      </c>
      <c r="C214" s="115" t="s">
        <v>482</v>
      </c>
      <c r="D214" s="118" t="s">
        <v>366</v>
      </c>
      <c r="E214" s="116" t="s">
        <v>483</v>
      </c>
      <c r="F214" s="143">
        <v>45811</v>
      </c>
      <c r="G214" s="117">
        <v>40916.67</v>
      </c>
      <c r="H214" s="117">
        <v>38400.31</v>
      </c>
      <c r="I214" s="115" t="s">
        <v>245</v>
      </c>
    </row>
    <row r="215" spans="1:9" ht="25.5" hidden="1" customHeight="1" x14ac:dyDescent="0.25">
      <c r="A215" s="114">
        <v>3606</v>
      </c>
      <c r="B215" s="114">
        <v>87</v>
      </c>
      <c r="C215" s="115" t="s">
        <v>440</v>
      </c>
      <c r="D215" s="118" t="s">
        <v>424</v>
      </c>
      <c r="E215" s="116" t="s">
        <v>441</v>
      </c>
      <c r="F215" s="143">
        <v>45813</v>
      </c>
      <c r="G215" s="117">
        <v>1583.33</v>
      </c>
      <c r="H215" s="117">
        <v>1583.33</v>
      </c>
      <c r="I215" s="115" t="s">
        <v>217</v>
      </c>
    </row>
    <row r="216" spans="1:9" ht="25.5" hidden="1" customHeight="1" x14ac:dyDescent="0.25">
      <c r="A216" s="114">
        <v>3340</v>
      </c>
      <c r="B216" s="114">
        <v>135</v>
      </c>
      <c r="C216" s="115" t="s">
        <v>394</v>
      </c>
      <c r="D216" s="115" t="s">
        <v>381</v>
      </c>
      <c r="E216" s="116" t="s">
        <v>395</v>
      </c>
      <c r="F216" s="143">
        <v>45663</v>
      </c>
      <c r="G216" s="117">
        <v>2500</v>
      </c>
      <c r="H216" s="117">
        <v>2346.25</v>
      </c>
      <c r="I216" s="115" t="s">
        <v>245</v>
      </c>
    </row>
    <row r="217" spans="1:9" ht="25.5" hidden="1" customHeight="1" x14ac:dyDescent="0.25">
      <c r="A217" s="114">
        <v>3630</v>
      </c>
      <c r="B217" s="114">
        <v>142</v>
      </c>
      <c r="C217" s="115" t="s">
        <v>484</v>
      </c>
      <c r="D217" s="118" t="s">
        <v>381</v>
      </c>
      <c r="E217" s="116" t="s">
        <v>485</v>
      </c>
      <c r="F217" s="143">
        <v>45813</v>
      </c>
      <c r="G217" s="117">
        <v>12015.5</v>
      </c>
      <c r="H217" s="117">
        <v>11276.56</v>
      </c>
      <c r="I217" s="115" t="s">
        <v>217</v>
      </c>
    </row>
    <row r="218" spans="1:9" ht="25.5" hidden="1" customHeight="1" x14ac:dyDescent="0.25">
      <c r="A218" s="114">
        <v>3664</v>
      </c>
      <c r="B218" s="114">
        <v>119</v>
      </c>
      <c r="C218" s="115" t="s">
        <v>453</v>
      </c>
      <c r="D218" s="115" t="s">
        <v>381</v>
      </c>
      <c r="E218" s="116" t="s">
        <v>454</v>
      </c>
      <c r="F218" s="143">
        <v>45814</v>
      </c>
      <c r="G218" s="117">
        <v>3002.9</v>
      </c>
      <c r="H218" s="117">
        <v>3002.9</v>
      </c>
      <c r="I218" s="115" t="s">
        <v>383</v>
      </c>
    </row>
    <row r="219" spans="1:9" ht="25.5" hidden="1" customHeight="1" x14ac:dyDescent="0.25">
      <c r="A219" s="114">
        <v>3765</v>
      </c>
      <c r="B219" s="114">
        <v>114</v>
      </c>
      <c r="C219" s="115" t="s">
        <v>411</v>
      </c>
      <c r="D219" s="118" t="s">
        <v>381</v>
      </c>
      <c r="E219" s="116" t="s">
        <v>412</v>
      </c>
      <c r="F219" s="143">
        <v>45901</v>
      </c>
      <c r="G219" s="117">
        <v>12570.97</v>
      </c>
      <c r="H219" s="117">
        <v>5898.94</v>
      </c>
      <c r="I219" s="115" t="s">
        <v>217</v>
      </c>
    </row>
    <row r="220" spans="1:9" ht="25.5" hidden="1" customHeight="1" x14ac:dyDescent="0.25">
      <c r="A220" s="114">
        <v>3766</v>
      </c>
      <c r="B220" s="114">
        <v>114</v>
      </c>
      <c r="C220" s="115" t="s">
        <v>504</v>
      </c>
      <c r="D220" s="118" t="s">
        <v>424</v>
      </c>
      <c r="E220" s="116" t="s">
        <v>452</v>
      </c>
      <c r="F220" s="143">
        <v>45931</v>
      </c>
      <c r="G220" s="117">
        <v>12570.97</v>
      </c>
      <c r="H220" s="117">
        <v>5898.94</v>
      </c>
      <c r="I220" s="115" t="s">
        <v>217</v>
      </c>
    </row>
    <row r="221" spans="1:9" ht="25.5" hidden="1" customHeight="1" x14ac:dyDescent="0.25">
      <c r="A221" s="114">
        <v>3616</v>
      </c>
      <c r="B221" s="114">
        <v>61</v>
      </c>
      <c r="C221" s="115" t="s">
        <v>398</v>
      </c>
      <c r="D221" s="118" t="s">
        <v>407</v>
      </c>
      <c r="E221" s="116" t="s">
        <v>408</v>
      </c>
      <c r="F221" s="143">
        <v>45819</v>
      </c>
      <c r="G221" s="117">
        <v>30000</v>
      </c>
      <c r="H221" s="117">
        <v>14077.5</v>
      </c>
      <c r="I221" s="115" t="s">
        <v>217</v>
      </c>
    </row>
    <row r="222" spans="1:9" ht="25.5" hidden="1" customHeight="1" x14ac:dyDescent="0.25">
      <c r="A222" s="114">
        <v>3762</v>
      </c>
      <c r="B222" s="114">
        <v>114</v>
      </c>
      <c r="C222" s="115" t="s">
        <v>504</v>
      </c>
      <c r="D222" s="118" t="s">
        <v>381</v>
      </c>
      <c r="E222" s="116" t="s">
        <v>412</v>
      </c>
      <c r="F222" s="143">
        <v>45931</v>
      </c>
      <c r="G222" s="117">
        <v>49693.33</v>
      </c>
      <c r="H222" s="117">
        <v>23318.63</v>
      </c>
      <c r="I222" s="115" t="s">
        <v>217</v>
      </c>
    </row>
    <row r="223" spans="1:9" ht="25.5" hidden="1" customHeight="1" x14ac:dyDescent="0.25">
      <c r="A223" s="114">
        <v>3596</v>
      </c>
      <c r="B223" s="114">
        <v>6</v>
      </c>
      <c r="C223" s="115" t="s">
        <v>421</v>
      </c>
      <c r="D223" s="115"/>
      <c r="E223" s="116" t="s">
        <v>422</v>
      </c>
      <c r="F223" s="143">
        <v>45820</v>
      </c>
      <c r="G223" s="117">
        <v>4068</v>
      </c>
      <c r="H223" s="117">
        <v>3817.82</v>
      </c>
      <c r="I223" s="115" t="s">
        <v>383</v>
      </c>
    </row>
    <row r="224" spans="1:9" ht="25.5" hidden="1" customHeight="1" x14ac:dyDescent="0.25">
      <c r="A224" s="114">
        <v>3619</v>
      </c>
      <c r="B224" s="114">
        <v>5</v>
      </c>
      <c r="C224" s="115" t="s">
        <v>380</v>
      </c>
      <c r="D224" s="115" t="s">
        <v>366</v>
      </c>
      <c r="E224" s="116" t="s">
        <v>389</v>
      </c>
      <c r="F224" s="143">
        <v>45821</v>
      </c>
      <c r="G224" s="117">
        <v>500</v>
      </c>
      <c r="H224" s="117">
        <v>469.25</v>
      </c>
      <c r="I224" s="115" t="s">
        <v>383</v>
      </c>
    </row>
    <row r="225" spans="1:9" ht="25.5" hidden="1" customHeight="1" x14ac:dyDescent="0.25">
      <c r="A225" s="114">
        <v>3640</v>
      </c>
      <c r="B225" s="114">
        <v>5</v>
      </c>
      <c r="C225" s="115" t="s">
        <v>380</v>
      </c>
      <c r="D225" s="86">
        <v>1</v>
      </c>
      <c r="E225" s="122" t="s">
        <v>339</v>
      </c>
      <c r="F225" s="143">
        <v>45821</v>
      </c>
      <c r="G225" s="117">
        <v>525</v>
      </c>
      <c r="H225" s="117">
        <v>492.72</v>
      </c>
      <c r="I225" s="115" t="s">
        <v>383</v>
      </c>
    </row>
    <row r="226" spans="1:9" ht="25.5" hidden="1" customHeight="1" x14ac:dyDescent="0.25">
      <c r="A226" s="114">
        <v>3641</v>
      </c>
      <c r="B226" s="114">
        <v>5</v>
      </c>
      <c r="C226" s="115" t="s">
        <v>380</v>
      </c>
      <c r="D226" s="118" t="s">
        <v>474</v>
      </c>
      <c r="E226" s="123" t="s">
        <v>475</v>
      </c>
      <c r="F226" s="143">
        <v>45821</v>
      </c>
      <c r="G226" s="117">
        <v>525</v>
      </c>
      <c r="H226" s="117">
        <v>492.72</v>
      </c>
      <c r="I226" s="115" t="s">
        <v>383</v>
      </c>
    </row>
    <row r="227" spans="1:9" ht="25.5" hidden="1" customHeight="1" x14ac:dyDescent="0.25">
      <c r="A227" s="114">
        <v>3416</v>
      </c>
      <c r="B227" s="114">
        <v>135</v>
      </c>
      <c r="C227" s="115" t="s">
        <v>394</v>
      </c>
      <c r="D227" s="115" t="s">
        <v>381</v>
      </c>
      <c r="E227" s="116" t="s">
        <v>395</v>
      </c>
      <c r="F227" s="143">
        <v>45721</v>
      </c>
      <c r="G227" s="117">
        <v>12500</v>
      </c>
      <c r="H227" s="117">
        <v>11731.25</v>
      </c>
      <c r="I227" s="115" t="s">
        <v>245</v>
      </c>
    </row>
    <row r="228" spans="1:9" ht="25.5" hidden="1" customHeight="1" x14ac:dyDescent="0.25">
      <c r="A228" s="114">
        <v>3617</v>
      </c>
      <c r="B228" s="114">
        <v>97</v>
      </c>
      <c r="C228" s="115" t="s">
        <v>396</v>
      </c>
      <c r="D228" s="118" t="s">
        <v>381</v>
      </c>
      <c r="E228" s="116" t="s">
        <v>397</v>
      </c>
      <c r="F228" s="143">
        <v>45821</v>
      </c>
      <c r="G228" s="117">
        <v>4600</v>
      </c>
      <c r="H228" s="117">
        <v>4317.1000000000004</v>
      </c>
      <c r="I228" s="115" t="s">
        <v>245</v>
      </c>
    </row>
    <row r="229" spans="1:9" ht="25.5" hidden="1" customHeight="1" x14ac:dyDescent="0.25">
      <c r="A229" s="114">
        <v>3632</v>
      </c>
      <c r="B229" s="114">
        <v>61</v>
      </c>
      <c r="C229" s="115" t="s">
        <v>398</v>
      </c>
      <c r="D229" s="118" t="s">
        <v>399</v>
      </c>
      <c r="E229" s="116" t="s">
        <v>400</v>
      </c>
      <c r="F229" s="143">
        <v>45824</v>
      </c>
      <c r="G229" s="117">
        <v>25379.040000000001</v>
      </c>
      <c r="H229" s="117">
        <v>23818.240000000002</v>
      </c>
      <c r="I229" s="115" t="s">
        <v>217</v>
      </c>
    </row>
    <row r="230" spans="1:9" ht="25.5" hidden="1" customHeight="1" x14ac:dyDescent="0.25">
      <c r="A230" s="114">
        <v>3631</v>
      </c>
      <c r="B230" s="114">
        <v>61</v>
      </c>
      <c r="C230" s="115" t="s">
        <v>398</v>
      </c>
      <c r="D230" s="118" t="s">
        <v>401</v>
      </c>
      <c r="E230" s="116" t="s">
        <v>324</v>
      </c>
      <c r="F230" s="143">
        <v>45824</v>
      </c>
      <c r="G230" s="117">
        <v>19042.23</v>
      </c>
      <c r="H230" s="117">
        <v>17871.150000000001</v>
      </c>
      <c r="I230" s="115" t="s">
        <v>217</v>
      </c>
    </row>
    <row r="231" spans="1:9" ht="25.5" hidden="1" customHeight="1" x14ac:dyDescent="0.25">
      <c r="A231" s="114">
        <v>3777</v>
      </c>
      <c r="B231" s="114">
        <v>130</v>
      </c>
      <c r="C231" s="115" t="s">
        <v>392</v>
      </c>
      <c r="D231" s="118" t="s">
        <v>381</v>
      </c>
      <c r="E231" s="116" t="s">
        <v>393</v>
      </c>
      <c r="F231" s="143">
        <v>45915</v>
      </c>
      <c r="G231" s="117">
        <v>88966.67</v>
      </c>
      <c r="H231" s="117">
        <v>41747.620000000003</v>
      </c>
      <c r="I231" s="115" t="s">
        <v>245</v>
      </c>
    </row>
    <row r="232" spans="1:9" ht="25.5" hidden="1" customHeight="1" x14ac:dyDescent="0.25">
      <c r="A232" s="114">
        <v>3432</v>
      </c>
      <c r="B232" s="114">
        <v>135</v>
      </c>
      <c r="C232" s="115" t="s">
        <v>394</v>
      </c>
      <c r="D232" s="115" t="s">
        <v>381</v>
      </c>
      <c r="E232" s="116" t="s">
        <v>395</v>
      </c>
      <c r="F232" s="143">
        <v>45754</v>
      </c>
      <c r="G232" s="117">
        <v>12500</v>
      </c>
      <c r="H232" s="117">
        <v>11731.25</v>
      </c>
      <c r="I232" s="115" t="s">
        <v>245</v>
      </c>
    </row>
    <row r="233" spans="1:9" ht="25.5" hidden="1" customHeight="1" x14ac:dyDescent="0.25">
      <c r="A233" s="114">
        <v>3546</v>
      </c>
      <c r="B233" s="114">
        <v>135</v>
      </c>
      <c r="C233" s="115" t="s">
        <v>394</v>
      </c>
      <c r="D233" s="115" t="s">
        <v>381</v>
      </c>
      <c r="E233" s="116" t="s">
        <v>395</v>
      </c>
      <c r="F233" s="143">
        <v>45785</v>
      </c>
      <c r="G233" s="117">
        <v>12500</v>
      </c>
      <c r="H233" s="117">
        <v>11731.25</v>
      </c>
      <c r="I233" s="115" t="s">
        <v>245</v>
      </c>
    </row>
    <row r="234" spans="1:9" ht="25.5" hidden="1" customHeight="1" x14ac:dyDescent="0.25">
      <c r="A234" s="114">
        <v>3868</v>
      </c>
      <c r="B234" s="114">
        <v>114</v>
      </c>
      <c r="C234" s="115" t="s">
        <v>504</v>
      </c>
      <c r="D234" s="118" t="s">
        <v>381</v>
      </c>
      <c r="E234" s="116" t="s">
        <v>412</v>
      </c>
      <c r="F234" s="143">
        <v>45980</v>
      </c>
      <c r="G234" s="117">
        <v>12570.97</v>
      </c>
      <c r="H234" s="117">
        <v>5898.95</v>
      </c>
      <c r="I234" s="115" t="s">
        <v>217</v>
      </c>
    </row>
    <row r="235" spans="1:9" ht="25.5" hidden="1" customHeight="1" x14ac:dyDescent="0.25">
      <c r="A235" s="114">
        <v>3668</v>
      </c>
      <c r="B235" s="114">
        <v>20</v>
      </c>
      <c r="C235" s="115" t="s">
        <v>438</v>
      </c>
      <c r="D235" s="118" t="s">
        <v>424</v>
      </c>
      <c r="E235" s="116" t="s">
        <v>439</v>
      </c>
      <c r="F235" s="143">
        <v>45831</v>
      </c>
      <c r="G235" s="117">
        <v>50</v>
      </c>
      <c r="H235" s="117">
        <v>50</v>
      </c>
      <c r="I235" s="115" t="s">
        <v>217</v>
      </c>
    </row>
    <row r="236" spans="1:9" ht="25.5" hidden="1" customHeight="1" x14ac:dyDescent="0.25">
      <c r="A236" s="114">
        <v>3677</v>
      </c>
      <c r="B236" s="114">
        <v>28</v>
      </c>
      <c r="C236" s="115" t="s">
        <v>415</v>
      </c>
      <c r="D236" s="118" t="s">
        <v>416</v>
      </c>
      <c r="E236" s="116" t="s">
        <v>417</v>
      </c>
      <c r="F236" s="143">
        <v>45831</v>
      </c>
      <c r="G236" s="117">
        <v>2185</v>
      </c>
      <c r="H236" s="117">
        <v>2185</v>
      </c>
      <c r="I236" s="115" t="s">
        <v>383</v>
      </c>
    </row>
    <row r="237" spans="1:9" ht="25.5" hidden="1" customHeight="1" x14ac:dyDescent="0.25">
      <c r="A237" s="114">
        <v>3678</v>
      </c>
      <c r="B237" s="114">
        <v>28</v>
      </c>
      <c r="C237" s="115" t="s">
        <v>415</v>
      </c>
      <c r="D237" s="118" t="s">
        <v>401</v>
      </c>
      <c r="E237" s="116" t="s">
        <v>418</v>
      </c>
      <c r="F237" s="143">
        <v>45831</v>
      </c>
      <c r="G237" s="117">
        <v>290</v>
      </c>
      <c r="H237" s="117">
        <v>290</v>
      </c>
      <c r="I237" s="115" t="s">
        <v>383</v>
      </c>
    </row>
    <row r="238" spans="1:9" ht="25.5" hidden="1" customHeight="1" x14ac:dyDescent="0.25">
      <c r="A238" s="114">
        <v>3665</v>
      </c>
      <c r="B238" s="114">
        <v>28</v>
      </c>
      <c r="C238" s="115" t="s">
        <v>415</v>
      </c>
      <c r="D238" s="118" t="s">
        <v>399</v>
      </c>
      <c r="E238" s="116" t="s">
        <v>480</v>
      </c>
      <c r="F238" s="143">
        <v>45831</v>
      </c>
      <c r="G238" s="117">
        <v>44884.27</v>
      </c>
      <c r="H238" s="117">
        <v>44884.27</v>
      </c>
      <c r="I238" s="115" t="s">
        <v>383</v>
      </c>
    </row>
    <row r="239" spans="1:9" ht="25.5" hidden="1" customHeight="1" x14ac:dyDescent="0.25">
      <c r="A239" s="114">
        <v>3679</v>
      </c>
      <c r="B239" s="114">
        <v>64</v>
      </c>
      <c r="C239" s="115" t="s">
        <v>446</v>
      </c>
      <c r="D239" s="115"/>
      <c r="E239" s="123" t="s">
        <v>476</v>
      </c>
      <c r="F239" s="143">
        <v>45831</v>
      </c>
      <c r="G239" s="117">
        <v>580</v>
      </c>
      <c r="H239" s="117">
        <v>544.33000000000004</v>
      </c>
      <c r="I239" s="115" t="s">
        <v>383</v>
      </c>
    </row>
    <row r="240" spans="1:9" ht="25.5" hidden="1" customHeight="1" x14ac:dyDescent="0.25">
      <c r="A240" s="114">
        <v>3867</v>
      </c>
      <c r="B240" s="114">
        <v>114</v>
      </c>
      <c r="C240" s="115" t="s">
        <v>504</v>
      </c>
      <c r="D240" s="118" t="s">
        <v>381</v>
      </c>
      <c r="E240" s="116" t="s">
        <v>412</v>
      </c>
      <c r="F240" s="143">
        <v>45992</v>
      </c>
      <c r="G240" s="464">
        <v>12570.97</v>
      </c>
      <c r="H240" s="464">
        <v>5898.95</v>
      </c>
      <c r="I240" s="115" t="s">
        <v>217</v>
      </c>
    </row>
    <row r="241" spans="1:9" ht="25.5" hidden="1" customHeight="1" x14ac:dyDescent="0.25">
      <c r="A241" s="114">
        <v>3498</v>
      </c>
      <c r="B241" s="114">
        <v>135</v>
      </c>
      <c r="C241" s="115" t="s">
        <v>394</v>
      </c>
      <c r="D241" s="115" t="s">
        <v>381</v>
      </c>
      <c r="E241" s="116" t="s">
        <v>395</v>
      </c>
      <c r="F241" s="143">
        <v>45785</v>
      </c>
      <c r="G241" s="117">
        <v>12500</v>
      </c>
      <c r="H241" s="117">
        <v>11731.25</v>
      </c>
      <c r="I241" s="115" t="s">
        <v>245</v>
      </c>
    </row>
    <row r="242" spans="1:9" ht="25.5" hidden="1" customHeight="1" x14ac:dyDescent="0.25">
      <c r="A242" s="114">
        <v>3636</v>
      </c>
      <c r="B242" s="114">
        <v>139</v>
      </c>
      <c r="C242" s="115" t="s">
        <v>465</v>
      </c>
      <c r="D242" s="118" t="s">
        <v>424</v>
      </c>
      <c r="E242" s="116" t="s">
        <v>479</v>
      </c>
      <c r="F242" s="143">
        <v>45831</v>
      </c>
      <c r="G242" s="117">
        <v>10000</v>
      </c>
      <c r="H242" s="117">
        <v>938.5</v>
      </c>
      <c r="I242" s="115" t="s">
        <v>217</v>
      </c>
    </row>
    <row r="243" spans="1:9" ht="25.5" hidden="1" customHeight="1" x14ac:dyDescent="0.25">
      <c r="A243" s="114">
        <v>3887</v>
      </c>
      <c r="B243" s="114">
        <v>114</v>
      </c>
      <c r="C243" s="115" t="s">
        <v>504</v>
      </c>
      <c r="D243" s="118" t="s">
        <v>381</v>
      </c>
      <c r="E243" s="116" t="s">
        <v>412</v>
      </c>
      <c r="F243" s="143">
        <v>45992</v>
      </c>
      <c r="G243" s="464">
        <v>12570.97</v>
      </c>
      <c r="H243" s="464">
        <v>5898.95</v>
      </c>
      <c r="I243" s="115" t="s">
        <v>217</v>
      </c>
    </row>
    <row r="244" spans="1:9" ht="25.5" hidden="1" customHeight="1" x14ac:dyDescent="0.25">
      <c r="A244" s="114">
        <v>3568</v>
      </c>
      <c r="B244" s="114">
        <v>141</v>
      </c>
      <c r="C244" s="115" t="s">
        <v>486</v>
      </c>
      <c r="D244" s="115" t="s">
        <v>381</v>
      </c>
      <c r="E244" s="116" t="s">
        <v>487</v>
      </c>
      <c r="F244" s="143">
        <v>45833</v>
      </c>
      <c r="G244" s="117">
        <v>6000</v>
      </c>
      <c r="H244" s="117">
        <v>5631</v>
      </c>
      <c r="I244" s="115" t="s">
        <v>217</v>
      </c>
    </row>
    <row r="245" spans="1:9" ht="25.5" hidden="1" customHeight="1" x14ac:dyDescent="0.25">
      <c r="A245" s="114">
        <v>3799</v>
      </c>
      <c r="B245" s="114">
        <v>130</v>
      </c>
      <c r="C245" s="115" t="s">
        <v>392</v>
      </c>
      <c r="D245" s="118" t="s">
        <v>381</v>
      </c>
      <c r="E245" s="116" t="s">
        <v>393</v>
      </c>
      <c r="F245" s="143">
        <v>45931</v>
      </c>
      <c r="G245" s="117">
        <v>59050</v>
      </c>
      <c r="H245" s="117">
        <v>27709.22</v>
      </c>
      <c r="I245" s="115" t="s">
        <v>245</v>
      </c>
    </row>
    <row r="246" spans="1:9" ht="25.5" hidden="1" customHeight="1" x14ac:dyDescent="0.25">
      <c r="A246" s="114">
        <v>3681</v>
      </c>
      <c r="B246" s="114">
        <v>142</v>
      </c>
      <c r="C246" s="115" t="s">
        <v>484</v>
      </c>
      <c r="D246" s="118" t="s">
        <v>381</v>
      </c>
      <c r="E246" s="116" t="s">
        <v>485</v>
      </c>
      <c r="F246" s="143">
        <v>45834</v>
      </c>
      <c r="G246" s="117">
        <v>4948.42</v>
      </c>
      <c r="H246" s="117">
        <v>4644.1099999999997</v>
      </c>
      <c r="I246" s="115" t="s">
        <v>217</v>
      </c>
    </row>
    <row r="247" spans="1:9" ht="25.5" hidden="1" customHeight="1" x14ac:dyDescent="0.25">
      <c r="A247" s="114">
        <v>3890</v>
      </c>
      <c r="B247" s="114">
        <v>114</v>
      </c>
      <c r="C247" s="115" t="s">
        <v>504</v>
      </c>
      <c r="D247" s="118" t="s">
        <v>381</v>
      </c>
      <c r="E247" s="116" t="s">
        <v>412</v>
      </c>
      <c r="F247" s="143">
        <v>45992</v>
      </c>
      <c r="G247" s="464">
        <v>12570.97</v>
      </c>
      <c r="H247" s="464">
        <v>5898.95</v>
      </c>
      <c r="I247" s="115" t="s">
        <v>217</v>
      </c>
    </row>
    <row r="248" spans="1:9" ht="25.5" hidden="1" customHeight="1" x14ac:dyDescent="0.25">
      <c r="A248" s="114">
        <v>3800</v>
      </c>
      <c r="B248" s="114">
        <v>130</v>
      </c>
      <c r="C248" s="115" t="s">
        <v>505</v>
      </c>
      <c r="D248" s="118" t="s">
        <v>381</v>
      </c>
      <c r="E248" s="116" t="s">
        <v>393</v>
      </c>
      <c r="F248" s="143">
        <v>45931</v>
      </c>
      <c r="G248" s="117">
        <v>59050</v>
      </c>
      <c r="H248" s="117">
        <v>27709.22</v>
      </c>
      <c r="I248" s="115" t="s">
        <v>245</v>
      </c>
    </row>
    <row r="249" spans="1:9" ht="25.5" hidden="1" customHeight="1" x14ac:dyDescent="0.25">
      <c r="A249" s="114">
        <v>3575</v>
      </c>
      <c r="B249" s="114">
        <v>3</v>
      </c>
      <c r="C249" s="115" t="s">
        <v>384</v>
      </c>
      <c r="D249" s="118" t="s">
        <v>385</v>
      </c>
      <c r="E249" s="116" t="s">
        <v>386</v>
      </c>
      <c r="F249" s="143">
        <v>45839</v>
      </c>
      <c r="G249" s="117">
        <v>57529.5</v>
      </c>
      <c r="H249" s="117">
        <v>53991.45</v>
      </c>
      <c r="I249" s="115" t="s">
        <v>245</v>
      </c>
    </row>
    <row r="250" spans="1:9" ht="25.5" hidden="1" customHeight="1" x14ac:dyDescent="0.25">
      <c r="A250" s="114">
        <v>3615</v>
      </c>
      <c r="B250" s="114">
        <v>61</v>
      </c>
      <c r="C250" s="115" t="s">
        <v>398</v>
      </c>
      <c r="D250" s="118" t="s">
        <v>407</v>
      </c>
      <c r="E250" s="116" t="s">
        <v>408</v>
      </c>
      <c r="F250" s="143">
        <v>45845</v>
      </c>
      <c r="G250" s="117">
        <v>30000</v>
      </c>
      <c r="H250" s="117">
        <v>14077.5</v>
      </c>
      <c r="I250" s="115" t="s">
        <v>217</v>
      </c>
    </row>
    <row r="251" spans="1:9" ht="25.5" hidden="1" customHeight="1" x14ac:dyDescent="0.25">
      <c r="A251" s="114">
        <v>3547</v>
      </c>
      <c r="B251" s="114">
        <v>135</v>
      </c>
      <c r="C251" s="115" t="s">
        <v>394</v>
      </c>
      <c r="D251" s="118" t="s">
        <v>424</v>
      </c>
      <c r="E251" s="116" t="s">
        <v>471</v>
      </c>
      <c r="F251" s="143">
        <v>45785</v>
      </c>
      <c r="G251" s="117">
        <v>4200</v>
      </c>
      <c r="H251" s="117">
        <v>3941.7</v>
      </c>
      <c r="I251" s="115" t="s">
        <v>245</v>
      </c>
    </row>
    <row r="252" spans="1:9" ht="25.5" hidden="1" customHeight="1" x14ac:dyDescent="0.25">
      <c r="A252" s="114">
        <v>3506</v>
      </c>
      <c r="B252" s="114">
        <v>141</v>
      </c>
      <c r="C252" s="115" t="s">
        <v>486</v>
      </c>
      <c r="D252" s="115" t="s">
        <v>381</v>
      </c>
      <c r="E252" s="116" t="s">
        <v>487</v>
      </c>
      <c r="F252" s="143">
        <v>45845</v>
      </c>
      <c r="G252" s="117">
        <v>6000</v>
      </c>
      <c r="H252" s="117">
        <v>5631</v>
      </c>
      <c r="I252" s="115" t="s">
        <v>217</v>
      </c>
    </row>
    <row r="253" spans="1:9" ht="25.5" hidden="1" customHeight="1" x14ac:dyDescent="0.25">
      <c r="A253" s="114">
        <v>3635</v>
      </c>
      <c r="B253" s="114">
        <v>2</v>
      </c>
      <c r="C253" s="115" t="s">
        <v>390</v>
      </c>
      <c r="D253" s="115"/>
      <c r="E253" s="123" t="s">
        <v>433</v>
      </c>
      <c r="F253" s="143">
        <v>45846</v>
      </c>
      <c r="G253" s="117">
        <v>1982.56</v>
      </c>
      <c r="H253" s="117">
        <v>1860.66</v>
      </c>
      <c r="I253" s="115" t="s">
        <v>383</v>
      </c>
    </row>
    <row r="254" spans="1:9" ht="25.5" hidden="1" customHeight="1" x14ac:dyDescent="0.25">
      <c r="A254" s="114">
        <v>3652</v>
      </c>
      <c r="B254" s="114">
        <v>87</v>
      </c>
      <c r="C254" s="115" t="s">
        <v>440</v>
      </c>
      <c r="D254" s="118" t="s">
        <v>366</v>
      </c>
      <c r="E254" s="116" t="s">
        <v>457</v>
      </c>
      <c r="F254" s="143">
        <v>45846</v>
      </c>
      <c r="G254" s="117">
        <v>1925</v>
      </c>
      <c r="H254" s="117">
        <v>1925</v>
      </c>
      <c r="I254" s="115" t="s">
        <v>217</v>
      </c>
    </row>
    <row r="255" spans="1:9" ht="25.5" customHeight="1" x14ac:dyDescent="0.25">
      <c r="A255" s="114">
        <v>3934</v>
      </c>
      <c r="B255" s="114">
        <v>61</v>
      </c>
      <c r="C255" s="115" t="s">
        <v>398</v>
      </c>
      <c r="D255" s="118" t="s">
        <v>407</v>
      </c>
      <c r="E255" s="116" t="s">
        <v>408</v>
      </c>
      <c r="F255" s="143">
        <v>46033</v>
      </c>
      <c r="G255" s="117">
        <v>30000</v>
      </c>
      <c r="H255" s="117">
        <v>14077.5</v>
      </c>
      <c r="I255" s="115" t="s">
        <v>217</v>
      </c>
    </row>
    <row r="256" spans="1:9" ht="25.5" customHeight="1" x14ac:dyDescent="0.25">
      <c r="A256" s="114">
        <v>3946</v>
      </c>
      <c r="B256" s="114">
        <v>7</v>
      </c>
      <c r="C256" s="115" t="s">
        <v>460</v>
      </c>
      <c r="D256" s="118" t="s">
        <v>407</v>
      </c>
      <c r="E256" s="116" t="s">
        <v>519</v>
      </c>
      <c r="F256" s="143">
        <v>46034</v>
      </c>
      <c r="G256" s="117">
        <v>4860.5</v>
      </c>
      <c r="H256" s="117">
        <v>4561.59</v>
      </c>
      <c r="I256" s="115" t="s">
        <v>217</v>
      </c>
    </row>
    <row r="257" spans="1:9" ht="25.5" hidden="1" customHeight="1" x14ac:dyDescent="0.25">
      <c r="A257" s="114">
        <v>3655</v>
      </c>
      <c r="B257" s="114">
        <v>97</v>
      </c>
      <c r="C257" s="115" t="s">
        <v>396</v>
      </c>
      <c r="D257" s="118" t="s">
        <v>381</v>
      </c>
      <c r="E257" s="116" t="s">
        <v>397</v>
      </c>
      <c r="F257" s="143">
        <v>45849</v>
      </c>
      <c r="G257" s="117">
        <v>6500</v>
      </c>
      <c r="H257" s="117">
        <v>6100.25</v>
      </c>
      <c r="I257" s="115" t="s">
        <v>245</v>
      </c>
    </row>
    <row r="258" spans="1:9" ht="25.5" hidden="1" customHeight="1" x14ac:dyDescent="0.25">
      <c r="A258" s="114">
        <v>3648</v>
      </c>
      <c r="B258" s="114">
        <v>6</v>
      </c>
      <c r="C258" s="115" t="s">
        <v>421</v>
      </c>
      <c r="D258" s="115"/>
      <c r="E258" s="116" t="s">
        <v>422</v>
      </c>
      <c r="F258" s="143">
        <v>45852</v>
      </c>
      <c r="G258" s="117">
        <v>4068</v>
      </c>
      <c r="H258" s="117">
        <v>3817.82</v>
      </c>
      <c r="I258" s="115" t="s">
        <v>383</v>
      </c>
    </row>
    <row r="259" spans="1:9" ht="25.5" hidden="1" customHeight="1" x14ac:dyDescent="0.25">
      <c r="A259" s="114">
        <v>3598</v>
      </c>
      <c r="B259" s="114">
        <v>135</v>
      </c>
      <c r="C259" s="115" t="s">
        <v>394</v>
      </c>
      <c r="D259" s="115" t="s">
        <v>381</v>
      </c>
      <c r="E259" s="116" t="s">
        <v>395</v>
      </c>
      <c r="F259" s="143">
        <v>45813</v>
      </c>
      <c r="G259" s="117">
        <v>12500</v>
      </c>
      <c r="H259" s="117">
        <v>11731.25</v>
      </c>
      <c r="I259" s="115" t="s">
        <v>245</v>
      </c>
    </row>
    <row r="260" spans="1:9" ht="25.5" hidden="1" customHeight="1" x14ac:dyDescent="0.25">
      <c r="A260" s="114">
        <v>3666</v>
      </c>
      <c r="B260" s="114">
        <v>5</v>
      </c>
      <c r="C260" s="115" t="s">
        <v>380</v>
      </c>
      <c r="D260" s="115" t="s">
        <v>366</v>
      </c>
      <c r="E260" s="116" t="s">
        <v>389</v>
      </c>
      <c r="F260" s="143">
        <v>45853</v>
      </c>
      <c r="G260" s="117">
        <v>500</v>
      </c>
      <c r="H260" s="117">
        <v>469.25</v>
      </c>
      <c r="I260" s="115" t="s">
        <v>383</v>
      </c>
    </row>
    <row r="261" spans="1:9" ht="25.5" hidden="1" customHeight="1" x14ac:dyDescent="0.25">
      <c r="A261" s="114">
        <v>3690</v>
      </c>
      <c r="B261" s="114">
        <v>5</v>
      </c>
      <c r="C261" s="115" t="s">
        <v>380</v>
      </c>
      <c r="D261" s="86">
        <v>1</v>
      </c>
      <c r="E261" s="122" t="s">
        <v>339</v>
      </c>
      <c r="F261" s="143">
        <v>45853</v>
      </c>
      <c r="G261" s="117">
        <v>525</v>
      </c>
      <c r="H261" s="117">
        <v>492.72</v>
      </c>
      <c r="I261" s="115" t="s">
        <v>383</v>
      </c>
    </row>
    <row r="262" spans="1:9" ht="25.5" hidden="1" customHeight="1" x14ac:dyDescent="0.25">
      <c r="A262" s="114">
        <v>3719</v>
      </c>
      <c r="B262" s="114">
        <v>28</v>
      </c>
      <c r="C262" s="115" t="s">
        <v>415</v>
      </c>
      <c r="D262" s="118" t="s">
        <v>399</v>
      </c>
      <c r="E262" s="116" t="s">
        <v>480</v>
      </c>
      <c r="F262" s="143">
        <v>45854</v>
      </c>
      <c r="G262" s="117">
        <v>2208.81</v>
      </c>
      <c r="H262" s="117">
        <v>2208.81</v>
      </c>
      <c r="I262" s="115" t="s">
        <v>383</v>
      </c>
    </row>
    <row r="263" spans="1:9" ht="25.5" hidden="1" customHeight="1" x14ac:dyDescent="0.25">
      <c r="A263" s="114">
        <v>3676</v>
      </c>
      <c r="B263" s="114">
        <v>61</v>
      </c>
      <c r="C263" s="115" t="s">
        <v>398</v>
      </c>
      <c r="D263" s="118" t="s">
        <v>405</v>
      </c>
      <c r="E263" s="116" t="s">
        <v>406</v>
      </c>
      <c r="F263" s="143">
        <v>45854</v>
      </c>
      <c r="G263" s="117">
        <v>4740.78</v>
      </c>
      <c r="H263" s="117">
        <v>4449.24</v>
      </c>
      <c r="I263" s="115" t="s">
        <v>217</v>
      </c>
    </row>
    <row r="264" spans="1:9" ht="25.5" hidden="1" customHeight="1" x14ac:dyDescent="0.25">
      <c r="A264" s="114">
        <v>3671</v>
      </c>
      <c r="B264" s="114">
        <v>61</v>
      </c>
      <c r="C264" s="115" t="s">
        <v>398</v>
      </c>
      <c r="D264" s="118" t="s">
        <v>407</v>
      </c>
      <c r="E264" s="116" t="s">
        <v>408</v>
      </c>
      <c r="F264" s="143">
        <v>45854</v>
      </c>
      <c r="G264" s="117">
        <v>30000</v>
      </c>
      <c r="H264" s="117">
        <v>14077.5</v>
      </c>
      <c r="I264" s="115" t="s">
        <v>217</v>
      </c>
    </row>
    <row r="265" spans="1:9" ht="25.5" customHeight="1" x14ac:dyDescent="0.25">
      <c r="A265" s="114">
        <v>3947</v>
      </c>
      <c r="B265" s="114">
        <v>61</v>
      </c>
      <c r="C265" s="115" t="s">
        <v>398</v>
      </c>
      <c r="D265" s="118" t="s">
        <v>401</v>
      </c>
      <c r="E265" s="116" t="s">
        <v>400</v>
      </c>
      <c r="F265" s="143">
        <v>46035</v>
      </c>
      <c r="G265" s="117">
        <v>23419.69</v>
      </c>
      <c r="H265" s="117">
        <v>21979.4</v>
      </c>
      <c r="I265" s="115" t="s">
        <v>217</v>
      </c>
    </row>
    <row r="266" spans="1:9" ht="25.5" hidden="1" customHeight="1" x14ac:dyDescent="0.25">
      <c r="A266" s="114">
        <v>3724</v>
      </c>
      <c r="B266" s="114">
        <v>28</v>
      </c>
      <c r="C266" s="115" t="s">
        <v>415</v>
      </c>
      <c r="D266" s="118" t="s">
        <v>416</v>
      </c>
      <c r="E266" s="116" t="s">
        <v>417</v>
      </c>
      <c r="F266" s="143">
        <v>45855</v>
      </c>
      <c r="G266" s="117">
        <v>3080</v>
      </c>
      <c r="H266" s="117">
        <v>3080</v>
      </c>
      <c r="I266" s="115" t="s">
        <v>383</v>
      </c>
    </row>
    <row r="267" spans="1:9" ht="25.5" hidden="1" customHeight="1" x14ac:dyDescent="0.25">
      <c r="A267" s="114">
        <v>3725</v>
      </c>
      <c r="B267" s="114">
        <v>28</v>
      </c>
      <c r="C267" s="115" t="s">
        <v>415</v>
      </c>
      <c r="D267" s="118" t="s">
        <v>401</v>
      </c>
      <c r="E267" s="116" t="s">
        <v>418</v>
      </c>
      <c r="F267" s="143">
        <v>45855</v>
      </c>
      <c r="G267" s="117">
        <v>193.33</v>
      </c>
      <c r="H267" s="117">
        <v>193.33</v>
      </c>
      <c r="I267" s="115" t="s">
        <v>383</v>
      </c>
    </row>
    <row r="268" spans="1:9" ht="25.5" hidden="1" customHeight="1" x14ac:dyDescent="0.25">
      <c r="A268" s="114">
        <v>3723</v>
      </c>
      <c r="B268" s="114">
        <v>64</v>
      </c>
      <c r="C268" s="115" t="s">
        <v>446</v>
      </c>
      <c r="D268" s="115"/>
      <c r="E268" s="123" t="s">
        <v>476</v>
      </c>
      <c r="F268" s="143">
        <v>45855</v>
      </c>
      <c r="G268" s="117">
        <v>1790</v>
      </c>
      <c r="H268" s="117">
        <v>1679.92</v>
      </c>
      <c r="I268" s="115" t="s">
        <v>383</v>
      </c>
    </row>
    <row r="269" spans="1:9" ht="25.5" hidden="1" customHeight="1" x14ac:dyDescent="0.25">
      <c r="A269" s="114">
        <v>3361</v>
      </c>
      <c r="B269" s="114">
        <v>115</v>
      </c>
      <c r="C269" s="115" t="s">
        <v>409</v>
      </c>
      <c r="D269" s="115" t="s">
        <v>381</v>
      </c>
      <c r="E269" s="116" t="s">
        <v>410</v>
      </c>
      <c r="F269" s="143">
        <v>45677</v>
      </c>
      <c r="G269" s="117">
        <v>2800</v>
      </c>
      <c r="H269" s="117">
        <v>466.68</v>
      </c>
      <c r="I269" s="115" t="s">
        <v>383</v>
      </c>
    </row>
    <row r="270" spans="1:9" ht="25.5" hidden="1" customHeight="1" x14ac:dyDescent="0.25">
      <c r="A270" s="114">
        <v>3729</v>
      </c>
      <c r="B270" s="114">
        <v>28</v>
      </c>
      <c r="C270" s="115" t="s">
        <v>415</v>
      </c>
      <c r="D270" s="118" t="s">
        <v>405</v>
      </c>
      <c r="E270" s="116" t="s">
        <v>470</v>
      </c>
      <c r="F270" s="143">
        <v>45856</v>
      </c>
      <c r="G270" s="117">
        <v>7215</v>
      </c>
      <c r="H270" s="117">
        <v>7215</v>
      </c>
      <c r="I270" s="115" t="s">
        <v>383</v>
      </c>
    </row>
    <row r="271" spans="1:9" ht="25.5" hidden="1" customHeight="1" x14ac:dyDescent="0.25">
      <c r="A271" s="114">
        <v>3362</v>
      </c>
      <c r="B271" s="114">
        <v>115</v>
      </c>
      <c r="C271" s="115" t="s">
        <v>409</v>
      </c>
      <c r="D271" s="115" t="s">
        <v>381</v>
      </c>
      <c r="E271" s="116" t="s">
        <v>410</v>
      </c>
      <c r="F271" s="143">
        <v>45677</v>
      </c>
      <c r="G271" s="117">
        <v>2800</v>
      </c>
      <c r="H271" s="117">
        <v>466.66</v>
      </c>
      <c r="I271" s="115" t="s">
        <v>383</v>
      </c>
    </row>
    <row r="272" spans="1:9" ht="25.5" hidden="1" customHeight="1" x14ac:dyDescent="0.25">
      <c r="A272" s="114">
        <v>3683</v>
      </c>
      <c r="B272" s="114">
        <v>139</v>
      </c>
      <c r="C272" s="115" t="s">
        <v>465</v>
      </c>
      <c r="D272" s="118" t="s">
        <v>424</v>
      </c>
      <c r="E272" s="116" t="s">
        <v>479</v>
      </c>
      <c r="F272" s="143">
        <v>45856</v>
      </c>
      <c r="G272" s="117">
        <v>10000</v>
      </c>
      <c r="H272" s="117">
        <v>9385</v>
      </c>
      <c r="I272" s="115" t="s">
        <v>217</v>
      </c>
    </row>
    <row r="273" spans="1:9" ht="25.5" hidden="1" customHeight="1" x14ac:dyDescent="0.25">
      <c r="A273" s="114">
        <v>3397</v>
      </c>
      <c r="B273" s="114">
        <v>115</v>
      </c>
      <c r="C273" s="115" t="s">
        <v>409</v>
      </c>
      <c r="D273" s="115" t="s">
        <v>381</v>
      </c>
      <c r="E273" s="116" t="s">
        <v>410</v>
      </c>
      <c r="F273" s="143">
        <v>45698</v>
      </c>
      <c r="G273" s="117">
        <v>2800</v>
      </c>
      <c r="H273" s="117">
        <v>466.66</v>
      </c>
      <c r="I273" s="115" t="s">
        <v>383</v>
      </c>
    </row>
    <row r="274" spans="1:9" ht="25.5" hidden="1" customHeight="1" x14ac:dyDescent="0.25">
      <c r="A274" s="114">
        <v>3638</v>
      </c>
      <c r="B274" s="114">
        <v>9</v>
      </c>
      <c r="C274" s="115" t="s">
        <v>467</v>
      </c>
      <c r="D274" s="118" t="s">
        <v>468</v>
      </c>
      <c r="E274" s="116" t="s">
        <v>469</v>
      </c>
      <c r="F274" s="143">
        <v>45860</v>
      </c>
      <c r="G274" s="117">
        <v>4375</v>
      </c>
      <c r="H274" s="117">
        <v>4105.95</v>
      </c>
      <c r="I274" s="115" t="s">
        <v>217</v>
      </c>
    </row>
    <row r="275" spans="1:9" ht="25.5" hidden="1" customHeight="1" x14ac:dyDescent="0.25">
      <c r="A275" s="114">
        <v>3687</v>
      </c>
      <c r="B275" s="114">
        <v>61</v>
      </c>
      <c r="C275" s="115" t="s">
        <v>398</v>
      </c>
      <c r="D275" s="86">
        <v>18</v>
      </c>
      <c r="E275" s="122" t="s">
        <v>353</v>
      </c>
      <c r="F275" s="143">
        <v>45860</v>
      </c>
      <c r="G275" s="117">
        <v>25000</v>
      </c>
      <c r="H275" s="117">
        <v>23462.5</v>
      </c>
      <c r="I275" s="115" t="s">
        <v>383</v>
      </c>
    </row>
    <row r="276" spans="1:9" ht="25.5" hidden="1" customHeight="1" x14ac:dyDescent="0.25">
      <c r="A276" s="114">
        <v>3398</v>
      </c>
      <c r="B276" s="114">
        <v>115</v>
      </c>
      <c r="C276" s="115" t="s">
        <v>409</v>
      </c>
      <c r="D276" s="115" t="s">
        <v>381</v>
      </c>
      <c r="E276" s="116" t="s">
        <v>410</v>
      </c>
      <c r="F276" s="143">
        <v>45698</v>
      </c>
      <c r="G276" s="117">
        <v>2800</v>
      </c>
      <c r="H276" s="117">
        <v>466.68</v>
      </c>
      <c r="I276" s="115" t="s">
        <v>383</v>
      </c>
    </row>
    <row r="277" spans="1:9" ht="25.5" hidden="1" customHeight="1" x14ac:dyDescent="0.25">
      <c r="A277" s="114">
        <v>3583</v>
      </c>
      <c r="B277" s="114">
        <v>2</v>
      </c>
      <c r="C277" s="115" t="s">
        <v>390</v>
      </c>
      <c r="D277" s="115"/>
      <c r="E277" s="123" t="s">
        <v>433</v>
      </c>
      <c r="F277" s="143">
        <v>45861</v>
      </c>
      <c r="G277" s="117">
        <v>1982.56</v>
      </c>
      <c r="H277" s="117">
        <v>1860.66</v>
      </c>
      <c r="I277" s="115" t="s">
        <v>383</v>
      </c>
    </row>
    <row r="278" spans="1:9" ht="25.5" hidden="1" customHeight="1" x14ac:dyDescent="0.25">
      <c r="A278" s="114">
        <v>3702</v>
      </c>
      <c r="B278" s="114">
        <v>123</v>
      </c>
      <c r="C278" s="115" t="s">
        <v>413</v>
      </c>
      <c r="D278" s="115" t="s">
        <v>381</v>
      </c>
      <c r="E278" s="116" t="s">
        <v>414</v>
      </c>
      <c r="F278" s="143">
        <v>45863</v>
      </c>
      <c r="G278" s="117">
        <v>1000</v>
      </c>
      <c r="H278" s="117">
        <v>1000</v>
      </c>
      <c r="I278" s="115" t="s">
        <v>383</v>
      </c>
    </row>
    <row r="279" spans="1:9" ht="25.5" hidden="1" customHeight="1" x14ac:dyDescent="0.25">
      <c r="A279" s="114">
        <v>3744</v>
      </c>
      <c r="B279" s="114">
        <v>107</v>
      </c>
      <c r="C279" s="115" t="s">
        <v>463</v>
      </c>
      <c r="D279" s="115" t="s">
        <v>416</v>
      </c>
      <c r="E279" s="116" t="s">
        <v>464</v>
      </c>
      <c r="F279" s="143">
        <v>45869</v>
      </c>
      <c r="G279" s="117">
        <v>40000</v>
      </c>
      <c r="H279" s="117">
        <v>37540</v>
      </c>
      <c r="I279" s="115" t="s">
        <v>217</v>
      </c>
    </row>
    <row r="280" spans="1:9" ht="25.5" hidden="1" customHeight="1" x14ac:dyDescent="0.25">
      <c r="A280" s="114">
        <v>3633</v>
      </c>
      <c r="B280" s="114">
        <v>3</v>
      </c>
      <c r="C280" s="115" t="s">
        <v>384</v>
      </c>
      <c r="D280" s="118" t="s">
        <v>385</v>
      </c>
      <c r="E280" s="116" t="s">
        <v>386</v>
      </c>
      <c r="F280" s="143">
        <v>45870</v>
      </c>
      <c r="G280" s="117">
        <v>107443</v>
      </c>
      <c r="H280" s="117">
        <v>100835.27</v>
      </c>
      <c r="I280" s="115" t="s">
        <v>245</v>
      </c>
    </row>
    <row r="281" spans="1:9" ht="25.5" hidden="1" customHeight="1" x14ac:dyDescent="0.25">
      <c r="A281" s="114">
        <v>3400</v>
      </c>
      <c r="B281" s="114">
        <v>115</v>
      </c>
      <c r="C281" s="115" t="s">
        <v>409</v>
      </c>
      <c r="D281" s="115" t="s">
        <v>381</v>
      </c>
      <c r="E281" s="116" t="s">
        <v>410</v>
      </c>
      <c r="F281" s="143">
        <v>45707</v>
      </c>
      <c r="G281" s="117">
        <v>2800</v>
      </c>
      <c r="H281" s="117">
        <v>1400</v>
      </c>
      <c r="I281" s="115" t="s">
        <v>383</v>
      </c>
    </row>
    <row r="282" spans="1:9" ht="25.5" hidden="1" customHeight="1" x14ac:dyDescent="0.25">
      <c r="A282" s="114">
        <v>3689</v>
      </c>
      <c r="B282" s="114">
        <v>2</v>
      </c>
      <c r="C282" s="115" t="s">
        <v>390</v>
      </c>
      <c r="D282" s="115"/>
      <c r="E282" s="123" t="s">
        <v>433</v>
      </c>
      <c r="F282" s="143">
        <v>45874</v>
      </c>
      <c r="G282" s="117">
        <v>1982.56</v>
      </c>
      <c r="H282" s="117">
        <v>1860.66</v>
      </c>
      <c r="I282" s="115" t="s">
        <v>383</v>
      </c>
    </row>
    <row r="283" spans="1:9" ht="25.5" hidden="1" customHeight="1" x14ac:dyDescent="0.25">
      <c r="A283" s="114">
        <v>3701</v>
      </c>
      <c r="B283" s="114">
        <v>6</v>
      </c>
      <c r="C283" s="115" t="s">
        <v>421</v>
      </c>
      <c r="D283" s="115"/>
      <c r="E283" s="116" t="s">
        <v>422</v>
      </c>
      <c r="F283" s="143">
        <v>45874</v>
      </c>
      <c r="G283" s="117">
        <v>4068</v>
      </c>
      <c r="H283" s="117">
        <v>3817.82</v>
      </c>
      <c r="I283" s="115" t="s">
        <v>383</v>
      </c>
    </row>
    <row r="284" spans="1:9" ht="25.5" hidden="1" customHeight="1" x14ac:dyDescent="0.25">
      <c r="A284" s="114">
        <v>3672</v>
      </c>
      <c r="B284" s="114">
        <v>61</v>
      </c>
      <c r="C284" s="115" t="s">
        <v>398</v>
      </c>
      <c r="D284" s="118" t="s">
        <v>407</v>
      </c>
      <c r="E284" s="116" t="s">
        <v>408</v>
      </c>
      <c r="F284" s="143">
        <v>45875</v>
      </c>
      <c r="G284" s="117">
        <v>30000</v>
      </c>
      <c r="H284" s="117">
        <v>14077.5</v>
      </c>
      <c r="I284" s="115" t="s">
        <v>217</v>
      </c>
    </row>
    <row r="285" spans="1:9" ht="25.5" hidden="1" customHeight="1" x14ac:dyDescent="0.25">
      <c r="A285" s="114">
        <v>3717</v>
      </c>
      <c r="B285" s="114">
        <v>7</v>
      </c>
      <c r="C285" s="115" t="s">
        <v>460</v>
      </c>
      <c r="D285" s="86">
        <v>1</v>
      </c>
      <c r="E285" s="122" t="s">
        <v>356</v>
      </c>
      <c r="F285" s="143">
        <v>45880</v>
      </c>
      <c r="G285" s="117">
        <v>2999.99</v>
      </c>
      <c r="H285" s="117">
        <v>2815.53</v>
      </c>
      <c r="I285" s="115" t="s">
        <v>217</v>
      </c>
    </row>
    <row r="286" spans="1:9" ht="25.5" hidden="1" customHeight="1" x14ac:dyDescent="0.25">
      <c r="A286" s="114">
        <v>3718</v>
      </c>
      <c r="B286" s="114">
        <v>7</v>
      </c>
      <c r="C286" s="115" t="s">
        <v>460</v>
      </c>
      <c r="D286" s="86">
        <v>16</v>
      </c>
      <c r="E286" s="122" t="s">
        <v>357</v>
      </c>
      <c r="F286" s="143">
        <v>45880</v>
      </c>
      <c r="G286" s="117">
        <v>25257.17</v>
      </c>
      <c r="H286" s="117">
        <v>23703.86</v>
      </c>
      <c r="I286" s="115" t="s">
        <v>383</v>
      </c>
    </row>
    <row r="287" spans="1:9" ht="25.5" hidden="1" customHeight="1" x14ac:dyDescent="0.25">
      <c r="A287" s="114">
        <v>3360</v>
      </c>
      <c r="B287" s="114">
        <v>115</v>
      </c>
      <c r="C287" s="115" t="s">
        <v>409</v>
      </c>
      <c r="D287" s="115" t="s">
        <v>381</v>
      </c>
      <c r="E287" s="116" t="s">
        <v>410</v>
      </c>
      <c r="F287" s="143">
        <v>45708</v>
      </c>
      <c r="G287" s="117">
        <v>2800</v>
      </c>
      <c r="H287" s="117">
        <v>466.66</v>
      </c>
      <c r="I287" s="115" t="s">
        <v>383</v>
      </c>
    </row>
    <row r="288" spans="1:9" ht="25.5" hidden="1" customHeight="1" x14ac:dyDescent="0.25">
      <c r="A288" s="114">
        <v>3444</v>
      </c>
      <c r="B288" s="114">
        <v>115</v>
      </c>
      <c r="C288" s="115" t="s">
        <v>409</v>
      </c>
      <c r="D288" s="115" t="s">
        <v>381</v>
      </c>
      <c r="E288" s="116" t="s">
        <v>410</v>
      </c>
      <c r="F288" s="143">
        <v>45726</v>
      </c>
      <c r="G288" s="117">
        <v>2800</v>
      </c>
      <c r="H288" s="117">
        <v>466.68</v>
      </c>
      <c r="I288" s="115" t="s">
        <v>383</v>
      </c>
    </row>
    <row r="289" spans="1:9" ht="25.5" hidden="1" customHeight="1" x14ac:dyDescent="0.25">
      <c r="A289" s="114">
        <v>3399</v>
      </c>
      <c r="B289" s="114">
        <v>115</v>
      </c>
      <c r="C289" s="115" t="s">
        <v>409</v>
      </c>
      <c r="D289" s="115" t="s">
        <v>381</v>
      </c>
      <c r="E289" s="116" t="s">
        <v>410</v>
      </c>
      <c r="F289" s="143">
        <v>45726</v>
      </c>
      <c r="G289" s="117">
        <v>2800</v>
      </c>
      <c r="H289" s="117">
        <v>466.66</v>
      </c>
      <c r="I289" s="115" t="s">
        <v>383</v>
      </c>
    </row>
    <row r="290" spans="1:9" ht="25.5" hidden="1" customHeight="1" x14ac:dyDescent="0.25">
      <c r="A290" s="114">
        <v>3647</v>
      </c>
      <c r="B290" s="114">
        <v>135</v>
      </c>
      <c r="C290" s="115" t="s">
        <v>394</v>
      </c>
      <c r="D290" s="115" t="s">
        <v>381</v>
      </c>
      <c r="E290" s="116" t="s">
        <v>395</v>
      </c>
      <c r="F290" s="143">
        <v>45845</v>
      </c>
      <c r="G290" s="117">
        <v>12500</v>
      </c>
      <c r="H290" s="117">
        <v>11731.25</v>
      </c>
      <c r="I290" s="115" t="s">
        <v>245</v>
      </c>
    </row>
    <row r="291" spans="1:9" ht="25.5" hidden="1" customHeight="1" x14ac:dyDescent="0.25">
      <c r="A291" s="114">
        <v>3739</v>
      </c>
      <c r="B291" s="114">
        <v>130</v>
      </c>
      <c r="C291" s="115" t="s">
        <v>392</v>
      </c>
      <c r="D291" s="118" t="s">
        <v>381</v>
      </c>
      <c r="E291" s="116" t="s">
        <v>393</v>
      </c>
      <c r="F291" s="143">
        <v>45978</v>
      </c>
      <c r="G291" s="117">
        <v>13850</v>
      </c>
      <c r="H291" s="117">
        <v>6499.12</v>
      </c>
      <c r="I291" s="115" t="s">
        <v>245</v>
      </c>
    </row>
    <row r="292" spans="1:9" ht="25.5" hidden="1" customHeight="1" x14ac:dyDescent="0.25">
      <c r="A292" s="114">
        <v>3726</v>
      </c>
      <c r="B292" s="114">
        <v>139</v>
      </c>
      <c r="C292" s="115" t="s">
        <v>465</v>
      </c>
      <c r="D292" s="118" t="s">
        <v>424</v>
      </c>
      <c r="E292" s="116" t="s">
        <v>479</v>
      </c>
      <c r="F292" s="143">
        <v>45883</v>
      </c>
      <c r="G292" s="117">
        <v>10000</v>
      </c>
      <c r="H292" s="117">
        <v>9385</v>
      </c>
      <c r="I292" s="115" t="s">
        <v>217</v>
      </c>
    </row>
    <row r="293" spans="1:9" ht="25.5" hidden="1" customHeight="1" x14ac:dyDescent="0.25">
      <c r="A293" s="114">
        <v>3716</v>
      </c>
      <c r="B293" s="114">
        <v>5</v>
      </c>
      <c r="C293" s="115" t="s">
        <v>380</v>
      </c>
      <c r="D293" s="115" t="s">
        <v>366</v>
      </c>
      <c r="E293" s="116" t="s">
        <v>389</v>
      </c>
      <c r="F293" s="143">
        <v>45884</v>
      </c>
      <c r="G293" s="117">
        <v>500</v>
      </c>
      <c r="H293" s="117">
        <v>469.25</v>
      </c>
      <c r="I293" s="115" t="s">
        <v>383</v>
      </c>
    </row>
    <row r="294" spans="1:9" ht="25.5" hidden="1" customHeight="1" x14ac:dyDescent="0.25">
      <c r="A294" s="114">
        <v>3746</v>
      </c>
      <c r="B294" s="114">
        <v>5</v>
      </c>
      <c r="C294" s="115" t="s">
        <v>380</v>
      </c>
      <c r="D294" s="86">
        <v>1</v>
      </c>
      <c r="E294" s="122" t="s">
        <v>339</v>
      </c>
      <c r="F294" s="143">
        <v>45884</v>
      </c>
      <c r="G294" s="117">
        <v>525</v>
      </c>
      <c r="H294" s="117">
        <v>492.72</v>
      </c>
      <c r="I294" s="115" t="s">
        <v>383</v>
      </c>
    </row>
    <row r="295" spans="1:9" ht="25.5" hidden="1" customHeight="1" x14ac:dyDescent="0.25">
      <c r="A295" s="114">
        <v>3731</v>
      </c>
      <c r="B295" s="114">
        <v>97</v>
      </c>
      <c r="C295" s="115" t="s">
        <v>396</v>
      </c>
      <c r="D295" s="118" t="s">
        <v>381</v>
      </c>
      <c r="E295" s="116" t="s">
        <v>397</v>
      </c>
      <c r="F295" s="143">
        <v>45884</v>
      </c>
      <c r="G295" s="117">
        <v>6500</v>
      </c>
      <c r="H295" s="117">
        <v>6100.25</v>
      </c>
      <c r="I295" s="115" t="s">
        <v>245</v>
      </c>
    </row>
    <row r="296" spans="1:9" ht="25.5" hidden="1" customHeight="1" x14ac:dyDescent="0.25">
      <c r="A296" s="114">
        <v>3855</v>
      </c>
      <c r="B296" s="114">
        <v>130</v>
      </c>
      <c r="C296" s="115" t="s">
        <v>392</v>
      </c>
      <c r="D296" s="118" t="s">
        <v>381</v>
      </c>
      <c r="E296" s="116" t="s">
        <v>393</v>
      </c>
      <c r="F296" s="143">
        <v>45978</v>
      </c>
      <c r="G296" s="117">
        <v>17116.669999999998</v>
      </c>
      <c r="H296" s="117">
        <v>8032.02</v>
      </c>
      <c r="I296" s="115" t="s">
        <v>245</v>
      </c>
    </row>
    <row r="297" spans="1:9" ht="25.5" hidden="1" customHeight="1" x14ac:dyDescent="0.25">
      <c r="A297" s="114">
        <v>3727</v>
      </c>
      <c r="B297" s="114">
        <v>61</v>
      </c>
      <c r="C297" s="115" t="s">
        <v>398</v>
      </c>
      <c r="D297" s="118" t="s">
        <v>407</v>
      </c>
      <c r="E297" s="116" t="s">
        <v>408</v>
      </c>
      <c r="F297" s="143">
        <v>45887</v>
      </c>
      <c r="G297" s="117">
        <v>30000</v>
      </c>
      <c r="H297" s="117">
        <v>14077.5</v>
      </c>
      <c r="I297" s="115" t="s">
        <v>217</v>
      </c>
    </row>
    <row r="298" spans="1:9" ht="25.5" hidden="1" customHeight="1" x14ac:dyDescent="0.25">
      <c r="A298" s="114">
        <v>3768</v>
      </c>
      <c r="B298" s="114">
        <v>64</v>
      </c>
      <c r="C298" s="115" t="s">
        <v>446</v>
      </c>
      <c r="D298" s="115"/>
      <c r="E298" s="123" t="s">
        <v>476</v>
      </c>
      <c r="F298" s="143">
        <v>45887</v>
      </c>
      <c r="G298" s="117">
        <v>580</v>
      </c>
      <c r="H298" s="117">
        <v>544.33000000000004</v>
      </c>
      <c r="I298" s="115" t="s">
        <v>383</v>
      </c>
    </row>
    <row r="299" spans="1:9" ht="25.5" hidden="1" customHeight="1" x14ac:dyDescent="0.25">
      <c r="A299" s="114">
        <v>3443</v>
      </c>
      <c r="B299" s="114">
        <v>115</v>
      </c>
      <c r="C299" s="115" t="s">
        <v>409</v>
      </c>
      <c r="D299" s="115" t="s">
        <v>381</v>
      </c>
      <c r="E299" s="116" t="s">
        <v>410</v>
      </c>
      <c r="F299" s="143">
        <v>45727</v>
      </c>
      <c r="G299" s="117">
        <v>2800</v>
      </c>
      <c r="H299" s="117">
        <v>466.66</v>
      </c>
      <c r="I299" s="115" t="s">
        <v>383</v>
      </c>
    </row>
    <row r="300" spans="1:9" ht="25.5" hidden="1" customHeight="1" x14ac:dyDescent="0.25">
      <c r="A300" s="114">
        <v>3445</v>
      </c>
      <c r="B300" s="114">
        <v>115</v>
      </c>
      <c r="C300" s="115" t="s">
        <v>409</v>
      </c>
      <c r="D300" s="115" t="s">
        <v>381</v>
      </c>
      <c r="E300" s="116" t="s">
        <v>410</v>
      </c>
      <c r="F300" s="143">
        <v>45734</v>
      </c>
      <c r="G300" s="117">
        <v>2800</v>
      </c>
      <c r="H300" s="117">
        <v>466.66</v>
      </c>
      <c r="I300" s="115" t="s">
        <v>383</v>
      </c>
    </row>
    <row r="301" spans="1:9" ht="25.5" hidden="1" customHeight="1" x14ac:dyDescent="0.25">
      <c r="A301" s="114">
        <v>3446</v>
      </c>
      <c r="B301" s="114">
        <v>115</v>
      </c>
      <c r="C301" s="115" t="s">
        <v>409</v>
      </c>
      <c r="D301" s="115" t="s">
        <v>381</v>
      </c>
      <c r="E301" s="116" t="s">
        <v>410</v>
      </c>
      <c r="F301" s="143">
        <v>45734</v>
      </c>
      <c r="G301" s="117">
        <v>2800</v>
      </c>
      <c r="H301" s="117">
        <v>1400</v>
      </c>
      <c r="I301" s="115" t="s">
        <v>383</v>
      </c>
    </row>
    <row r="302" spans="1:9" ht="25.5" hidden="1" customHeight="1" x14ac:dyDescent="0.25">
      <c r="A302" s="114">
        <v>3728</v>
      </c>
      <c r="B302" s="114">
        <v>61</v>
      </c>
      <c r="C302" s="115" t="s">
        <v>398</v>
      </c>
      <c r="D302" s="118" t="s">
        <v>407</v>
      </c>
      <c r="E302" s="116" t="s">
        <v>408</v>
      </c>
      <c r="F302" s="143">
        <v>45888</v>
      </c>
      <c r="G302" s="117">
        <v>30000</v>
      </c>
      <c r="H302" s="117">
        <v>14077.5</v>
      </c>
      <c r="I302" s="115" t="s">
        <v>217</v>
      </c>
    </row>
    <row r="303" spans="1:9" ht="25.5" hidden="1" customHeight="1" x14ac:dyDescent="0.25">
      <c r="A303" s="114">
        <v>3778</v>
      </c>
      <c r="B303" s="114">
        <v>28</v>
      </c>
      <c r="C303" s="115" t="s">
        <v>415</v>
      </c>
      <c r="D303" s="118" t="s">
        <v>416</v>
      </c>
      <c r="E303" s="116" t="s">
        <v>417</v>
      </c>
      <c r="F303" s="143">
        <v>45889</v>
      </c>
      <c r="G303" s="117">
        <v>2235</v>
      </c>
      <c r="H303" s="117">
        <v>2235</v>
      </c>
      <c r="I303" s="115" t="s">
        <v>383</v>
      </c>
    </row>
    <row r="304" spans="1:9" ht="25.5" hidden="1" customHeight="1" x14ac:dyDescent="0.25">
      <c r="A304" s="114">
        <v>3760</v>
      </c>
      <c r="B304" s="114">
        <v>20</v>
      </c>
      <c r="C304" s="115" t="s">
        <v>438</v>
      </c>
      <c r="D304" s="118" t="s">
        <v>424</v>
      </c>
      <c r="E304" s="116" t="s">
        <v>439</v>
      </c>
      <c r="F304" s="143">
        <v>45890</v>
      </c>
      <c r="G304" s="117">
        <v>46.67</v>
      </c>
      <c r="H304" s="117">
        <v>46.67</v>
      </c>
      <c r="I304" s="115" t="s">
        <v>383</v>
      </c>
    </row>
    <row r="305" spans="1:9" ht="25.5" hidden="1" customHeight="1" x14ac:dyDescent="0.25">
      <c r="A305" s="114">
        <v>3712</v>
      </c>
      <c r="B305" s="114">
        <v>20</v>
      </c>
      <c r="C305" s="115" t="s">
        <v>438</v>
      </c>
      <c r="D305" s="86">
        <v>1</v>
      </c>
      <c r="E305" s="122" t="s">
        <v>347</v>
      </c>
      <c r="F305" s="143">
        <v>45890</v>
      </c>
      <c r="G305" s="117">
        <v>50</v>
      </c>
      <c r="H305" s="117">
        <v>50</v>
      </c>
      <c r="I305" s="115" t="s">
        <v>217</v>
      </c>
    </row>
    <row r="306" spans="1:9" ht="25.5" hidden="1" customHeight="1" x14ac:dyDescent="0.25">
      <c r="A306" s="114">
        <v>3651</v>
      </c>
      <c r="B306" s="114">
        <v>87</v>
      </c>
      <c r="C306" s="115" t="s">
        <v>440</v>
      </c>
      <c r="D306" s="118" t="s">
        <v>424</v>
      </c>
      <c r="E306" s="116" t="s">
        <v>441</v>
      </c>
      <c r="F306" s="143">
        <v>45890</v>
      </c>
      <c r="G306" s="117">
        <v>825</v>
      </c>
      <c r="H306" s="117">
        <v>825</v>
      </c>
      <c r="I306" s="115" t="s">
        <v>217</v>
      </c>
    </row>
    <row r="307" spans="1:9" ht="25.5" hidden="1" customHeight="1" x14ac:dyDescent="0.25">
      <c r="A307" s="114">
        <v>3713</v>
      </c>
      <c r="B307" s="114">
        <v>87</v>
      </c>
      <c r="C307" s="115" t="s">
        <v>440</v>
      </c>
      <c r="D307" s="118" t="s">
        <v>424</v>
      </c>
      <c r="E307" s="116" t="s">
        <v>441</v>
      </c>
      <c r="F307" s="143">
        <v>45890</v>
      </c>
      <c r="G307" s="117">
        <v>1833.33</v>
      </c>
      <c r="H307" s="117">
        <v>1833.33</v>
      </c>
      <c r="I307" s="115" t="s">
        <v>217</v>
      </c>
    </row>
    <row r="308" spans="1:9" ht="25.5" hidden="1" customHeight="1" x14ac:dyDescent="0.25">
      <c r="A308" s="114">
        <v>3500</v>
      </c>
      <c r="B308" s="114">
        <v>115</v>
      </c>
      <c r="C308" s="115" t="s">
        <v>409</v>
      </c>
      <c r="D308" s="115" t="s">
        <v>381</v>
      </c>
      <c r="E308" s="116" t="s">
        <v>410</v>
      </c>
      <c r="F308" s="143">
        <v>45757</v>
      </c>
      <c r="G308" s="117">
        <v>2800</v>
      </c>
      <c r="H308" s="117">
        <v>466.68</v>
      </c>
      <c r="I308" s="115" t="s">
        <v>383</v>
      </c>
    </row>
    <row r="309" spans="1:9" ht="25.5" hidden="1" customHeight="1" x14ac:dyDescent="0.25">
      <c r="A309" s="114">
        <v>3499</v>
      </c>
      <c r="B309" s="114">
        <v>115</v>
      </c>
      <c r="C309" s="115" t="s">
        <v>409</v>
      </c>
      <c r="D309" s="115" t="s">
        <v>381</v>
      </c>
      <c r="E309" s="116" t="s">
        <v>410</v>
      </c>
      <c r="F309" s="143">
        <v>45758</v>
      </c>
      <c r="G309" s="117">
        <v>2800</v>
      </c>
      <c r="H309" s="117">
        <v>466.66</v>
      </c>
      <c r="I309" s="115" t="s">
        <v>383</v>
      </c>
    </row>
    <row r="310" spans="1:9" ht="25.5" hidden="1" customHeight="1" x14ac:dyDescent="0.25">
      <c r="A310" s="114">
        <v>3700</v>
      </c>
      <c r="B310" s="114">
        <v>135</v>
      </c>
      <c r="C310" s="115" t="s">
        <v>394</v>
      </c>
      <c r="D310" s="118" t="s">
        <v>381</v>
      </c>
      <c r="E310" s="116" t="s">
        <v>395</v>
      </c>
      <c r="F310" s="143">
        <v>45905</v>
      </c>
      <c r="G310" s="117">
        <v>12500</v>
      </c>
      <c r="H310" s="117">
        <v>11731.25</v>
      </c>
      <c r="I310" s="115" t="s">
        <v>245</v>
      </c>
    </row>
    <row r="311" spans="1:9" ht="25.5" hidden="1" customHeight="1" x14ac:dyDescent="0.25">
      <c r="A311" s="114">
        <v>3781</v>
      </c>
      <c r="B311" s="114">
        <v>28</v>
      </c>
      <c r="C311" s="115" t="s">
        <v>415</v>
      </c>
      <c r="D311" s="118" t="s">
        <v>405</v>
      </c>
      <c r="E311" s="116" t="s">
        <v>470</v>
      </c>
      <c r="F311" s="143">
        <v>45896</v>
      </c>
      <c r="G311" s="117">
        <v>88380</v>
      </c>
      <c r="H311" s="117">
        <v>79542</v>
      </c>
      <c r="I311" s="115" t="s">
        <v>383</v>
      </c>
    </row>
    <row r="312" spans="1:9" ht="25.5" hidden="1" customHeight="1" x14ac:dyDescent="0.25">
      <c r="A312" s="114">
        <v>3691</v>
      </c>
      <c r="B312" s="114">
        <v>3</v>
      </c>
      <c r="C312" s="115" t="s">
        <v>384</v>
      </c>
      <c r="D312" s="118" t="s">
        <v>385</v>
      </c>
      <c r="E312" s="116" t="s">
        <v>386</v>
      </c>
      <c r="F312" s="143">
        <v>45901</v>
      </c>
      <c r="G312" s="117">
        <v>52230.5</v>
      </c>
      <c r="H312" s="117">
        <v>49018.35</v>
      </c>
      <c r="I312" s="115" t="s">
        <v>245</v>
      </c>
    </row>
    <row r="313" spans="1:9" ht="25.5" hidden="1" customHeight="1" x14ac:dyDescent="0.25">
      <c r="A313" s="114">
        <v>3501</v>
      </c>
      <c r="B313" s="114">
        <v>115</v>
      </c>
      <c r="C313" s="115" t="s">
        <v>409</v>
      </c>
      <c r="D313" s="115" t="s">
        <v>381</v>
      </c>
      <c r="E313" s="116" t="s">
        <v>410</v>
      </c>
      <c r="F313" s="143">
        <v>45758</v>
      </c>
      <c r="G313" s="117">
        <v>2800</v>
      </c>
      <c r="H313" s="117">
        <v>466.66</v>
      </c>
      <c r="I313" s="115" t="s">
        <v>383</v>
      </c>
    </row>
    <row r="314" spans="1:9" ht="25.5" hidden="1" customHeight="1" x14ac:dyDescent="0.25">
      <c r="A314" s="114">
        <v>3856</v>
      </c>
      <c r="B314" s="114">
        <v>130</v>
      </c>
      <c r="C314" s="115" t="s">
        <v>505</v>
      </c>
      <c r="D314" s="118" t="s">
        <v>381</v>
      </c>
      <c r="E314" s="116" t="s">
        <v>393</v>
      </c>
      <c r="F314" s="143">
        <v>45978</v>
      </c>
      <c r="G314" s="117">
        <v>17116.669999999998</v>
      </c>
      <c r="H314" s="117">
        <v>8032.02</v>
      </c>
      <c r="I314" s="115" t="s">
        <v>245</v>
      </c>
    </row>
    <row r="315" spans="1:9" ht="25.5" hidden="1" customHeight="1" x14ac:dyDescent="0.25">
      <c r="A315" s="114">
        <v>3758</v>
      </c>
      <c r="B315" s="114">
        <v>87</v>
      </c>
      <c r="C315" s="115" t="s">
        <v>440</v>
      </c>
      <c r="D315" s="118" t="s">
        <v>424</v>
      </c>
      <c r="E315" s="116" t="s">
        <v>441</v>
      </c>
      <c r="F315" s="143">
        <v>45905</v>
      </c>
      <c r="G315" s="117">
        <v>5483.33</v>
      </c>
      <c r="H315" s="117">
        <v>5483.33</v>
      </c>
      <c r="I315" s="115" t="s">
        <v>217</v>
      </c>
    </row>
    <row r="316" spans="1:9" ht="25.5" hidden="1" customHeight="1" x14ac:dyDescent="0.25">
      <c r="A316" s="114">
        <v>3759</v>
      </c>
      <c r="B316" s="114">
        <v>87</v>
      </c>
      <c r="C316" s="115" t="s">
        <v>440</v>
      </c>
      <c r="D316" s="118" t="s">
        <v>428</v>
      </c>
      <c r="E316" s="116" t="s">
        <v>489</v>
      </c>
      <c r="F316" s="143">
        <v>45905</v>
      </c>
      <c r="G316" s="117">
        <v>18491.66</v>
      </c>
      <c r="H316" s="117">
        <v>18491.66</v>
      </c>
      <c r="I316" s="115" t="s">
        <v>217</v>
      </c>
    </row>
    <row r="317" spans="1:9" ht="25.5" hidden="1" customHeight="1" x14ac:dyDescent="0.25">
      <c r="A317" s="114">
        <v>3745</v>
      </c>
      <c r="B317" s="114">
        <v>107</v>
      </c>
      <c r="C317" s="115" t="s">
        <v>463</v>
      </c>
      <c r="D317" s="118" t="s">
        <v>416</v>
      </c>
      <c r="E317" s="116" t="s">
        <v>464</v>
      </c>
      <c r="F317" s="143">
        <v>45905</v>
      </c>
      <c r="G317" s="117">
        <v>40000</v>
      </c>
      <c r="H317" s="117">
        <v>37540</v>
      </c>
      <c r="I317" s="115" t="s">
        <v>217</v>
      </c>
    </row>
    <row r="318" spans="1:9" ht="25.5" hidden="1" customHeight="1" x14ac:dyDescent="0.25">
      <c r="A318" s="114">
        <v>3814</v>
      </c>
      <c r="B318" s="114">
        <v>135</v>
      </c>
      <c r="C318" s="115" t="s">
        <v>508</v>
      </c>
      <c r="D318" s="118" t="s">
        <v>366</v>
      </c>
      <c r="E318" s="116" t="s">
        <v>509</v>
      </c>
      <c r="F318" s="143">
        <v>45966</v>
      </c>
      <c r="G318" s="117">
        <v>6690</v>
      </c>
      <c r="H318" s="117">
        <v>6278.57</v>
      </c>
      <c r="I318" s="115" t="s">
        <v>245</v>
      </c>
    </row>
    <row r="319" spans="1:9" ht="25.5" hidden="1" customHeight="1" x14ac:dyDescent="0.25">
      <c r="A319" s="114">
        <v>3793</v>
      </c>
      <c r="B319" s="114">
        <v>28</v>
      </c>
      <c r="C319" s="115" t="s">
        <v>415</v>
      </c>
      <c r="D319" s="118" t="s">
        <v>416</v>
      </c>
      <c r="E319" s="116" t="s">
        <v>417</v>
      </c>
      <c r="F319" s="143">
        <v>45909</v>
      </c>
      <c r="G319" s="117">
        <v>635</v>
      </c>
      <c r="H319" s="117">
        <v>635</v>
      </c>
      <c r="I319" s="115" t="s">
        <v>383</v>
      </c>
    </row>
    <row r="320" spans="1:9" ht="25.5" hidden="1" customHeight="1" x14ac:dyDescent="0.25">
      <c r="A320" s="114">
        <v>3798</v>
      </c>
      <c r="B320" s="114">
        <v>28</v>
      </c>
      <c r="C320" s="115" t="s">
        <v>415</v>
      </c>
      <c r="D320" s="118" t="s">
        <v>405</v>
      </c>
      <c r="E320" s="116" t="s">
        <v>470</v>
      </c>
      <c r="F320" s="143">
        <v>45909</v>
      </c>
      <c r="G320" s="117">
        <v>24420</v>
      </c>
      <c r="H320" s="117">
        <v>21978</v>
      </c>
      <c r="I320" s="115" t="s">
        <v>383</v>
      </c>
    </row>
    <row r="321" spans="1:9" ht="25.5" hidden="1" customHeight="1" x14ac:dyDescent="0.25">
      <c r="A321" s="114">
        <v>3795</v>
      </c>
      <c r="B321" s="114">
        <v>64</v>
      </c>
      <c r="C321" s="115" t="s">
        <v>446</v>
      </c>
      <c r="D321" s="115"/>
      <c r="E321" s="123" t="s">
        <v>476</v>
      </c>
      <c r="F321" s="143">
        <v>45909</v>
      </c>
      <c r="G321" s="117">
        <v>925</v>
      </c>
      <c r="H321" s="117">
        <v>868.12</v>
      </c>
      <c r="I321" s="115" t="s">
        <v>383</v>
      </c>
    </row>
    <row r="322" spans="1:9" ht="25.5" hidden="1" customHeight="1" x14ac:dyDescent="0.25">
      <c r="A322" s="114">
        <v>3502</v>
      </c>
      <c r="B322" s="114">
        <v>115</v>
      </c>
      <c r="C322" s="115" t="s">
        <v>409</v>
      </c>
      <c r="D322" s="115" t="s">
        <v>381</v>
      </c>
      <c r="E322" s="116" t="s">
        <v>410</v>
      </c>
      <c r="F322" s="143">
        <v>45771</v>
      </c>
      <c r="G322" s="117">
        <v>2800</v>
      </c>
      <c r="H322" s="117">
        <v>1400</v>
      </c>
      <c r="I322" s="115" t="s">
        <v>383</v>
      </c>
    </row>
    <row r="323" spans="1:9" ht="25.5" hidden="1" customHeight="1" x14ac:dyDescent="0.25">
      <c r="A323" s="114">
        <v>3767</v>
      </c>
      <c r="B323" s="114">
        <v>7</v>
      </c>
      <c r="C323" s="115" t="s">
        <v>460</v>
      </c>
      <c r="D323" s="86">
        <v>16</v>
      </c>
      <c r="E323" s="122" t="s">
        <v>357</v>
      </c>
      <c r="F323" s="143">
        <v>45910</v>
      </c>
      <c r="G323" s="117">
        <v>18771.46</v>
      </c>
      <c r="H323" s="117">
        <v>17617.03</v>
      </c>
      <c r="I323" s="115" t="s">
        <v>383</v>
      </c>
    </row>
    <row r="324" spans="1:9" ht="25.5" hidden="1" customHeight="1" x14ac:dyDescent="0.25">
      <c r="A324" s="114">
        <v>3562</v>
      </c>
      <c r="B324" s="114">
        <v>115</v>
      </c>
      <c r="C324" s="115" t="s">
        <v>409</v>
      </c>
      <c r="D324" s="115" t="s">
        <v>381</v>
      </c>
      <c r="E324" s="116" t="s">
        <v>410</v>
      </c>
      <c r="F324" s="143">
        <v>45782</v>
      </c>
      <c r="G324" s="117">
        <v>2800</v>
      </c>
      <c r="H324" s="117">
        <v>466.66</v>
      </c>
      <c r="I324" s="115" t="s">
        <v>383</v>
      </c>
    </row>
    <row r="325" spans="1:9" ht="25.5" hidden="1" customHeight="1" x14ac:dyDescent="0.25">
      <c r="A325" s="114">
        <v>3895</v>
      </c>
      <c r="B325" s="114">
        <v>130</v>
      </c>
      <c r="C325" s="115" t="s">
        <v>505</v>
      </c>
      <c r="D325" s="118" t="s">
        <v>381</v>
      </c>
      <c r="E325" s="116" t="s">
        <v>393</v>
      </c>
      <c r="F325" s="143">
        <v>45992</v>
      </c>
      <c r="G325" s="464">
        <v>39316.67</v>
      </c>
      <c r="H325" s="464">
        <v>16745.27</v>
      </c>
      <c r="I325" s="115" t="s">
        <v>245</v>
      </c>
    </row>
    <row r="326" spans="1:9" ht="25.5" hidden="1" customHeight="1" x14ac:dyDescent="0.25">
      <c r="A326" s="114">
        <v>3896</v>
      </c>
      <c r="B326" s="114">
        <v>130</v>
      </c>
      <c r="C326" s="115" t="s">
        <v>392</v>
      </c>
      <c r="D326" s="118" t="s">
        <v>381</v>
      </c>
      <c r="E326" s="116" t="s">
        <v>393</v>
      </c>
      <c r="F326" s="143">
        <v>45992</v>
      </c>
      <c r="G326" s="464">
        <v>39316.67</v>
      </c>
      <c r="H326" s="464">
        <v>16745.27</v>
      </c>
      <c r="I326" s="115" t="s">
        <v>245</v>
      </c>
    </row>
    <row r="327" spans="1:9" ht="25.5" hidden="1" customHeight="1" x14ac:dyDescent="0.25">
      <c r="A327" s="114">
        <v>3773</v>
      </c>
      <c r="B327" s="114">
        <v>139</v>
      </c>
      <c r="C327" s="115" t="s">
        <v>465</v>
      </c>
      <c r="D327" s="118" t="s">
        <v>424</v>
      </c>
      <c r="E327" s="116" t="s">
        <v>479</v>
      </c>
      <c r="F327" s="143">
        <v>45915</v>
      </c>
      <c r="G327" s="117">
        <v>10000</v>
      </c>
      <c r="H327" s="117">
        <v>9385</v>
      </c>
      <c r="I327" s="115" t="s">
        <v>217</v>
      </c>
    </row>
    <row r="328" spans="1:9" ht="25.5" hidden="1" customHeight="1" x14ac:dyDescent="0.25">
      <c r="A328" s="114">
        <v>3756</v>
      </c>
      <c r="B328" s="114">
        <v>6</v>
      </c>
      <c r="C328" s="115" t="s">
        <v>421</v>
      </c>
      <c r="D328" s="115"/>
      <c r="E328" s="116" t="s">
        <v>422</v>
      </c>
      <c r="F328" s="143">
        <v>45916</v>
      </c>
      <c r="G328" s="117">
        <v>4068</v>
      </c>
      <c r="H328" s="117">
        <v>3817.82</v>
      </c>
      <c r="I328" s="115" t="s">
        <v>383</v>
      </c>
    </row>
    <row r="329" spans="1:9" ht="25.5" hidden="1" customHeight="1" x14ac:dyDescent="0.25">
      <c r="A329" s="114">
        <v>3789</v>
      </c>
      <c r="B329" s="114">
        <v>20</v>
      </c>
      <c r="C329" s="115" t="s">
        <v>438</v>
      </c>
      <c r="D329" s="118" t="s">
        <v>424</v>
      </c>
      <c r="E329" s="116" t="s">
        <v>439</v>
      </c>
      <c r="F329" s="143">
        <v>45916</v>
      </c>
      <c r="G329" s="117">
        <v>753.33</v>
      </c>
      <c r="H329" s="117">
        <v>753.33</v>
      </c>
      <c r="I329" s="115" t="s">
        <v>383</v>
      </c>
    </row>
    <row r="330" spans="1:9" ht="25.5" customHeight="1" x14ac:dyDescent="0.25">
      <c r="A330" s="114">
        <v>3948</v>
      </c>
      <c r="B330" s="114">
        <v>61</v>
      </c>
      <c r="C330" s="115" t="s">
        <v>398</v>
      </c>
      <c r="D330" s="118" t="s">
        <v>399</v>
      </c>
      <c r="E330" s="116" t="s">
        <v>400</v>
      </c>
      <c r="F330" s="143">
        <v>46036</v>
      </c>
      <c r="G330" s="117">
        <v>24923.14</v>
      </c>
      <c r="H330" s="117">
        <v>23390.37</v>
      </c>
      <c r="I330" s="115" t="s">
        <v>217</v>
      </c>
    </row>
    <row r="331" spans="1:9" ht="25.5" customHeight="1" x14ac:dyDescent="0.25">
      <c r="A331" s="114">
        <v>3923</v>
      </c>
      <c r="B331" s="114">
        <v>115</v>
      </c>
      <c r="C331" s="115" t="s">
        <v>526</v>
      </c>
      <c r="D331" s="118" t="s">
        <v>381</v>
      </c>
      <c r="E331" s="116" t="s">
        <v>410</v>
      </c>
      <c r="F331" s="143">
        <v>46037</v>
      </c>
      <c r="G331" s="117">
        <v>2800</v>
      </c>
      <c r="H331" s="117">
        <v>466.68</v>
      </c>
      <c r="I331" s="115" t="s">
        <v>216</v>
      </c>
    </row>
    <row r="332" spans="1:9" ht="25.5" hidden="1" customHeight="1" x14ac:dyDescent="0.25">
      <c r="A332" s="114">
        <v>3696</v>
      </c>
      <c r="B332" s="114">
        <v>143</v>
      </c>
      <c r="C332" s="115" t="s">
        <v>490</v>
      </c>
      <c r="D332" s="118" t="s">
        <v>381</v>
      </c>
      <c r="E332" s="116" t="s">
        <v>491</v>
      </c>
      <c r="F332" s="143">
        <v>45916</v>
      </c>
      <c r="G332" s="117">
        <v>60000</v>
      </c>
      <c r="H332" s="117">
        <v>56310</v>
      </c>
      <c r="I332" s="115" t="s">
        <v>217</v>
      </c>
    </row>
    <row r="333" spans="1:9" ht="25.5" hidden="1" customHeight="1" x14ac:dyDescent="0.25">
      <c r="A333" s="114">
        <v>3775</v>
      </c>
      <c r="B333" s="114">
        <v>61</v>
      </c>
      <c r="C333" s="115" t="s">
        <v>398</v>
      </c>
      <c r="D333" s="118" t="s">
        <v>399</v>
      </c>
      <c r="E333" s="116" t="s">
        <v>400</v>
      </c>
      <c r="F333" s="143">
        <v>45917</v>
      </c>
      <c r="G333" s="117">
        <v>60000</v>
      </c>
      <c r="H333" s="117">
        <v>56310</v>
      </c>
      <c r="I333" s="115" t="s">
        <v>217</v>
      </c>
    </row>
    <row r="334" spans="1:9" ht="25.5" hidden="1" customHeight="1" x14ac:dyDescent="0.25">
      <c r="A334" s="114">
        <v>3774</v>
      </c>
      <c r="B334" s="114">
        <v>61</v>
      </c>
      <c r="C334" s="115" t="s">
        <v>398</v>
      </c>
      <c r="D334" s="118" t="s">
        <v>405</v>
      </c>
      <c r="E334" s="116" t="s">
        <v>406</v>
      </c>
      <c r="F334" s="143">
        <v>45917</v>
      </c>
      <c r="G334" s="117">
        <v>568.89</v>
      </c>
      <c r="H334" s="117">
        <v>542.46</v>
      </c>
      <c r="I334" s="115" t="s">
        <v>217</v>
      </c>
    </row>
    <row r="335" spans="1:9" ht="25.5" hidden="1" customHeight="1" x14ac:dyDescent="0.25">
      <c r="A335" s="114">
        <v>3748</v>
      </c>
      <c r="B335" s="114">
        <v>61</v>
      </c>
      <c r="C335" s="115" t="s">
        <v>398</v>
      </c>
      <c r="D335" s="118" t="s">
        <v>407</v>
      </c>
      <c r="E335" s="116" t="s">
        <v>408</v>
      </c>
      <c r="F335" s="143">
        <v>45917</v>
      </c>
      <c r="G335" s="117">
        <v>30000</v>
      </c>
      <c r="H335" s="117">
        <v>14077.5</v>
      </c>
      <c r="I335" s="115" t="s">
        <v>217</v>
      </c>
    </row>
    <row r="336" spans="1:9" ht="25.5" hidden="1" customHeight="1" x14ac:dyDescent="0.25">
      <c r="A336" s="114">
        <v>3560</v>
      </c>
      <c r="B336" s="114">
        <v>115</v>
      </c>
      <c r="C336" s="115" t="s">
        <v>409</v>
      </c>
      <c r="D336" s="115" t="s">
        <v>381</v>
      </c>
      <c r="E336" s="463" t="s">
        <v>410</v>
      </c>
      <c r="F336" s="143">
        <v>45789</v>
      </c>
      <c r="G336" s="117">
        <v>2800</v>
      </c>
      <c r="H336" s="117">
        <v>466.66</v>
      </c>
      <c r="I336" s="115" t="s">
        <v>383</v>
      </c>
    </row>
    <row r="337" spans="1:9" ht="25.5" hidden="1" customHeight="1" x14ac:dyDescent="0.25">
      <c r="A337" s="114">
        <v>3561</v>
      </c>
      <c r="B337" s="114">
        <v>115</v>
      </c>
      <c r="C337" s="115" t="s">
        <v>409</v>
      </c>
      <c r="D337" s="115" t="s">
        <v>381</v>
      </c>
      <c r="E337" s="116" t="s">
        <v>410</v>
      </c>
      <c r="F337" s="143">
        <v>45789</v>
      </c>
      <c r="G337" s="117">
        <v>2800</v>
      </c>
      <c r="H337" s="117">
        <v>466.68</v>
      </c>
      <c r="I337" s="115" t="s">
        <v>383</v>
      </c>
    </row>
    <row r="338" spans="1:9" ht="25.5" hidden="1" customHeight="1" x14ac:dyDescent="0.25">
      <c r="A338" s="114">
        <v>3605</v>
      </c>
      <c r="B338" s="114">
        <v>136</v>
      </c>
      <c r="C338" s="115" t="s">
        <v>365</v>
      </c>
      <c r="D338" s="86">
        <v>1</v>
      </c>
      <c r="E338" s="122" t="s">
        <v>342</v>
      </c>
      <c r="F338" s="143">
        <v>45825</v>
      </c>
      <c r="G338" s="117">
        <v>1333.33</v>
      </c>
      <c r="H338" s="117">
        <v>1333.33</v>
      </c>
      <c r="I338" s="115" t="s">
        <v>245</v>
      </c>
    </row>
    <row r="339" spans="1:9" ht="25.5" hidden="1" customHeight="1" x14ac:dyDescent="0.25">
      <c r="A339" s="114">
        <v>3535</v>
      </c>
      <c r="B339" s="114">
        <v>136</v>
      </c>
      <c r="C339" s="115" t="s">
        <v>365</v>
      </c>
      <c r="D339" s="86">
        <v>1</v>
      </c>
      <c r="E339" s="122" t="s">
        <v>342</v>
      </c>
      <c r="F339" s="143">
        <v>45825</v>
      </c>
      <c r="G339" s="117">
        <v>17583.330000000002</v>
      </c>
      <c r="H339" s="117">
        <v>17583.330000000002</v>
      </c>
      <c r="I339" s="115" t="s">
        <v>245</v>
      </c>
    </row>
    <row r="340" spans="1:9" ht="25.5" hidden="1" customHeight="1" x14ac:dyDescent="0.25">
      <c r="A340" s="114">
        <v>3741</v>
      </c>
      <c r="B340" s="114">
        <v>9</v>
      </c>
      <c r="C340" s="115" t="s">
        <v>467</v>
      </c>
      <c r="D340" s="118" t="s">
        <v>468</v>
      </c>
      <c r="E340" s="116" t="s">
        <v>469</v>
      </c>
      <c r="F340" s="143">
        <v>45922</v>
      </c>
      <c r="G340" s="117">
        <v>20410</v>
      </c>
      <c r="H340" s="117">
        <v>19154.79</v>
      </c>
      <c r="I340" s="115" t="s">
        <v>217</v>
      </c>
    </row>
    <row r="341" spans="1:9" ht="25.5" hidden="1" customHeight="1" x14ac:dyDescent="0.25">
      <c r="A341" s="114">
        <v>3482</v>
      </c>
      <c r="B341" s="114">
        <v>109</v>
      </c>
      <c r="C341" s="115" t="s">
        <v>458</v>
      </c>
      <c r="D341" s="118" t="s">
        <v>381</v>
      </c>
      <c r="E341" s="116" t="s">
        <v>459</v>
      </c>
      <c r="F341" s="143">
        <v>45922</v>
      </c>
      <c r="G341" s="117">
        <v>7920</v>
      </c>
      <c r="H341" s="117">
        <v>7920</v>
      </c>
      <c r="I341" s="115" t="s">
        <v>245</v>
      </c>
    </row>
    <row r="342" spans="1:9" ht="25.5" hidden="1" customHeight="1" x14ac:dyDescent="0.25">
      <c r="A342" s="114">
        <v>3483</v>
      </c>
      <c r="B342" s="114">
        <v>109</v>
      </c>
      <c r="C342" s="115" t="s">
        <v>458</v>
      </c>
      <c r="D342" s="118" t="s">
        <v>381</v>
      </c>
      <c r="E342" s="116" t="s">
        <v>459</v>
      </c>
      <c r="F342" s="143">
        <v>45922</v>
      </c>
      <c r="G342" s="117">
        <v>23940</v>
      </c>
      <c r="H342" s="117">
        <v>23940</v>
      </c>
      <c r="I342" s="115" t="s">
        <v>245</v>
      </c>
    </row>
    <row r="343" spans="1:9" ht="25.5" hidden="1" customHeight="1" x14ac:dyDescent="0.25">
      <c r="A343" s="114">
        <v>3484</v>
      </c>
      <c r="B343" s="114">
        <v>109</v>
      </c>
      <c r="C343" s="115" t="s">
        <v>458</v>
      </c>
      <c r="D343" s="118" t="s">
        <v>381</v>
      </c>
      <c r="E343" s="116" t="s">
        <v>459</v>
      </c>
      <c r="F343" s="143">
        <v>45922</v>
      </c>
      <c r="G343" s="117">
        <v>4860</v>
      </c>
      <c r="H343" s="117">
        <v>4860</v>
      </c>
      <c r="I343" s="115" t="s">
        <v>245</v>
      </c>
    </row>
    <row r="344" spans="1:9" ht="25.5" hidden="1" customHeight="1" x14ac:dyDescent="0.25">
      <c r="A344" s="114">
        <v>3485</v>
      </c>
      <c r="B344" s="114">
        <v>109</v>
      </c>
      <c r="C344" s="115" t="s">
        <v>458</v>
      </c>
      <c r="D344" s="118" t="s">
        <v>381</v>
      </c>
      <c r="E344" s="116" t="s">
        <v>459</v>
      </c>
      <c r="F344" s="143">
        <v>45922</v>
      </c>
      <c r="G344" s="117">
        <v>2160</v>
      </c>
      <c r="H344" s="117">
        <v>2160</v>
      </c>
      <c r="I344" s="115" t="s">
        <v>245</v>
      </c>
    </row>
    <row r="345" spans="1:9" ht="25.5" hidden="1" customHeight="1" x14ac:dyDescent="0.25">
      <c r="A345" s="114">
        <v>3486</v>
      </c>
      <c r="B345" s="114">
        <v>109</v>
      </c>
      <c r="C345" s="115" t="s">
        <v>458</v>
      </c>
      <c r="D345" s="118" t="s">
        <v>381</v>
      </c>
      <c r="E345" s="116" t="s">
        <v>459</v>
      </c>
      <c r="F345" s="143">
        <v>45922</v>
      </c>
      <c r="G345" s="117">
        <v>25000</v>
      </c>
      <c r="H345" s="117">
        <v>25000</v>
      </c>
      <c r="I345" s="115" t="s">
        <v>245</v>
      </c>
    </row>
    <row r="346" spans="1:9" ht="25.5" hidden="1" customHeight="1" x14ac:dyDescent="0.25">
      <c r="A346" s="114">
        <v>3533</v>
      </c>
      <c r="B346" s="114">
        <v>109</v>
      </c>
      <c r="C346" s="115" t="s">
        <v>458</v>
      </c>
      <c r="D346" s="118" t="s">
        <v>381</v>
      </c>
      <c r="E346" s="116" t="s">
        <v>459</v>
      </c>
      <c r="F346" s="143">
        <v>45922</v>
      </c>
      <c r="G346" s="117">
        <v>8100</v>
      </c>
      <c r="H346" s="117">
        <v>8100</v>
      </c>
      <c r="I346" s="115" t="s">
        <v>245</v>
      </c>
    </row>
    <row r="347" spans="1:9" ht="25.5" hidden="1" customHeight="1" x14ac:dyDescent="0.25">
      <c r="A347" s="114">
        <v>3550</v>
      </c>
      <c r="B347" s="114">
        <v>109</v>
      </c>
      <c r="C347" s="115" t="s">
        <v>458</v>
      </c>
      <c r="D347" s="118" t="s">
        <v>381</v>
      </c>
      <c r="E347" s="116" t="s">
        <v>459</v>
      </c>
      <c r="F347" s="143">
        <v>45922</v>
      </c>
      <c r="G347" s="117">
        <v>30180</v>
      </c>
      <c r="H347" s="117">
        <v>30180</v>
      </c>
      <c r="I347" s="115" t="s">
        <v>245</v>
      </c>
    </row>
    <row r="348" spans="1:9" ht="25.5" hidden="1" customHeight="1" x14ac:dyDescent="0.25">
      <c r="A348" s="114">
        <v>3608</v>
      </c>
      <c r="B348" s="114">
        <v>109</v>
      </c>
      <c r="C348" s="115" t="s">
        <v>458</v>
      </c>
      <c r="D348" s="118" t="s">
        <v>381</v>
      </c>
      <c r="E348" s="116" t="s">
        <v>459</v>
      </c>
      <c r="F348" s="143">
        <v>45922</v>
      </c>
      <c r="G348" s="117">
        <v>3000</v>
      </c>
      <c r="H348" s="117">
        <v>3000</v>
      </c>
      <c r="I348" s="115" t="s">
        <v>245</v>
      </c>
    </row>
    <row r="349" spans="1:9" ht="25.5" hidden="1" customHeight="1" x14ac:dyDescent="0.25">
      <c r="A349" s="114">
        <v>3733</v>
      </c>
      <c r="B349" s="114">
        <v>109</v>
      </c>
      <c r="C349" s="115" t="s">
        <v>458</v>
      </c>
      <c r="D349" s="118" t="s">
        <v>381</v>
      </c>
      <c r="E349" s="116" t="s">
        <v>459</v>
      </c>
      <c r="F349" s="143">
        <v>45922</v>
      </c>
      <c r="G349" s="117">
        <v>9480</v>
      </c>
      <c r="H349" s="117">
        <v>9480</v>
      </c>
      <c r="I349" s="115" t="s">
        <v>245</v>
      </c>
    </row>
    <row r="350" spans="1:9" ht="25.5" hidden="1" customHeight="1" x14ac:dyDescent="0.25">
      <c r="A350" s="114">
        <v>3563</v>
      </c>
      <c r="B350" s="114">
        <v>115</v>
      </c>
      <c r="C350" s="115" t="s">
        <v>409</v>
      </c>
      <c r="D350" s="115" t="s">
        <v>381</v>
      </c>
      <c r="E350" s="116" t="s">
        <v>410</v>
      </c>
      <c r="F350" s="143">
        <v>45792</v>
      </c>
      <c r="G350" s="117">
        <v>2800</v>
      </c>
      <c r="H350" s="117">
        <v>1400</v>
      </c>
      <c r="I350" s="115" t="s">
        <v>383</v>
      </c>
    </row>
    <row r="351" spans="1:9" ht="25.5" hidden="1" customHeight="1" x14ac:dyDescent="0.25">
      <c r="A351" s="114">
        <v>3803</v>
      </c>
      <c r="B351" s="114">
        <v>94</v>
      </c>
      <c r="C351" s="115" t="s">
        <v>455</v>
      </c>
      <c r="D351" s="118" t="s">
        <v>424</v>
      </c>
      <c r="E351" s="116" t="s">
        <v>456</v>
      </c>
      <c r="F351" s="143">
        <v>45924</v>
      </c>
      <c r="G351" s="117">
        <v>36000</v>
      </c>
      <c r="H351" s="117">
        <v>33786</v>
      </c>
      <c r="I351" s="115" t="s">
        <v>245</v>
      </c>
    </row>
    <row r="352" spans="1:9" ht="25.5" hidden="1" customHeight="1" x14ac:dyDescent="0.25">
      <c r="A352" s="114">
        <v>3786</v>
      </c>
      <c r="B352" s="114">
        <v>108</v>
      </c>
      <c r="C352" s="115" t="s">
        <v>492</v>
      </c>
      <c r="D352" s="118" t="s">
        <v>366</v>
      </c>
      <c r="E352" s="116" t="s">
        <v>493</v>
      </c>
      <c r="F352" s="143">
        <v>45924</v>
      </c>
      <c r="G352" s="117">
        <v>25000</v>
      </c>
      <c r="H352" s="117">
        <v>25000</v>
      </c>
      <c r="I352" s="115" t="s">
        <v>245</v>
      </c>
    </row>
    <row r="353" spans="1:9" ht="25.5" hidden="1" customHeight="1" x14ac:dyDescent="0.25">
      <c r="A353" s="114">
        <v>3612</v>
      </c>
      <c r="B353" s="114">
        <v>115</v>
      </c>
      <c r="C353" s="115" t="s">
        <v>409</v>
      </c>
      <c r="D353" s="115" t="s">
        <v>381</v>
      </c>
      <c r="E353" s="116" t="s">
        <v>410</v>
      </c>
      <c r="F353" s="143">
        <v>45796</v>
      </c>
      <c r="G353" s="117">
        <v>2800</v>
      </c>
      <c r="H353" s="117">
        <v>466.66</v>
      </c>
      <c r="I353" s="115" t="s">
        <v>383</v>
      </c>
    </row>
    <row r="354" spans="1:9" ht="25.5" hidden="1" customHeight="1" x14ac:dyDescent="0.25">
      <c r="A354" s="114">
        <v>3804</v>
      </c>
      <c r="B354" s="114">
        <v>123</v>
      </c>
      <c r="C354" s="115" t="s">
        <v>413</v>
      </c>
      <c r="D354" s="115" t="s">
        <v>381</v>
      </c>
      <c r="E354" s="116" t="s">
        <v>414</v>
      </c>
      <c r="F354" s="143">
        <v>45925</v>
      </c>
      <c r="G354" s="117">
        <v>1000</v>
      </c>
      <c r="H354" s="117">
        <v>1000</v>
      </c>
      <c r="I354" s="115" t="s">
        <v>383</v>
      </c>
    </row>
    <row r="355" spans="1:9" ht="25.5" hidden="1" customHeight="1" x14ac:dyDescent="0.25">
      <c r="A355" s="114">
        <v>3779</v>
      </c>
      <c r="B355" s="114">
        <v>2</v>
      </c>
      <c r="C355" s="115" t="s">
        <v>390</v>
      </c>
      <c r="D355" s="118" t="s">
        <v>494</v>
      </c>
      <c r="E355" s="123" t="s">
        <v>433</v>
      </c>
      <c r="F355" s="143">
        <v>45931</v>
      </c>
      <c r="G355" s="117">
        <v>1982.56</v>
      </c>
      <c r="H355" s="117">
        <v>1860.66</v>
      </c>
      <c r="I355" s="115" t="s">
        <v>216</v>
      </c>
    </row>
    <row r="356" spans="1:9" ht="25.5" hidden="1" customHeight="1" x14ac:dyDescent="0.25">
      <c r="A356" s="114">
        <v>3737</v>
      </c>
      <c r="B356" s="114">
        <v>2</v>
      </c>
      <c r="C356" s="115" t="s">
        <v>390</v>
      </c>
      <c r="D356" s="118" t="s">
        <v>494</v>
      </c>
      <c r="E356" s="123" t="s">
        <v>433</v>
      </c>
      <c r="F356" s="143">
        <v>45931</v>
      </c>
      <c r="G356" s="117">
        <v>1982.56</v>
      </c>
      <c r="H356" s="117">
        <v>1860.66</v>
      </c>
      <c r="I356" s="115" t="s">
        <v>216</v>
      </c>
    </row>
    <row r="357" spans="1:9" ht="25.5" hidden="1" customHeight="1" x14ac:dyDescent="0.25">
      <c r="A357" s="114">
        <v>3821</v>
      </c>
      <c r="B357" s="114">
        <v>5</v>
      </c>
      <c r="C357" s="115" t="s">
        <v>380</v>
      </c>
      <c r="D357" s="118" t="s">
        <v>495</v>
      </c>
      <c r="E357" s="116" t="s">
        <v>491</v>
      </c>
      <c r="F357" s="143">
        <v>45931</v>
      </c>
      <c r="G357" s="117">
        <v>525</v>
      </c>
      <c r="H357" s="117">
        <v>492.72</v>
      </c>
      <c r="I357" s="115" t="s">
        <v>217</v>
      </c>
    </row>
    <row r="358" spans="1:9" ht="25.5" hidden="1" customHeight="1" x14ac:dyDescent="0.25">
      <c r="A358" s="114">
        <v>3820</v>
      </c>
      <c r="B358" s="114">
        <v>5</v>
      </c>
      <c r="C358" s="115" t="s">
        <v>380</v>
      </c>
      <c r="D358" s="118" t="s">
        <v>381</v>
      </c>
      <c r="E358" s="122" t="s">
        <v>339</v>
      </c>
      <c r="F358" s="143">
        <v>45931</v>
      </c>
      <c r="G358" s="117">
        <v>11130</v>
      </c>
      <c r="H358" s="117">
        <v>10445.51</v>
      </c>
      <c r="I358" s="115" t="s">
        <v>383</v>
      </c>
    </row>
    <row r="359" spans="1:9" ht="25.5" hidden="1" customHeight="1" x14ac:dyDescent="0.25">
      <c r="A359" s="114">
        <v>3828</v>
      </c>
      <c r="B359" s="114">
        <v>5</v>
      </c>
      <c r="C359" s="115" t="s">
        <v>380</v>
      </c>
      <c r="D359" s="118" t="s">
        <v>495</v>
      </c>
      <c r="E359" s="116" t="s">
        <v>491</v>
      </c>
      <c r="F359" s="143">
        <v>45931</v>
      </c>
      <c r="G359" s="117">
        <v>5145</v>
      </c>
      <c r="H359" s="117">
        <v>4828.59</v>
      </c>
      <c r="I359" s="115" t="s">
        <v>217</v>
      </c>
    </row>
    <row r="360" spans="1:9" ht="25.5" hidden="1" customHeight="1" x14ac:dyDescent="0.25">
      <c r="A360" s="114">
        <v>3757</v>
      </c>
      <c r="B360" s="114">
        <v>5</v>
      </c>
      <c r="C360" s="115" t="s">
        <v>380</v>
      </c>
      <c r="D360" s="118" t="s">
        <v>366</v>
      </c>
      <c r="E360" s="116" t="s">
        <v>389</v>
      </c>
      <c r="F360" s="143">
        <v>45931</v>
      </c>
      <c r="G360" s="117">
        <v>500</v>
      </c>
      <c r="H360" s="117">
        <v>469.25</v>
      </c>
      <c r="I360" s="115" t="s">
        <v>216</v>
      </c>
    </row>
    <row r="361" spans="1:9" ht="25.5" hidden="1" customHeight="1" x14ac:dyDescent="0.25">
      <c r="A361" s="114">
        <v>3829</v>
      </c>
      <c r="B361" s="114">
        <v>5</v>
      </c>
      <c r="C361" s="115" t="s">
        <v>380</v>
      </c>
      <c r="D361" s="118" t="s">
        <v>474</v>
      </c>
      <c r="E361" s="123" t="s">
        <v>475</v>
      </c>
      <c r="F361" s="143">
        <v>45931</v>
      </c>
      <c r="G361" s="117">
        <v>22225</v>
      </c>
      <c r="H361" s="117">
        <v>20858.169999999998</v>
      </c>
      <c r="I361" s="115" t="s">
        <v>216</v>
      </c>
    </row>
    <row r="362" spans="1:9" ht="25.5" hidden="1" customHeight="1" x14ac:dyDescent="0.25">
      <c r="A362" s="114">
        <v>3801</v>
      </c>
      <c r="B362" s="114">
        <v>5</v>
      </c>
      <c r="C362" s="115" t="s">
        <v>380</v>
      </c>
      <c r="D362" s="118" t="s">
        <v>366</v>
      </c>
      <c r="E362" s="116" t="s">
        <v>389</v>
      </c>
      <c r="F362" s="143">
        <v>45931</v>
      </c>
      <c r="G362" s="117">
        <v>500</v>
      </c>
      <c r="H362" s="117">
        <v>469.25</v>
      </c>
      <c r="I362" s="115" t="s">
        <v>216</v>
      </c>
    </row>
    <row r="363" spans="1:9" ht="25.5" hidden="1" customHeight="1" x14ac:dyDescent="0.25">
      <c r="A363" s="114">
        <v>3792</v>
      </c>
      <c r="B363" s="114">
        <v>6</v>
      </c>
      <c r="C363" s="115" t="s">
        <v>496</v>
      </c>
      <c r="D363" s="118" t="s">
        <v>497</v>
      </c>
      <c r="E363" s="116" t="s">
        <v>422</v>
      </c>
      <c r="F363" s="143">
        <v>45931</v>
      </c>
      <c r="G363" s="117">
        <v>4068</v>
      </c>
      <c r="H363" s="117">
        <v>3817.82</v>
      </c>
      <c r="I363" s="115" t="s">
        <v>216</v>
      </c>
    </row>
    <row r="364" spans="1:9" ht="25.5" hidden="1" customHeight="1" x14ac:dyDescent="0.25">
      <c r="A364" s="114">
        <v>3813</v>
      </c>
      <c r="B364" s="114">
        <v>7</v>
      </c>
      <c r="C364" s="115" t="s">
        <v>460</v>
      </c>
      <c r="D364" s="118" t="s">
        <v>385</v>
      </c>
      <c r="E364" s="116" t="s">
        <v>357</v>
      </c>
      <c r="F364" s="143">
        <v>45931</v>
      </c>
      <c r="G364" s="117">
        <v>15628.61</v>
      </c>
      <c r="H364" s="117">
        <v>14667.48</v>
      </c>
      <c r="I364" s="115" t="s">
        <v>383</v>
      </c>
    </row>
    <row r="365" spans="1:9" ht="25.5" hidden="1" customHeight="1" x14ac:dyDescent="0.25">
      <c r="A365" s="114">
        <v>3782</v>
      </c>
      <c r="B365" s="114">
        <v>9</v>
      </c>
      <c r="C365" s="115" t="s">
        <v>467</v>
      </c>
      <c r="D365" s="118" t="s">
        <v>468</v>
      </c>
      <c r="E365" s="116" t="s">
        <v>469</v>
      </c>
      <c r="F365" s="143">
        <v>45931</v>
      </c>
      <c r="G365" s="117">
        <v>9410</v>
      </c>
      <c r="H365" s="117">
        <v>8831.2900000000009</v>
      </c>
      <c r="I365" s="115" t="s">
        <v>217</v>
      </c>
    </row>
    <row r="366" spans="1:9" ht="25.5" hidden="1" customHeight="1" x14ac:dyDescent="0.25">
      <c r="A366" s="114">
        <v>3863</v>
      </c>
      <c r="B366" s="114">
        <v>20</v>
      </c>
      <c r="C366" s="115" t="s">
        <v>438</v>
      </c>
      <c r="D366" s="118" t="s">
        <v>424</v>
      </c>
      <c r="E366" s="116" t="s">
        <v>439</v>
      </c>
      <c r="F366" s="143">
        <v>45931</v>
      </c>
      <c r="G366" s="117">
        <v>1533.33</v>
      </c>
      <c r="H366" s="117">
        <v>1533.33</v>
      </c>
      <c r="I366" s="115" t="s">
        <v>216</v>
      </c>
    </row>
    <row r="367" spans="1:9" ht="25.5" hidden="1" customHeight="1" x14ac:dyDescent="0.25">
      <c r="A367" s="114">
        <v>3818</v>
      </c>
      <c r="B367" s="114">
        <v>61</v>
      </c>
      <c r="C367" s="115" t="s">
        <v>398</v>
      </c>
      <c r="D367" s="118" t="s">
        <v>407</v>
      </c>
      <c r="E367" s="116" t="s">
        <v>408</v>
      </c>
      <c r="F367" s="143">
        <v>45931</v>
      </c>
      <c r="G367" s="117">
        <v>30000</v>
      </c>
      <c r="H367" s="117">
        <v>14077.5</v>
      </c>
      <c r="I367" s="115" t="s">
        <v>217</v>
      </c>
    </row>
    <row r="368" spans="1:9" ht="25.5" hidden="1" customHeight="1" x14ac:dyDescent="0.25">
      <c r="A368" s="114">
        <v>3823</v>
      </c>
      <c r="B368" s="114">
        <v>61</v>
      </c>
      <c r="C368" s="115" t="s">
        <v>398</v>
      </c>
      <c r="D368" s="118" t="s">
        <v>399</v>
      </c>
      <c r="E368" s="116" t="s">
        <v>400</v>
      </c>
      <c r="F368" s="143">
        <v>45931</v>
      </c>
      <c r="G368" s="117">
        <v>60000</v>
      </c>
      <c r="H368" s="117">
        <v>56310</v>
      </c>
      <c r="I368" s="115" t="s">
        <v>217</v>
      </c>
    </row>
    <row r="369" spans="1:9" ht="25.5" hidden="1" customHeight="1" x14ac:dyDescent="0.25">
      <c r="A369" s="114">
        <v>3749</v>
      </c>
      <c r="B369" s="114">
        <v>61</v>
      </c>
      <c r="C369" s="115" t="s">
        <v>398</v>
      </c>
      <c r="D369" s="118" t="s">
        <v>407</v>
      </c>
      <c r="E369" s="116" t="s">
        <v>408</v>
      </c>
      <c r="F369" s="143">
        <v>45931</v>
      </c>
      <c r="G369" s="117">
        <v>30000</v>
      </c>
      <c r="H369" s="117">
        <v>14077.5</v>
      </c>
      <c r="I369" s="115" t="s">
        <v>217</v>
      </c>
    </row>
    <row r="370" spans="1:9" ht="25.5" hidden="1" customHeight="1" x14ac:dyDescent="0.25">
      <c r="A370" s="114">
        <v>3871</v>
      </c>
      <c r="B370" s="114">
        <v>64</v>
      </c>
      <c r="C370" s="115" t="s">
        <v>498</v>
      </c>
      <c r="D370" s="118" t="s">
        <v>499</v>
      </c>
      <c r="E370" s="123" t="s">
        <v>476</v>
      </c>
      <c r="F370" s="143">
        <v>45931</v>
      </c>
      <c r="G370" s="117">
        <v>16455</v>
      </c>
      <c r="H370" s="117">
        <v>15443.03</v>
      </c>
      <c r="I370" s="115" t="s">
        <v>216</v>
      </c>
    </row>
    <row r="371" spans="1:9" ht="25.5" hidden="1" customHeight="1" x14ac:dyDescent="0.25">
      <c r="A371" s="114">
        <v>3534</v>
      </c>
      <c r="B371" s="114">
        <v>136</v>
      </c>
      <c r="C371" s="115" t="s">
        <v>365</v>
      </c>
      <c r="D371" s="118" t="s">
        <v>381</v>
      </c>
      <c r="E371" s="116" t="s">
        <v>342</v>
      </c>
      <c r="F371" s="143">
        <v>45831</v>
      </c>
      <c r="G371" s="117">
        <v>11525</v>
      </c>
      <c r="H371" s="117">
        <v>11525</v>
      </c>
      <c r="I371" s="115" t="s">
        <v>245</v>
      </c>
    </row>
    <row r="372" spans="1:9" ht="25.5" hidden="1" customHeight="1" x14ac:dyDescent="0.25">
      <c r="A372" s="114">
        <v>3845</v>
      </c>
      <c r="B372" s="114">
        <v>84</v>
      </c>
      <c r="C372" s="115" t="s">
        <v>501</v>
      </c>
      <c r="D372" s="118" t="s">
        <v>399</v>
      </c>
      <c r="E372" s="116" t="s">
        <v>502</v>
      </c>
      <c r="F372" s="143">
        <v>45931</v>
      </c>
      <c r="G372" s="117">
        <v>11500</v>
      </c>
      <c r="H372" s="117">
        <v>10792.75</v>
      </c>
      <c r="I372" s="115" t="s">
        <v>245</v>
      </c>
    </row>
    <row r="373" spans="1:9" ht="25.5" hidden="1" customHeight="1" x14ac:dyDescent="0.25">
      <c r="A373" s="114">
        <v>3764</v>
      </c>
      <c r="B373" s="114">
        <v>87</v>
      </c>
      <c r="C373" s="115" t="s">
        <v>503</v>
      </c>
      <c r="D373" s="118" t="s">
        <v>428</v>
      </c>
      <c r="E373" s="116" t="s">
        <v>489</v>
      </c>
      <c r="F373" s="143">
        <v>45931</v>
      </c>
      <c r="G373" s="117">
        <v>2791.67</v>
      </c>
      <c r="H373" s="117">
        <v>2791.67</v>
      </c>
      <c r="I373" s="115" t="s">
        <v>217</v>
      </c>
    </row>
    <row r="374" spans="1:9" ht="25.5" hidden="1" customHeight="1" x14ac:dyDescent="0.25">
      <c r="A374" s="114">
        <v>3810</v>
      </c>
      <c r="B374" s="114">
        <v>87</v>
      </c>
      <c r="C374" s="115" t="s">
        <v>503</v>
      </c>
      <c r="D374" s="118" t="s">
        <v>428</v>
      </c>
      <c r="E374" s="116" t="s">
        <v>489</v>
      </c>
      <c r="F374" s="143">
        <v>45931</v>
      </c>
      <c r="G374" s="117">
        <v>6083.33</v>
      </c>
      <c r="H374" s="117">
        <v>6083.33</v>
      </c>
      <c r="I374" s="115" t="s">
        <v>217</v>
      </c>
    </row>
    <row r="375" spans="1:9" ht="25.5" hidden="1" customHeight="1" x14ac:dyDescent="0.25">
      <c r="A375" s="114">
        <v>3811</v>
      </c>
      <c r="B375" s="114">
        <v>87</v>
      </c>
      <c r="C375" s="115" t="s">
        <v>503</v>
      </c>
      <c r="D375" s="118" t="s">
        <v>424</v>
      </c>
      <c r="E375" s="116" t="s">
        <v>441</v>
      </c>
      <c r="F375" s="143">
        <v>45931</v>
      </c>
      <c r="G375" s="117">
        <v>900</v>
      </c>
      <c r="H375" s="117">
        <v>900</v>
      </c>
      <c r="I375" s="115" t="s">
        <v>217</v>
      </c>
    </row>
    <row r="376" spans="1:9" ht="25.5" hidden="1" customHeight="1" x14ac:dyDescent="0.25">
      <c r="A376" s="114">
        <v>3785</v>
      </c>
      <c r="B376" s="114">
        <v>97</v>
      </c>
      <c r="C376" s="115" t="s">
        <v>396</v>
      </c>
      <c r="D376" s="118" t="s">
        <v>381</v>
      </c>
      <c r="E376" s="116" t="s">
        <v>397</v>
      </c>
      <c r="F376" s="143">
        <v>45931</v>
      </c>
      <c r="G376" s="117">
        <v>14198.34</v>
      </c>
      <c r="H376" s="117">
        <v>13325.16</v>
      </c>
      <c r="I376" s="115" t="s">
        <v>245</v>
      </c>
    </row>
    <row r="377" spans="1:9" ht="25.5" hidden="1" customHeight="1" x14ac:dyDescent="0.25">
      <c r="A377" s="114">
        <v>3610</v>
      </c>
      <c r="B377" s="114">
        <v>115</v>
      </c>
      <c r="C377" s="115" t="s">
        <v>409</v>
      </c>
      <c r="D377" s="115" t="s">
        <v>381</v>
      </c>
      <c r="E377" s="116" t="s">
        <v>410</v>
      </c>
      <c r="F377" s="143">
        <v>45817</v>
      </c>
      <c r="G377" s="117">
        <v>2800</v>
      </c>
      <c r="H377" s="117">
        <v>466.66</v>
      </c>
      <c r="I377" s="115" t="s">
        <v>383</v>
      </c>
    </row>
    <row r="378" spans="1:9" ht="25.5" hidden="1" customHeight="1" x14ac:dyDescent="0.25">
      <c r="A378" s="114">
        <v>3611</v>
      </c>
      <c r="B378" s="114">
        <v>115</v>
      </c>
      <c r="C378" s="115" t="s">
        <v>409</v>
      </c>
      <c r="D378" s="115" t="s">
        <v>381</v>
      </c>
      <c r="E378" s="116" t="s">
        <v>410</v>
      </c>
      <c r="F378" s="143">
        <v>45818</v>
      </c>
      <c r="G378" s="117">
        <v>2800</v>
      </c>
      <c r="H378" s="117">
        <v>466.68</v>
      </c>
      <c r="I378" s="115" t="s">
        <v>383</v>
      </c>
    </row>
    <row r="379" spans="1:9" ht="25.5" hidden="1" customHeight="1" x14ac:dyDescent="0.25">
      <c r="A379" s="114">
        <v>3660</v>
      </c>
      <c r="B379" s="114">
        <v>115</v>
      </c>
      <c r="C379" s="115" t="s">
        <v>409</v>
      </c>
      <c r="D379" s="115" t="s">
        <v>381</v>
      </c>
      <c r="E379" s="116" t="s">
        <v>410</v>
      </c>
      <c r="F379" s="143">
        <v>45828</v>
      </c>
      <c r="G379" s="117">
        <v>2800</v>
      </c>
      <c r="H379" s="117">
        <v>466.66</v>
      </c>
      <c r="I379" s="115" t="s">
        <v>383</v>
      </c>
    </row>
    <row r="380" spans="1:9" ht="25.5" hidden="1" customHeight="1" x14ac:dyDescent="0.25">
      <c r="A380" s="114">
        <v>3613</v>
      </c>
      <c r="B380" s="114">
        <v>115</v>
      </c>
      <c r="C380" s="115" t="s">
        <v>409</v>
      </c>
      <c r="D380" s="115" t="s">
        <v>381</v>
      </c>
      <c r="E380" s="116" t="s">
        <v>410</v>
      </c>
      <c r="F380" s="143">
        <v>45838</v>
      </c>
      <c r="G380" s="117">
        <v>2800</v>
      </c>
      <c r="H380" s="117">
        <v>1400</v>
      </c>
      <c r="I380" s="115" t="s">
        <v>383</v>
      </c>
    </row>
    <row r="381" spans="1:9" ht="25.5" hidden="1" customHeight="1" x14ac:dyDescent="0.25">
      <c r="A381" s="114">
        <v>3659</v>
      </c>
      <c r="B381" s="114">
        <v>115</v>
      </c>
      <c r="C381" s="115" t="s">
        <v>409</v>
      </c>
      <c r="D381" s="115" t="s">
        <v>381</v>
      </c>
      <c r="E381" s="116" t="s">
        <v>410</v>
      </c>
      <c r="F381" s="143">
        <v>45848</v>
      </c>
      <c r="G381" s="117">
        <v>2800</v>
      </c>
      <c r="H381" s="117">
        <v>466.68</v>
      </c>
      <c r="I381" s="115" t="s">
        <v>383</v>
      </c>
    </row>
    <row r="382" spans="1:9" ht="25.5" hidden="1" customHeight="1" x14ac:dyDescent="0.25">
      <c r="A382" s="114">
        <v>3661</v>
      </c>
      <c r="B382" s="114">
        <v>115</v>
      </c>
      <c r="C382" s="115" t="s">
        <v>409</v>
      </c>
      <c r="D382" s="115" t="s">
        <v>381</v>
      </c>
      <c r="E382" s="116" t="s">
        <v>410</v>
      </c>
      <c r="F382" s="143">
        <v>45854</v>
      </c>
      <c r="G382" s="117">
        <v>2800</v>
      </c>
      <c r="H382" s="117">
        <v>1400</v>
      </c>
      <c r="I382" s="115" t="s">
        <v>383</v>
      </c>
    </row>
    <row r="383" spans="1:9" ht="25.5" hidden="1" customHeight="1" x14ac:dyDescent="0.25">
      <c r="A383" s="114">
        <v>3658</v>
      </c>
      <c r="B383" s="114">
        <v>115</v>
      </c>
      <c r="C383" s="115" t="s">
        <v>409</v>
      </c>
      <c r="D383" s="115" t="s">
        <v>381</v>
      </c>
      <c r="E383" s="116" t="s">
        <v>410</v>
      </c>
      <c r="F383" s="143">
        <v>45855</v>
      </c>
      <c r="G383" s="117">
        <v>2800</v>
      </c>
      <c r="H383" s="117">
        <v>466.66</v>
      </c>
      <c r="I383" s="115" t="s">
        <v>383</v>
      </c>
    </row>
    <row r="384" spans="1:9" ht="25.5" hidden="1" customHeight="1" x14ac:dyDescent="0.25">
      <c r="A384" s="114">
        <v>3706</v>
      </c>
      <c r="B384" s="114">
        <v>115</v>
      </c>
      <c r="C384" s="115" t="s">
        <v>409</v>
      </c>
      <c r="D384" s="115" t="s">
        <v>381</v>
      </c>
      <c r="E384" s="116" t="s">
        <v>410</v>
      </c>
      <c r="F384" s="143">
        <v>45859</v>
      </c>
      <c r="G384" s="117">
        <v>2800</v>
      </c>
      <c r="H384" s="117">
        <v>466.66</v>
      </c>
      <c r="I384" s="115" t="s">
        <v>383</v>
      </c>
    </row>
    <row r="385" spans="1:9" ht="25.5" hidden="1" customHeight="1" x14ac:dyDescent="0.25">
      <c r="A385" s="114">
        <v>3704</v>
      </c>
      <c r="B385" s="114">
        <v>115</v>
      </c>
      <c r="C385" s="115" t="s">
        <v>409</v>
      </c>
      <c r="D385" s="115" t="s">
        <v>381</v>
      </c>
      <c r="E385" s="116" t="s">
        <v>410</v>
      </c>
      <c r="F385" s="143">
        <v>45873</v>
      </c>
      <c r="G385" s="117">
        <v>2800</v>
      </c>
      <c r="H385" s="117">
        <v>466.66</v>
      </c>
      <c r="I385" s="115" t="s">
        <v>383</v>
      </c>
    </row>
    <row r="386" spans="1:9" ht="25.5" hidden="1" customHeight="1" x14ac:dyDescent="0.25">
      <c r="A386" s="114">
        <v>3866</v>
      </c>
      <c r="B386" s="114">
        <v>123</v>
      </c>
      <c r="C386" s="115" t="s">
        <v>413</v>
      </c>
      <c r="D386" s="118" t="s">
        <v>381</v>
      </c>
      <c r="E386" s="116" t="s">
        <v>414</v>
      </c>
      <c r="F386" s="143">
        <v>45931</v>
      </c>
      <c r="G386" s="117">
        <v>1000</v>
      </c>
      <c r="H386" s="117">
        <v>1000</v>
      </c>
      <c r="I386" s="115" t="s">
        <v>216</v>
      </c>
    </row>
    <row r="387" spans="1:9" ht="25.5" customHeight="1" x14ac:dyDescent="0.25">
      <c r="A387" s="114">
        <v>3945</v>
      </c>
      <c r="B387" s="114">
        <v>7</v>
      </c>
      <c r="C387" s="115" t="s">
        <v>460</v>
      </c>
      <c r="D387" s="118" t="s">
        <v>381</v>
      </c>
      <c r="E387" s="116" t="s">
        <v>461</v>
      </c>
      <c r="F387" s="143">
        <v>46038</v>
      </c>
      <c r="G387" s="117">
        <v>10064.34</v>
      </c>
      <c r="H387" s="117">
        <v>9445.4</v>
      </c>
      <c r="I387" s="115" t="s">
        <v>217</v>
      </c>
    </row>
    <row r="388" spans="1:9" ht="25.5" customHeight="1" x14ac:dyDescent="0.25">
      <c r="A388" s="114">
        <v>3953</v>
      </c>
      <c r="B388" s="114">
        <v>114</v>
      </c>
      <c r="C388" s="115" t="s">
        <v>504</v>
      </c>
      <c r="D388" s="118" t="s">
        <v>381</v>
      </c>
      <c r="E388" s="116" t="s">
        <v>412</v>
      </c>
      <c r="F388" s="143">
        <v>46039</v>
      </c>
      <c r="G388" s="117">
        <v>12570.97</v>
      </c>
      <c r="H388" s="117">
        <v>5898.95</v>
      </c>
      <c r="I388" s="115" t="s">
        <v>217</v>
      </c>
    </row>
    <row r="389" spans="1:9" ht="25.5" customHeight="1" x14ac:dyDescent="0.25">
      <c r="A389" s="114">
        <v>3963</v>
      </c>
      <c r="B389" s="114">
        <v>5</v>
      </c>
      <c r="C389" s="115" t="s">
        <v>380</v>
      </c>
      <c r="D389" s="118" t="s">
        <v>495</v>
      </c>
      <c r="E389" s="116" t="s">
        <v>491</v>
      </c>
      <c r="F389" s="143">
        <v>46040</v>
      </c>
      <c r="G389" s="117">
        <v>4930</v>
      </c>
      <c r="H389" s="117">
        <v>4626.8100000000004</v>
      </c>
      <c r="I389" s="115" t="s">
        <v>217</v>
      </c>
    </row>
    <row r="390" spans="1:9" ht="25.5" hidden="1" customHeight="1" x14ac:dyDescent="0.25">
      <c r="A390" s="114">
        <v>3536</v>
      </c>
      <c r="B390" s="114">
        <v>136</v>
      </c>
      <c r="C390" s="115" t="s">
        <v>365</v>
      </c>
      <c r="D390" s="86">
        <v>1</v>
      </c>
      <c r="E390" s="122" t="s">
        <v>342</v>
      </c>
      <c r="F390" s="143">
        <v>45894</v>
      </c>
      <c r="G390" s="117">
        <v>19366.669999999998</v>
      </c>
      <c r="H390" s="117">
        <v>19366.669999999998</v>
      </c>
      <c r="I390" s="115" t="s">
        <v>245</v>
      </c>
    </row>
    <row r="391" spans="1:9" ht="25.5" hidden="1" customHeight="1" x14ac:dyDescent="0.25">
      <c r="A391" s="114">
        <v>3817</v>
      </c>
      <c r="B391" s="114">
        <v>139</v>
      </c>
      <c r="C391" s="115" t="s">
        <v>465</v>
      </c>
      <c r="D391" s="118" t="s">
        <v>424</v>
      </c>
      <c r="E391" s="116" t="s">
        <v>479</v>
      </c>
      <c r="F391" s="143">
        <v>45931</v>
      </c>
      <c r="G391" s="117">
        <v>10000</v>
      </c>
      <c r="H391" s="117">
        <v>9385</v>
      </c>
      <c r="I391" s="115" t="s">
        <v>217</v>
      </c>
    </row>
    <row r="392" spans="1:9" ht="25.5" hidden="1" customHeight="1" x14ac:dyDescent="0.25">
      <c r="A392" s="114">
        <v>3880</v>
      </c>
      <c r="B392" s="114">
        <v>145</v>
      </c>
      <c r="C392" s="115" t="s">
        <v>506</v>
      </c>
      <c r="D392" s="118" t="s">
        <v>381</v>
      </c>
      <c r="E392" s="116" t="s">
        <v>363</v>
      </c>
      <c r="F392" s="143">
        <v>45931</v>
      </c>
      <c r="G392" s="117">
        <v>25000</v>
      </c>
      <c r="H392" s="117">
        <v>23462.5</v>
      </c>
      <c r="I392" s="115" t="s">
        <v>216</v>
      </c>
    </row>
    <row r="393" spans="1:9" ht="25.5" hidden="1" customHeight="1" x14ac:dyDescent="0.25">
      <c r="A393" s="114">
        <v>3780</v>
      </c>
      <c r="B393" s="114">
        <v>3</v>
      </c>
      <c r="C393" s="115" t="s">
        <v>384</v>
      </c>
      <c r="D393" s="118" t="s">
        <v>385</v>
      </c>
      <c r="E393" s="116" t="s">
        <v>386</v>
      </c>
      <c r="F393" s="143">
        <v>45964</v>
      </c>
      <c r="G393" s="117">
        <v>348193</v>
      </c>
      <c r="H393" s="117">
        <v>326779.14</v>
      </c>
      <c r="I393" s="115" t="s">
        <v>245</v>
      </c>
    </row>
    <row r="394" spans="1:9" ht="25.5" hidden="1" customHeight="1" x14ac:dyDescent="0.25">
      <c r="A394" s="114">
        <v>3819</v>
      </c>
      <c r="B394" s="114">
        <v>61</v>
      </c>
      <c r="C394" s="115" t="s">
        <v>398</v>
      </c>
      <c r="D394" s="118" t="s">
        <v>407</v>
      </c>
      <c r="E394" s="116" t="s">
        <v>408</v>
      </c>
      <c r="F394" s="143">
        <v>45964</v>
      </c>
      <c r="G394" s="117">
        <v>30000</v>
      </c>
      <c r="H394" s="117">
        <v>14077.5</v>
      </c>
      <c r="I394" s="115" t="s">
        <v>217</v>
      </c>
    </row>
    <row r="395" spans="1:9" ht="25.5" hidden="1" customHeight="1" x14ac:dyDescent="0.25">
      <c r="A395" s="114">
        <v>3705</v>
      </c>
      <c r="B395" s="114">
        <v>115</v>
      </c>
      <c r="C395" s="115" t="s">
        <v>409</v>
      </c>
      <c r="D395" s="115" t="s">
        <v>381</v>
      </c>
      <c r="E395" s="116" t="s">
        <v>410</v>
      </c>
      <c r="F395" s="143">
        <v>45880</v>
      </c>
      <c r="G395" s="117">
        <v>2800</v>
      </c>
      <c r="H395" s="117">
        <v>466.68</v>
      </c>
      <c r="I395" s="115" t="s">
        <v>383</v>
      </c>
    </row>
    <row r="396" spans="1:9" ht="25.5" hidden="1" customHeight="1" x14ac:dyDescent="0.25">
      <c r="A396" s="114">
        <v>3753</v>
      </c>
      <c r="B396" s="114">
        <v>115</v>
      </c>
      <c r="C396" s="115" t="s">
        <v>409</v>
      </c>
      <c r="D396" s="115" t="s">
        <v>381</v>
      </c>
      <c r="E396" s="116" t="s">
        <v>410</v>
      </c>
      <c r="F396" s="143">
        <v>45881</v>
      </c>
      <c r="G396" s="117">
        <v>2800</v>
      </c>
      <c r="H396" s="117">
        <v>466.66</v>
      </c>
      <c r="I396" s="115" t="s">
        <v>383</v>
      </c>
    </row>
    <row r="397" spans="1:9" ht="25.5" hidden="1" customHeight="1" x14ac:dyDescent="0.25">
      <c r="A397" s="114">
        <v>3825</v>
      </c>
      <c r="B397" s="114">
        <v>2</v>
      </c>
      <c r="C397" s="115" t="s">
        <v>390</v>
      </c>
      <c r="D397" s="118" t="s">
        <v>494</v>
      </c>
      <c r="E397" s="123" t="s">
        <v>433</v>
      </c>
      <c r="F397" s="143">
        <v>45966</v>
      </c>
      <c r="G397" s="117">
        <v>1982.56</v>
      </c>
      <c r="H397" s="117">
        <v>1860.66</v>
      </c>
      <c r="I397" s="115" t="s">
        <v>216</v>
      </c>
    </row>
    <row r="398" spans="1:9" ht="25.5" hidden="1" customHeight="1" x14ac:dyDescent="0.25">
      <c r="A398" s="114">
        <v>3877</v>
      </c>
      <c r="B398" s="114">
        <v>5</v>
      </c>
      <c r="C398" s="115" t="s">
        <v>380</v>
      </c>
      <c r="D398" s="118" t="s">
        <v>495</v>
      </c>
      <c r="E398" s="116" t="s">
        <v>491</v>
      </c>
      <c r="F398" s="143">
        <v>45966</v>
      </c>
      <c r="G398" s="117">
        <v>9205</v>
      </c>
      <c r="H398" s="117">
        <v>8638.9</v>
      </c>
      <c r="I398" s="115" t="s">
        <v>217</v>
      </c>
    </row>
    <row r="399" spans="1:9" ht="25.5" hidden="1" customHeight="1" x14ac:dyDescent="0.25">
      <c r="A399" s="114">
        <v>3878</v>
      </c>
      <c r="B399" s="114">
        <v>5</v>
      </c>
      <c r="C399" s="115" t="s">
        <v>380</v>
      </c>
      <c r="D399" s="118" t="s">
        <v>381</v>
      </c>
      <c r="E399" s="122" t="s">
        <v>339</v>
      </c>
      <c r="F399" s="143">
        <v>45966</v>
      </c>
      <c r="G399" s="117">
        <v>4130</v>
      </c>
      <c r="H399" s="117">
        <v>3876.01</v>
      </c>
      <c r="I399" s="115" t="s">
        <v>216</v>
      </c>
    </row>
    <row r="400" spans="1:9" ht="25.5" hidden="1" customHeight="1" x14ac:dyDescent="0.25">
      <c r="A400" s="114">
        <v>3882</v>
      </c>
      <c r="B400" s="114">
        <v>5</v>
      </c>
      <c r="C400" s="115" t="s">
        <v>380</v>
      </c>
      <c r="D400" s="118" t="s">
        <v>424</v>
      </c>
      <c r="E400" s="116" t="s">
        <v>507</v>
      </c>
      <c r="F400" s="143">
        <v>45966</v>
      </c>
      <c r="G400" s="117">
        <v>376703.9</v>
      </c>
      <c r="H400" s="117">
        <v>353536.64</v>
      </c>
      <c r="I400" s="115" t="s">
        <v>216</v>
      </c>
    </row>
    <row r="401" spans="1:9" ht="25.5" hidden="1" customHeight="1" x14ac:dyDescent="0.25">
      <c r="A401" s="114">
        <v>3736</v>
      </c>
      <c r="B401" s="114">
        <v>136</v>
      </c>
      <c r="C401" s="115" t="s">
        <v>365</v>
      </c>
      <c r="D401" s="86">
        <v>2</v>
      </c>
      <c r="E401" s="122" t="s">
        <v>358</v>
      </c>
      <c r="F401" s="143">
        <v>45916</v>
      </c>
      <c r="G401" s="117">
        <v>2983.33</v>
      </c>
      <c r="H401" s="117">
        <v>2983.33</v>
      </c>
      <c r="I401" s="115" t="s">
        <v>245</v>
      </c>
    </row>
    <row r="402" spans="1:9" ht="25.5" hidden="1" customHeight="1" x14ac:dyDescent="0.25">
      <c r="A402" s="114">
        <v>3840</v>
      </c>
      <c r="B402" s="114">
        <v>97</v>
      </c>
      <c r="C402" s="115" t="s">
        <v>396</v>
      </c>
      <c r="D402" s="118" t="s">
        <v>381</v>
      </c>
      <c r="E402" s="116" t="s">
        <v>397</v>
      </c>
      <c r="F402" s="143">
        <v>45968</v>
      </c>
      <c r="G402" s="117">
        <v>6923.33</v>
      </c>
      <c r="H402" s="117">
        <v>6497.57</v>
      </c>
      <c r="I402" s="115" t="s">
        <v>245</v>
      </c>
    </row>
    <row r="403" spans="1:9" ht="25.5" hidden="1" customHeight="1" x14ac:dyDescent="0.25">
      <c r="A403" s="114">
        <v>3707</v>
      </c>
      <c r="B403" s="114">
        <v>115</v>
      </c>
      <c r="C403" s="115" t="s">
        <v>409</v>
      </c>
      <c r="D403" s="115" t="s">
        <v>381</v>
      </c>
      <c r="E403" s="116" t="s">
        <v>410</v>
      </c>
      <c r="F403" s="143">
        <v>45894</v>
      </c>
      <c r="G403" s="117">
        <v>2800</v>
      </c>
      <c r="H403" s="117">
        <v>1400</v>
      </c>
      <c r="I403" s="115" t="s">
        <v>383</v>
      </c>
    </row>
    <row r="404" spans="1:9" ht="25.5" hidden="1" customHeight="1" x14ac:dyDescent="0.25">
      <c r="A404" s="114">
        <v>3841</v>
      </c>
      <c r="B404" s="114">
        <v>6</v>
      </c>
      <c r="C404" s="115" t="s">
        <v>510</v>
      </c>
      <c r="D404" s="118" t="s">
        <v>497</v>
      </c>
      <c r="E404" s="116" t="s">
        <v>422</v>
      </c>
      <c r="F404" s="143">
        <v>45973</v>
      </c>
      <c r="G404" s="117">
        <v>4068</v>
      </c>
      <c r="H404" s="117">
        <v>3817.82</v>
      </c>
      <c r="I404" s="115" t="s">
        <v>216</v>
      </c>
    </row>
    <row r="405" spans="1:9" ht="25.5" hidden="1" customHeight="1" x14ac:dyDescent="0.25">
      <c r="A405" s="114">
        <v>3858</v>
      </c>
      <c r="B405" s="114">
        <v>22</v>
      </c>
      <c r="C405" s="115" t="s">
        <v>511</v>
      </c>
      <c r="D405" s="118" t="s">
        <v>381</v>
      </c>
      <c r="E405" s="116" t="s">
        <v>512</v>
      </c>
      <c r="F405" s="143">
        <v>45973</v>
      </c>
      <c r="G405" s="117">
        <v>3860</v>
      </c>
      <c r="H405" s="117">
        <v>3622.61</v>
      </c>
      <c r="I405" s="115" t="s">
        <v>217</v>
      </c>
    </row>
    <row r="406" spans="1:9" ht="25.5" hidden="1" customHeight="1" x14ac:dyDescent="0.25">
      <c r="A406" s="114">
        <v>3673</v>
      </c>
      <c r="B406" s="114">
        <v>61</v>
      </c>
      <c r="C406" s="115" t="s">
        <v>398</v>
      </c>
      <c r="D406" s="118" t="s">
        <v>401</v>
      </c>
      <c r="E406" s="116" t="s">
        <v>400</v>
      </c>
      <c r="F406" s="143">
        <v>45974</v>
      </c>
      <c r="G406" s="117">
        <v>22708.400000000001</v>
      </c>
      <c r="H406" s="117">
        <v>21311.85</v>
      </c>
      <c r="I406" s="115" t="s">
        <v>217</v>
      </c>
    </row>
    <row r="407" spans="1:9" ht="25.5" hidden="1" customHeight="1" x14ac:dyDescent="0.25">
      <c r="A407" s="452">
        <v>3852</v>
      </c>
      <c r="B407" s="452">
        <v>7</v>
      </c>
      <c r="C407" s="453" t="s">
        <v>460</v>
      </c>
      <c r="D407" s="454" t="s">
        <v>381</v>
      </c>
      <c r="E407" s="455" t="s">
        <v>356</v>
      </c>
      <c r="F407" s="456">
        <v>45973</v>
      </c>
      <c r="G407" s="457">
        <v>7028.61</v>
      </c>
      <c r="H407" s="457">
        <v>6596.38</v>
      </c>
      <c r="I407" s="453" t="s">
        <v>217</v>
      </c>
    </row>
    <row r="408" spans="1:9" ht="25.5" hidden="1" customHeight="1" x14ac:dyDescent="0.25">
      <c r="A408" s="452">
        <v>3853</v>
      </c>
      <c r="B408" s="452">
        <v>7</v>
      </c>
      <c r="C408" s="453" t="s">
        <v>460</v>
      </c>
      <c r="D408" s="454" t="s">
        <v>385</v>
      </c>
      <c r="E408" s="455" t="s">
        <v>357</v>
      </c>
      <c r="F408" s="456">
        <v>45973</v>
      </c>
      <c r="G408" s="457">
        <v>4371.4399999999996</v>
      </c>
      <c r="H408" s="457">
        <v>4102.6000000000004</v>
      </c>
      <c r="I408" s="453" t="s">
        <v>383</v>
      </c>
    </row>
    <row r="409" spans="1:9" ht="25.5" hidden="1" customHeight="1" x14ac:dyDescent="0.25">
      <c r="A409" s="114">
        <v>3674</v>
      </c>
      <c r="B409" s="114">
        <v>61</v>
      </c>
      <c r="C409" s="115" t="s">
        <v>398</v>
      </c>
      <c r="D409" s="118" t="s">
        <v>399</v>
      </c>
      <c r="E409" s="116" t="s">
        <v>400</v>
      </c>
      <c r="F409" s="143">
        <v>45974</v>
      </c>
      <c r="G409" s="117">
        <v>49027.82</v>
      </c>
      <c r="H409" s="117">
        <v>46012.62</v>
      </c>
      <c r="I409" s="115" t="s">
        <v>217</v>
      </c>
    </row>
    <row r="410" spans="1:9" ht="25.5" hidden="1" customHeight="1" x14ac:dyDescent="0.25">
      <c r="A410" s="114">
        <v>3675</v>
      </c>
      <c r="B410" s="114">
        <v>61</v>
      </c>
      <c r="C410" s="115" t="s">
        <v>398</v>
      </c>
      <c r="D410" s="118" t="s">
        <v>385</v>
      </c>
      <c r="E410" s="116" t="s">
        <v>402</v>
      </c>
      <c r="F410" s="143">
        <v>45974</v>
      </c>
      <c r="G410" s="117">
        <v>7427.28</v>
      </c>
      <c r="H410" s="117">
        <v>6970.52</v>
      </c>
      <c r="I410" s="115" t="s">
        <v>217</v>
      </c>
    </row>
    <row r="411" spans="1:9" ht="25.5" hidden="1" customHeight="1" x14ac:dyDescent="0.25">
      <c r="A411" s="114">
        <v>3872</v>
      </c>
      <c r="B411" s="114">
        <v>127</v>
      </c>
      <c r="C411" s="115" t="s">
        <v>513</v>
      </c>
      <c r="D411" s="118" t="s">
        <v>424</v>
      </c>
      <c r="E411" s="116" t="s">
        <v>514</v>
      </c>
      <c r="F411" s="143">
        <v>45975</v>
      </c>
      <c r="G411" s="117">
        <v>12000</v>
      </c>
      <c r="H411" s="117">
        <v>11262</v>
      </c>
      <c r="I411" s="115" t="s">
        <v>217</v>
      </c>
    </row>
    <row r="412" spans="1:9" ht="25.5" customHeight="1" x14ac:dyDescent="0.25">
      <c r="A412" s="114">
        <v>3959</v>
      </c>
      <c r="B412" s="114">
        <v>130</v>
      </c>
      <c r="C412" s="115" t="s">
        <v>505</v>
      </c>
      <c r="D412" s="118" t="s">
        <v>381</v>
      </c>
      <c r="E412" s="116" t="s">
        <v>393</v>
      </c>
      <c r="F412" s="143">
        <v>46041</v>
      </c>
      <c r="G412" s="117">
        <v>39116.660000000003</v>
      </c>
      <c r="H412" s="117">
        <v>18355.52</v>
      </c>
      <c r="I412" s="115" t="s">
        <v>245</v>
      </c>
    </row>
    <row r="413" spans="1:9" ht="25.5" hidden="1" customHeight="1" x14ac:dyDescent="0.25">
      <c r="A413" s="114">
        <v>3262</v>
      </c>
      <c r="B413" s="114">
        <v>132</v>
      </c>
      <c r="C413" s="115" t="s">
        <v>426</v>
      </c>
      <c r="D413" s="118" t="s">
        <v>381</v>
      </c>
      <c r="E413" s="116" t="s">
        <v>427</v>
      </c>
      <c r="F413" s="143">
        <v>45694</v>
      </c>
      <c r="G413" s="117">
        <v>4518.37</v>
      </c>
      <c r="H413" s="117">
        <v>4240.51</v>
      </c>
      <c r="I413" s="115" t="s">
        <v>383</v>
      </c>
    </row>
    <row r="414" spans="1:9" ht="25.5" hidden="1" customHeight="1" x14ac:dyDescent="0.25">
      <c r="A414" s="114">
        <v>3464</v>
      </c>
      <c r="B414" s="114">
        <v>132</v>
      </c>
      <c r="C414" s="115" t="s">
        <v>426</v>
      </c>
      <c r="D414" s="115" t="s">
        <v>381</v>
      </c>
      <c r="E414" s="116" t="s">
        <v>427</v>
      </c>
      <c r="F414" s="143">
        <v>45729</v>
      </c>
      <c r="G414" s="117">
        <v>2318.1799999999998</v>
      </c>
      <c r="H414" s="117">
        <v>2175.63</v>
      </c>
      <c r="I414" s="115" t="s">
        <v>383</v>
      </c>
    </row>
    <row r="415" spans="1:9" ht="25.5" hidden="1" customHeight="1" x14ac:dyDescent="0.25">
      <c r="A415" s="114">
        <v>3851</v>
      </c>
      <c r="B415" s="114">
        <v>139</v>
      </c>
      <c r="C415" s="115" t="s">
        <v>465</v>
      </c>
      <c r="D415" s="118" t="s">
        <v>424</v>
      </c>
      <c r="E415" s="116" t="s">
        <v>479</v>
      </c>
      <c r="F415" s="143">
        <v>45978</v>
      </c>
      <c r="G415" s="117">
        <v>10000</v>
      </c>
      <c r="H415" s="117">
        <v>9385</v>
      </c>
      <c r="I415" s="115" t="s">
        <v>217</v>
      </c>
    </row>
    <row r="416" spans="1:9" ht="25.5" hidden="1" customHeight="1" x14ac:dyDescent="0.25">
      <c r="A416" s="114">
        <v>3903</v>
      </c>
      <c r="B416" s="114">
        <v>20</v>
      </c>
      <c r="C416" s="115" t="s">
        <v>438</v>
      </c>
      <c r="D416" s="118" t="s">
        <v>424</v>
      </c>
      <c r="E416" s="116" t="s">
        <v>439</v>
      </c>
      <c r="F416" s="143">
        <v>45980</v>
      </c>
      <c r="G416" s="117">
        <v>1044.17</v>
      </c>
      <c r="H416" s="117">
        <v>1044.17</v>
      </c>
      <c r="I416" s="115" t="s">
        <v>216</v>
      </c>
    </row>
    <row r="417" spans="1:9" ht="25.5" hidden="1" customHeight="1" x14ac:dyDescent="0.25">
      <c r="A417" s="114">
        <v>3874</v>
      </c>
      <c r="B417" s="114">
        <v>61</v>
      </c>
      <c r="C417" s="115" t="s">
        <v>398</v>
      </c>
      <c r="D417" s="118" t="s">
        <v>399</v>
      </c>
      <c r="E417" s="116" t="s">
        <v>400</v>
      </c>
      <c r="F417" s="143">
        <v>45980</v>
      </c>
      <c r="G417" s="117">
        <v>60000</v>
      </c>
      <c r="H417" s="117">
        <v>56310</v>
      </c>
      <c r="I417" s="115" t="s">
        <v>217</v>
      </c>
    </row>
    <row r="418" spans="1:9" ht="25.5" hidden="1" customHeight="1" x14ac:dyDescent="0.25">
      <c r="A418" s="114">
        <v>3752</v>
      </c>
      <c r="B418" s="114">
        <v>115</v>
      </c>
      <c r="C418" s="115" t="s">
        <v>409</v>
      </c>
      <c r="D418" s="115" t="s">
        <v>381</v>
      </c>
      <c r="E418" s="116" t="s">
        <v>410</v>
      </c>
      <c r="F418" s="143">
        <v>45917</v>
      </c>
      <c r="G418" s="117">
        <v>2800</v>
      </c>
      <c r="H418" s="117">
        <v>466.68</v>
      </c>
      <c r="I418" s="115" t="s">
        <v>383</v>
      </c>
    </row>
    <row r="419" spans="1:9" ht="25.5" hidden="1" customHeight="1" x14ac:dyDescent="0.25">
      <c r="A419" s="114">
        <v>3806</v>
      </c>
      <c r="B419" s="114">
        <v>115</v>
      </c>
      <c r="C419" s="115" t="s">
        <v>409</v>
      </c>
      <c r="D419" s="115" t="s">
        <v>381</v>
      </c>
      <c r="E419" s="116" t="s">
        <v>410</v>
      </c>
      <c r="F419" s="143">
        <v>45917</v>
      </c>
      <c r="G419" s="117">
        <v>2800</v>
      </c>
      <c r="H419" s="117">
        <v>466.66</v>
      </c>
      <c r="I419" s="115" t="s">
        <v>383</v>
      </c>
    </row>
    <row r="420" spans="1:9" ht="25.5" hidden="1" customHeight="1" x14ac:dyDescent="0.25">
      <c r="A420" s="114">
        <v>3886</v>
      </c>
      <c r="B420" s="114">
        <v>145</v>
      </c>
      <c r="C420" s="115" t="s">
        <v>506</v>
      </c>
      <c r="D420" s="118" t="s">
        <v>381</v>
      </c>
      <c r="E420" s="116" t="s">
        <v>363</v>
      </c>
      <c r="F420" s="143">
        <v>45980</v>
      </c>
      <c r="G420" s="117">
        <v>1000</v>
      </c>
      <c r="H420" s="117">
        <v>938.5</v>
      </c>
      <c r="I420" s="115" t="s">
        <v>216</v>
      </c>
    </row>
    <row r="421" spans="1:9" ht="25.5" hidden="1" customHeight="1" x14ac:dyDescent="0.25">
      <c r="A421" s="114">
        <v>3859</v>
      </c>
      <c r="B421" s="114">
        <v>61</v>
      </c>
      <c r="C421" s="115" t="s">
        <v>398</v>
      </c>
      <c r="D421" s="118" t="s">
        <v>407</v>
      </c>
      <c r="E421" s="116" t="s">
        <v>408</v>
      </c>
      <c r="F421" s="143">
        <v>45982</v>
      </c>
      <c r="G421" s="117">
        <v>30000</v>
      </c>
      <c r="H421" s="117">
        <v>14077.5</v>
      </c>
      <c r="I421" s="115" t="s">
        <v>217</v>
      </c>
    </row>
    <row r="422" spans="1:9" ht="25.5" hidden="1" customHeight="1" x14ac:dyDescent="0.25">
      <c r="A422" s="114">
        <v>3908</v>
      </c>
      <c r="B422" s="114">
        <v>142</v>
      </c>
      <c r="C422" s="115" t="s">
        <v>484</v>
      </c>
      <c r="D422" s="118" t="s">
        <v>424</v>
      </c>
      <c r="E422" s="116" t="s">
        <v>515</v>
      </c>
      <c r="F422" s="143">
        <v>45982</v>
      </c>
      <c r="G422" s="117">
        <v>12500</v>
      </c>
      <c r="H422" s="117">
        <v>11731.25</v>
      </c>
      <c r="I422" s="115" t="s">
        <v>216</v>
      </c>
    </row>
    <row r="423" spans="1:9" ht="25.5" hidden="1" customHeight="1" x14ac:dyDescent="0.25">
      <c r="A423" s="114">
        <v>3808</v>
      </c>
      <c r="B423" s="114">
        <v>115</v>
      </c>
      <c r="C423" s="115" t="s">
        <v>409</v>
      </c>
      <c r="D423" s="115" t="s">
        <v>381</v>
      </c>
      <c r="E423" s="116" t="s">
        <v>410</v>
      </c>
      <c r="F423" s="143">
        <v>45922</v>
      </c>
      <c r="G423" s="117">
        <v>2800</v>
      </c>
      <c r="H423" s="117">
        <v>466.66</v>
      </c>
      <c r="I423" s="115" t="s">
        <v>383</v>
      </c>
    </row>
    <row r="424" spans="1:9" ht="25.5" hidden="1" customHeight="1" x14ac:dyDescent="0.25">
      <c r="A424" s="114">
        <v>3910</v>
      </c>
      <c r="B424" s="114">
        <v>28</v>
      </c>
      <c r="C424" s="115" t="s">
        <v>415</v>
      </c>
      <c r="D424" s="118" t="s">
        <v>401</v>
      </c>
      <c r="E424" s="116" t="s">
        <v>418</v>
      </c>
      <c r="F424" s="143">
        <v>45987</v>
      </c>
      <c r="G424" s="117">
        <v>690</v>
      </c>
      <c r="H424" s="117">
        <v>690</v>
      </c>
      <c r="I424" s="115" t="s">
        <v>216</v>
      </c>
    </row>
    <row r="425" spans="1:9" ht="25.5" hidden="1" customHeight="1" x14ac:dyDescent="0.25">
      <c r="A425" s="114">
        <v>3751</v>
      </c>
      <c r="B425" s="114">
        <v>115</v>
      </c>
      <c r="C425" s="115" t="s">
        <v>409</v>
      </c>
      <c r="D425" s="115" t="s">
        <v>381</v>
      </c>
      <c r="E425" s="116" t="s">
        <v>410</v>
      </c>
      <c r="F425" s="143">
        <v>45925</v>
      </c>
      <c r="G425" s="117">
        <v>2800</v>
      </c>
      <c r="H425" s="117">
        <v>466.66</v>
      </c>
      <c r="I425" s="115" t="s">
        <v>383</v>
      </c>
    </row>
    <row r="426" spans="1:9" ht="25.5" hidden="1" customHeight="1" x14ac:dyDescent="0.25">
      <c r="A426" s="114">
        <v>3911</v>
      </c>
      <c r="B426" s="114">
        <v>64</v>
      </c>
      <c r="C426" s="115" t="s">
        <v>498</v>
      </c>
      <c r="D426" s="118" t="s">
        <v>499</v>
      </c>
      <c r="E426" s="123" t="s">
        <v>476</v>
      </c>
      <c r="F426" s="143">
        <v>45988</v>
      </c>
      <c r="G426" s="117">
        <v>2070</v>
      </c>
      <c r="H426" s="117">
        <v>1942.7</v>
      </c>
      <c r="I426" s="115" t="s">
        <v>216</v>
      </c>
    </row>
    <row r="427" spans="1:9" ht="25.5" hidden="1" customHeight="1" x14ac:dyDescent="0.25">
      <c r="A427" s="114">
        <v>3754</v>
      </c>
      <c r="B427" s="114">
        <v>115</v>
      </c>
      <c r="C427" s="115" t="s">
        <v>409</v>
      </c>
      <c r="D427" s="118" t="s">
        <v>381</v>
      </c>
      <c r="E427" s="116" t="s">
        <v>410</v>
      </c>
      <c r="F427" s="143">
        <v>45931</v>
      </c>
      <c r="G427" s="117">
        <v>2800</v>
      </c>
      <c r="H427" s="117">
        <v>1400</v>
      </c>
      <c r="I427" s="115" t="s">
        <v>216</v>
      </c>
    </row>
    <row r="428" spans="1:9" ht="25.5" hidden="1" customHeight="1" x14ac:dyDescent="0.25">
      <c r="A428" s="114">
        <v>3913</v>
      </c>
      <c r="B428" s="114">
        <v>92</v>
      </c>
      <c r="C428" s="115" t="s">
        <v>516</v>
      </c>
      <c r="D428" s="118" t="s">
        <v>366</v>
      </c>
      <c r="E428" s="116" t="s">
        <v>517</v>
      </c>
      <c r="F428" s="143">
        <v>45988</v>
      </c>
      <c r="G428" s="117">
        <v>1110</v>
      </c>
      <c r="H428" s="117">
        <v>1041.74</v>
      </c>
      <c r="I428" s="115" t="s">
        <v>216</v>
      </c>
    </row>
    <row r="429" spans="1:9" ht="25.5" hidden="1" customHeight="1" x14ac:dyDescent="0.25">
      <c r="A429" s="114">
        <v>3839</v>
      </c>
      <c r="B429" s="114">
        <v>115</v>
      </c>
      <c r="C429" s="115" t="s">
        <v>409</v>
      </c>
      <c r="D429" s="118" t="s">
        <v>381</v>
      </c>
      <c r="E429" s="116" t="s">
        <v>410</v>
      </c>
      <c r="F429" s="143">
        <v>45931</v>
      </c>
      <c r="G429" s="117">
        <v>2800</v>
      </c>
      <c r="H429" s="117">
        <v>1400</v>
      </c>
      <c r="I429" s="115" t="s">
        <v>216</v>
      </c>
    </row>
    <row r="430" spans="1:9" ht="25.5" hidden="1" customHeight="1" x14ac:dyDescent="0.25">
      <c r="A430" s="114">
        <v>3884</v>
      </c>
      <c r="B430" s="114">
        <v>123</v>
      </c>
      <c r="C430" s="115" t="s">
        <v>413</v>
      </c>
      <c r="D430" s="118" t="s">
        <v>381</v>
      </c>
      <c r="E430" s="116" t="s">
        <v>414</v>
      </c>
      <c r="F430" s="143">
        <v>45988</v>
      </c>
      <c r="G430" s="117">
        <v>1000</v>
      </c>
      <c r="H430" s="117">
        <v>1000</v>
      </c>
      <c r="I430" s="115" t="s">
        <v>216</v>
      </c>
    </row>
    <row r="431" spans="1:9" ht="25.5" hidden="1" customHeight="1" x14ac:dyDescent="0.25">
      <c r="A431" s="114">
        <v>3505</v>
      </c>
      <c r="B431" s="114">
        <v>132</v>
      </c>
      <c r="C431" s="115" t="s">
        <v>426</v>
      </c>
      <c r="D431" s="115" t="s">
        <v>381</v>
      </c>
      <c r="E431" s="116" t="s">
        <v>427</v>
      </c>
      <c r="F431" s="143">
        <v>45757</v>
      </c>
      <c r="G431" s="117">
        <v>2318.1799999999998</v>
      </c>
      <c r="H431" s="117">
        <v>2175.63</v>
      </c>
      <c r="I431" s="115" t="s">
        <v>383</v>
      </c>
    </row>
    <row r="432" spans="1:9" ht="25.5" hidden="1" customHeight="1" x14ac:dyDescent="0.25">
      <c r="A432" s="114">
        <v>3846</v>
      </c>
      <c r="B432" s="114">
        <v>87</v>
      </c>
      <c r="C432" s="115" t="s">
        <v>503</v>
      </c>
      <c r="D432" s="118" t="s">
        <v>424</v>
      </c>
      <c r="E432" s="116" t="s">
        <v>441</v>
      </c>
      <c r="F432" s="143">
        <v>45992</v>
      </c>
      <c r="G432" s="464">
        <v>4891.67</v>
      </c>
      <c r="H432" s="464">
        <v>4891.67</v>
      </c>
      <c r="I432" s="115" t="s">
        <v>217</v>
      </c>
    </row>
    <row r="433" spans="1:9" ht="25.5" hidden="1" customHeight="1" x14ac:dyDescent="0.25">
      <c r="A433" s="114">
        <v>3847</v>
      </c>
      <c r="B433" s="114">
        <v>87</v>
      </c>
      <c r="C433" s="115" t="s">
        <v>503</v>
      </c>
      <c r="D433" s="118" t="s">
        <v>428</v>
      </c>
      <c r="E433" s="116" t="s">
        <v>489</v>
      </c>
      <c r="F433" s="143">
        <v>45992</v>
      </c>
      <c r="G433" s="464">
        <v>9666.67</v>
      </c>
      <c r="H433" s="464">
        <v>9666.67</v>
      </c>
      <c r="I433" s="115" t="s">
        <v>217</v>
      </c>
    </row>
    <row r="434" spans="1:9" ht="25.5" hidden="1" customHeight="1" x14ac:dyDescent="0.25">
      <c r="A434" s="114">
        <v>3848</v>
      </c>
      <c r="B434" s="114">
        <v>87</v>
      </c>
      <c r="C434" s="115" t="s">
        <v>503</v>
      </c>
      <c r="D434" s="118" t="s">
        <v>416</v>
      </c>
      <c r="E434" s="116" t="s">
        <v>514</v>
      </c>
      <c r="F434" s="143">
        <v>45992</v>
      </c>
      <c r="G434" s="464">
        <v>9158.33</v>
      </c>
      <c r="H434" s="464">
        <v>9158.33</v>
      </c>
      <c r="I434" s="115" t="s">
        <v>217</v>
      </c>
    </row>
    <row r="435" spans="1:9" ht="25.5" hidden="1" customHeight="1" x14ac:dyDescent="0.25">
      <c r="A435" s="114">
        <v>3850</v>
      </c>
      <c r="B435" s="114">
        <v>87</v>
      </c>
      <c r="C435" s="115" t="s">
        <v>503</v>
      </c>
      <c r="D435" s="118" t="s">
        <v>416</v>
      </c>
      <c r="E435" s="116" t="s">
        <v>514</v>
      </c>
      <c r="F435" s="143">
        <v>45992</v>
      </c>
      <c r="G435" s="464">
        <v>6225</v>
      </c>
      <c r="H435" s="464">
        <v>6225</v>
      </c>
      <c r="I435" s="115" t="s">
        <v>217</v>
      </c>
    </row>
    <row r="436" spans="1:9" ht="25.5" hidden="1" customHeight="1" x14ac:dyDescent="0.25">
      <c r="A436" s="114">
        <v>3854</v>
      </c>
      <c r="B436" s="114">
        <v>125</v>
      </c>
      <c r="C436" s="115" t="s">
        <v>482</v>
      </c>
      <c r="D436" s="118" t="s">
        <v>366</v>
      </c>
      <c r="E436" s="116" t="s">
        <v>483</v>
      </c>
      <c r="F436" s="143">
        <v>45992</v>
      </c>
      <c r="G436" s="464">
        <v>56360</v>
      </c>
      <c r="H436" s="464">
        <v>52893.86</v>
      </c>
      <c r="I436" s="115" t="s">
        <v>245</v>
      </c>
    </row>
    <row r="437" spans="1:9" ht="25.5" hidden="1" customHeight="1" x14ac:dyDescent="0.25">
      <c r="A437" s="114">
        <v>3835</v>
      </c>
      <c r="B437" s="114">
        <v>115</v>
      </c>
      <c r="C437" s="115" t="s">
        <v>409</v>
      </c>
      <c r="D437" s="118" t="s">
        <v>381</v>
      </c>
      <c r="E437" s="116" t="s">
        <v>410</v>
      </c>
      <c r="F437" s="143">
        <v>45931</v>
      </c>
      <c r="G437" s="117">
        <v>20000</v>
      </c>
      <c r="H437" s="117">
        <v>10000</v>
      </c>
      <c r="I437" s="115" t="s">
        <v>216</v>
      </c>
    </row>
    <row r="438" spans="1:9" ht="25.5" hidden="1" customHeight="1" x14ac:dyDescent="0.25">
      <c r="A438" s="114">
        <v>3873</v>
      </c>
      <c r="B438" s="114">
        <v>61</v>
      </c>
      <c r="C438" s="115" t="s">
        <v>398</v>
      </c>
      <c r="D438" s="118" t="s">
        <v>399</v>
      </c>
      <c r="E438" s="116" t="s">
        <v>400</v>
      </c>
      <c r="F438" s="143">
        <v>45992</v>
      </c>
      <c r="G438" s="464">
        <v>60000</v>
      </c>
      <c r="H438" s="464">
        <v>56310</v>
      </c>
      <c r="I438" s="115" t="s">
        <v>217</v>
      </c>
    </row>
    <row r="439" spans="1:9" ht="25.5" hidden="1" customHeight="1" x14ac:dyDescent="0.25">
      <c r="A439" s="114">
        <v>3875</v>
      </c>
      <c r="B439" s="114">
        <v>2</v>
      </c>
      <c r="C439" s="115" t="s">
        <v>390</v>
      </c>
      <c r="D439" s="118" t="s">
        <v>494</v>
      </c>
      <c r="E439" s="123" t="s">
        <v>433</v>
      </c>
      <c r="F439" s="143">
        <v>45992</v>
      </c>
      <c r="G439" s="464">
        <v>1982.56</v>
      </c>
      <c r="H439" s="464">
        <v>1860.66</v>
      </c>
      <c r="I439" s="115" t="s">
        <v>216</v>
      </c>
    </row>
    <row r="440" spans="1:9" ht="25.5" hidden="1" customHeight="1" x14ac:dyDescent="0.25">
      <c r="A440" s="114">
        <v>3881</v>
      </c>
      <c r="B440" s="114">
        <v>9</v>
      </c>
      <c r="C440" s="115" t="s">
        <v>467</v>
      </c>
      <c r="D440" s="118" t="s">
        <v>468</v>
      </c>
      <c r="E440" s="116" t="s">
        <v>469</v>
      </c>
      <c r="F440" s="143">
        <v>45992</v>
      </c>
      <c r="G440" s="464">
        <v>3040</v>
      </c>
      <c r="H440" s="464">
        <v>2853.04</v>
      </c>
      <c r="I440" s="115" t="s">
        <v>217</v>
      </c>
    </row>
    <row r="441" spans="1:9" ht="25.5" hidden="1" customHeight="1" x14ac:dyDescent="0.25">
      <c r="A441" s="114">
        <v>3545</v>
      </c>
      <c r="B441" s="114">
        <v>132</v>
      </c>
      <c r="C441" s="115" t="s">
        <v>426</v>
      </c>
      <c r="D441" s="115" t="s">
        <v>381</v>
      </c>
      <c r="E441" s="116" t="s">
        <v>427</v>
      </c>
      <c r="F441" s="143">
        <v>45769</v>
      </c>
      <c r="G441" s="117">
        <v>2318.1799999999998</v>
      </c>
      <c r="H441" s="117">
        <v>2175.63</v>
      </c>
      <c r="I441" s="115" t="s">
        <v>383</v>
      </c>
    </row>
    <row r="442" spans="1:9" ht="25.5" hidden="1" customHeight="1" x14ac:dyDescent="0.25">
      <c r="A442" s="114">
        <v>3809</v>
      </c>
      <c r="B442" s="114">
        <v>115</v>
      </c>
      <c r="C442" s="115" t="s">
        <v>409</v>
      </c>
      <c r="D442" s="118" t="s">
        <v>381</v>
      </c>
      <c r="E442" s="116" t="s">
        <v>410</v>
      </c>
      <c r="F442" s="143">
        <v>45931</v>
      </c>
      <c r="G442" s="117">
        <v>2800</v>
      </c>
      <c r="H442" s="117">
        <v>1400</v>
      </c>
      <c r="I442" s="115" t="s">
        <v>216</v>
      </c>
    </row>
    <row r="443" spans="1:9" ht="25.5" hidden="1" customHeight="1" x14ac:dyDescent="0.25">
      <c r="A443" s="114">
        <v>3807</v>
      </c>
      <c r="B443" s="114">
        <v>115</v>
      </c>
      <c r="C443" s="115" t="s">
        <v>409</v>
      </c>
      <c r="D443" s="118" t="s">
        <v>381</v>
      </c>
      <c r="E443" s="116" t="s">
        <v>410</v>
      </c>
      <c r="F443" s="143">
        <v>45931</v>
      </c>
      <c r="G443" s="117">
        <v>2800</v>
      </c>
      <c r="H443" s="117">
        <v>466.68</v>
      </c>
      <c r="I443" s="115" t="s">
        <v>216</v>
      </c>
    </row>
    <row r="444" spans="1:9" ht="25.5" hidden="1" customHeight="1" x14ac:dyDescent="0.25">
      <c r="A444" s="114">
        <v>3838</v>
      </c>
      <c r="B444" s="114">
        <v>115</v>
      </c>
      <c r="C444" s="115" t="s">
        <v>409</v>
      </c>
      <c r="D444" s="118" t="s">
        <v>381</v>
      </c>
      <c r="E444" s="116" t="s">
        <v>410</v>
      </c>
      <c r="F444" s="143">
        <v>45931</v>
      </c>
      <c r="G444" s="117">
        <v>2800</v>
      </c>
      <c r="H444" s="117">
        <v>466.66</v>
      </c>
      <c r="I444" s="115" t="s">
        <v>216</v>
      </c>
    </row>
    <row r="445" spans="1:9" ht="25.5" hidden="1" customHeight="1" x14ac:dyDescent="0.25">
      <c r="A445" s="114">
        <v>3597</v>
      </c>
      <c r="B445" s="114">
        <v>132</v>
      </c>
      <c r="C445" s="115" t="s">
        <v>426</v>
      </c>
      <c r="D445" s="115" t="s">
        <v>381</v>
      </c>
      <c r="E445" s="116" t="s">
        <v>427</v>
      </c>
      <c r="F445" s="143">
        <v>45810</v>
      </c>
      <c r="G445" s="117">
        <v>2318.1799999999998</v>
      </c>
      <c r="H445" s="117">
        <v>2175.63</v>
      </c>
      <c r="I445" s="115" t="s">
        <v>383</v>
      </c>
    </row>
    <row r="446" spans="1:9" ht="25.5" hidden="1" customHeight="1" x14ac:dyDescent="0.25">
      <c r="A446" s="114">
        <v>3649</v>
      </c>
      <c r="B446" s="114">
        <v>132</v>
      </c>
      <c r="C446" s="115" t="s">
        <v>426</v>
      </c>
      <c r="D446" s="115" t="s">
        <v>381</v>
      </c>
      <c r="E446" s="116" t="s">
        <v>427</v>
      </c>
      <c r="F446" s="143">
        <v>45834</v>
      </c>
      <c r="G446" s="117">
        <v>2318.1799999999998</v>
      </c>
      <c r="H446" s="117">
        <v>2175.63</v>
      </c>
      <c r="I446" s="115" t="s">
        <v>383</v>
      </c>
    </row>
    <row r="447" spans="1:9" ht="25.5" hidden="1" customHeight="1" x14ac:dyDescent="0.25">
      <c r="A447" s="114">
        <v>3898</v>
      </c>
      <c r="B447" s="114">
        <v>6</v>
      </c>
      <c r="C447" s="115" t="s">
        <v>510</v>
      </c>
      <c r="D447" s="118" t="s">
        <v>497</v>
      </c>
      <c r="E447" s="116" t="s">
        <v>422</v>
      </c>
      <c r="F447" s="143">
        <v>45992</v>
      </c>
      <c r="G447" s="464">
        <v>4068</v>
      </c>
      <c r="H447" s="464">
        <v>3817.82</v>
      </c>
      <c r="I447" s="115" t="s">
        <v>216</v>
      </c>
    </row>
    <row r="448" spans="1:9" ht="25.5" hidden="1" customHeight="1" x14ac:dyDescent="0.25">
      <c r="A448" s="114">
        <v>3815</v>
      </c>
      <c r="B448" s="114">
        <v>136</v>
      </c>
      <c r="C448" s="115" t="s">
        <v>365</v>
      </c>
      <c r="D448" s="118" t="s">
        <v>424</v>
      </c>
      <c r="E448" s="116" t="s">
        <v>358</v>
      </c>
      <c r="F448" s="143">
        <v>45916</v>
      </c>
      <c r="G448" s="117">
        <v>8500</v>
      </c>
      <c r="H448" s="117">
        <v>8500</v>
      </c>
      <c r="I448" s="115" t="s">
        <v>245</v>
      </c>
    </row>
    <row r="449" spans="1:9" ht="25.5" hidden="1" customHeight="1" x14ac:dyDescent="0.25">
      <c r="A449" s="114">
        <v>3901</v>
      </c>
      <c r="B449" s="114">
        <v>97</v>
      </c>
      <c r="C449" s="115" t="s">
        <v>396</v>
      </c>
      <c r="D449" s="118" t="s">
        <v>381</v>
      </c>
      <c r="E449" s="116" t="s">
        <v>397</v>
      </c>
      <c r="F449" s="143">
        <v>45992</v>
      </c>
      <c r="G449" s="464">
        <v>1706.67</v>
      </c>
      <c r="H449" s="464">
        <v>1601.72</v>
      </c>
      <c r="I449" s="115" t="s">
        <v>245</v>
      </c>
    </row>
    <row r="450" spans="1:9" ht="25.5" hidden="1" customHeight="1" x14ac:dyDescent="0.25">
      <c r="A450" s="114">
        <v>3902</v>
      </c>
      <c r="B450" s="114">
        <v>139</v>
      </c>
      <c r="C450" s="115" t="s">
        <v>465</v>
      </c>
      <c r="D450" s="118" t="s">
        <v>424</v>
      </c>
      <c r="E450" s="116" t="s">
        <v>479</v>
      </c>
      <c r="F450" s="143">
        <v>45992</v>
      </c>
      <c r="G450" s="464">
        <v>10000</v>
      </c>
      <c r="H450" s="464">
        <v>9385</v>
      </c>
      <c r="I450" s="115" t="s">
        <v>217</v>
      </c>
    </row>
    <row r="451" spans="1:9" ht="25.5" hidden="1" customHeight="1" x14ac:dyDescent="0.25">
      <c r="A451" s="114">
        <v>3905</v>
      </c>
      <c r="B451" s="114">
        <v>87</v>
      </c>
      <c r="C451" s="115" t="s">
        <v>503</v>
      </c>
      <c r="D451" s="118" t="s">
        <v>424</v>
      </c>
      <c r="E451" s="116" t="s">
        <v>441</v>
      </c>
      <c r="F451" s="143">
        <v>45992</v>
      </c>
      <c r="G451" s="464">
        <v>10916.67</v>
      </c>
      <c r="H451" s="464">
        <v>10916.67</v>
      </c>
      <c r="I451" s="115" t="s">
        <v>217</v>
      </c>
    </row>
    <row r="452" spans="1:9" ht="25.5" hidden="1" customHeight="1" x14ac:dyDescent="0.25">
      <c r="A452" s="114">
        <v>3906</v>
      </c>
      <c r="B452" s="114">
        <v>87</v>
      </c>
      <c r="C452" s="115" t="s">
        <v>503</v>
      </c>
      <c r="D452" s="118" t="s">
        <v>474</v>
      </c>
      <c r="E452" s="116" t="s">
        <v>518</v>
      </c>
      <c r="F452" s="143">
        <v>45992</v>
      </c>
      <c r="G452" s="464">
        <v>10375</v>
      </c>
      <c r="H452" s="464">
        <v>10375</v>
      </c>
      <c r="I452" s="115" t="s">
        <v>217</v>
      </c>
    </row>
    <row r="453" spans="1:9" ht="25.5" hidden="1" customHeight="1" x14ac:dyDescent="0.25">
      <c r="A453" s="114">
        <v>3907</v>
      </c>
      <c r="B453" s="114">
        <v>7</v>
      </c>
      <c r="C453" s="453" t="s">
        <v>460</v>
      </c>
      <c r="D453" s="118" t="s">
        <v>407</v>
      </c>
      <c r="E453" s="116" t="s">
        <v>519</v>
      </c>
      <c r="F453" s="143">
        <v>45992</v>
      </c>
      <c r="G453" s="464">
        <v>2771.43</v>
      </c>
      <c r="H453" s="464">
        <v>2601</v>
      </c>
      <c r="I453" s="115" t="s">
        <v>217</v>
      </c>
    </row>
    <row r="454" spans="1:9" ht="25.5" hidden="1" customHeight="1" x14ac:dyDescent="0.25">
      <c r="A454" s="114">
        <v>3915</v>
      </c>
      <c r="B454" s="114">
        <v>61</v>
      </c>
      <c r="C454" s="115" t="s">
        <v>398</v>
      </c>
      <c r="D454" s="118" t="s">
        <v>407</v>
      </c>
      <c r="E454" s="116" t="s">
        <v>408</v>
      </c>
      <c r="F454" s="143">
        <v>45992</v>
      </c>
      <c r="G454" s="464">
        <v>30000</v>
      </c>
      <c r="H454" s="464">
        <v>14077.5</v>
      </c>
      <c r="I454" s="115" t="s">
        <v>217</v>
      </c>
    </row>
    <row r="455" spans="1:9" ht="25.5" hidden="1" customHeight="1" x14ac:dyDescent="0.25">
      <c r="A455" s="114">
        <v>3918</v>
      </c>
      <c r="B455" s="114">
        <v>131</v>
      </c>
      <c r="C455" s="115" t="s">
        <v>520</v>
      </c>
      <c r="D455" s="118" t="s">
        <v>424</v>
      </c>
      <c r="E455" s="116" t="s">
        <v>521</v>
      </c>
      <c r="F455" s="143">
        <v>45992</v>
      </c>
      <c r="G455" s="464">
        <v>35000</v>
      </c>
      <c r="H455" s="464">
        <v>32847.5</v>
      </c>
      <c r="I455" s="115" t="s">
        <v>217</v>
      </c>
    </row>
    <row r="456" spans="1:9" ht="25.5" hidden="1" customHeight="1" x14ac:dyDescent="0.25">
      <c r="A456" s="114">
        <v>3921</v>
      </c>
      <c r="B456" s="114">
        <v>5</v>
      </c>
      <c r="C456" s="115" t="s">
        <v>380</v>
      </c>
      <c r="D456" s="118" t="s">
        <v>495</v>
      </c>
      <c r="E456" s="116" t="s">
        <v>491</v>
      </c>
      <c r="F456" s="143">
        <v>45992</v>
      </c>
      <c r="G456" s="464">
        <v>9590</v>
      </c>
      <c r="H456" s="464">
        <v>9000.2199999999993</v>
      </c>
      <c r="I456" s="115" t="s">
        <v>217</v>
      </c>
    </row>
    <row r="457" spans="1:9" ht="25.5" hidden="1" customHeight="1" x14ac:dyDescent="0.25">
      <c r="A457" s="114">
        <v>3834</v>
      </c>
      <c r="B457" s="114">
        <v>115</v>
      </c>
      <c r="C457" s="115" t="s">
        <v>409</v>
      </c>
      <c r="D457" s="118" t="s">
        <v>381</v>
      </c>
      <c r="E457" s="116" t="s">
        <v>410</v>
      </c>
      <c r="F457" s="143">
        <v>45931</v>
      </c>
      <c r="G457" s="117">
        <v>20000</v>
      </c>
      <c r="H457" s="117">
        <v>3333.3</v>
      </c>
      <c r="I457" s="115" t="s">
        <v>216</v>
      </c>
    </row>
    <row r="458" spans="1:9" ht="25.5" hidden="1" customHeight="1" x14ac:dyDescent="0.25">
      <c r="A458" s="114">
        <v>3832</v>
      </c>
      <c r="B458" s="114">
        <v>115</v>
      </c>
      <c r="C458" s="115" t="s">
        <v>409</v>
      </c>
      <c r="D458" s="118" t="s">
        <v>381</v>
      </c>
      <c r="E458" s="116" t="s">
        <v>410</v>
      </c>
      <c r="F458" s="143">
        <v>45964</v>
      </c>
      <c r="G458" s="117">
        <v>20000</v>
      </c>
      <c r="H458" s="117">
        <v>3333.3</v>
      </c>
      <c r="I458" s="115" t="s">
        <v>216</v>
      </c>
    </row>
    <row r="459" spans="1:9" ht="25.5" hidden="1" customHeight="1" x14ac:dyDescent="0.25">
      <c r="A459" s="114">
        <v>3836</v>
      </c>
      <c r="B459" s="114">
        <v>115</v>
      </c>
      <c r="C459" s="115" t="s">
        <v>409</v>
      </c>
      <c r="D459" s="118" t="s">
        <v>381</v>
      </c>
      <c r="E459" s="116" t="s">
        <v>410</v>
      </c>
      <c r="F459" s="143">
        <v>45964</v>
      </c>
      <c r="G459" s="117">
        <v>2800</v>
      </c>
      <c r="H459" s="117">
        <v>466.66</v>
      </c>
      <c r="I459" s="115" t="s">
        <v>216</v>
      </c>
    </row>
    <row r="460" spans="1:9" ht="25.5" hidden="1" customHeight="1" x14ac:dyDescent="0.25">
      <c r="A460" s="114">
        <v>3927</v>
      </c>
      <c r="B460" s="114">
        <v>123</v>
      </c>
      <c r="C460" s="115" t="s">
        <v>413</v>
      </c>
      <c r="D460" s="118" t="s">
        <v>381</v>
      </c>
      <c r="E460" s="116" t="s">
        <v>414</v>
      </c>
      <c r="F460" s="143">
        <v>45992</v>
      </c>
      <c r="G460" s="464">
        <v>1000</v>
      </c>
      <c r="H460" s="464">
        <v>1000</v>
      </c>
      <c r="I460" s="115" t="s">
        <v>216</v>
      </c>
    </row>
    <row r="461" spans="1:9" ht="25.5" hidden="1" customHeight="1" x14ac:dyDescent="0.25">
      <c r="A461" s="114">
        <v>3930</v>
      </c>
      <c r="B461" s="114">
        <v>87</v>
      </c>
      <c r="C461" s="115" t="s">
        <v>503</v>
      </c>
      <c r="D461" s="118" t="s">
        <v>424</v>
      </c>
      <c r="E461" s="116" t="s">
        <v>441</v>
      </c>
      <c r="F461" s="143">
        <v>45992</v>
      </c>
      <c r="G461" s="464">
        <v>6483.34</v>
      </c>
      <c r="H461" s="464">
        <v>6483.34</v>
      </c>
      <c r="I461" s="115" t="s">
        <v>217</v>
      </c>
    </row>
    <row r="462" spans="1:9" ht="25.5" hidden="1" customHeight="1" x14ac:dyDescent="0.25">
      <c r="A462" s="114">
        <v>3931</v>
      </c>
      <c r="B462" s="114">
        <v>87</v>
      </c>
      <c r="C462" s="115" t="s">
        <v>503</v>
      </c>
      <c r="D462" s="118" t="s">
        <v>474</v>
      </c>
      <c r="E462" s="116" t="s">
        <v>518</v>
      </c>
      <c r="F462" s="143">
        <v>45992</v>
      </c>
      <c r="G462" s="464">
        <v>916.67</v>
      </c>
      <c r="H462" s="464">
        <v>916.67</v>
      </c>
      <c r="I462" s="115" t="s">
        <v>217</v>
      </c>
    </row>
    <row r="463" spans="1:9" ht="25.5" hidden="1" customHeight="1" x14ac:dyDescent="0.25">
      <c r="A463" s="114">
        <v>3937</v>
      </c>
      <c r="B463" s="114">
        <v>28</v>
      </c>
      <c r="C463" s="115" t="s">
        <v>415</v>
      </c>
      <c r="D463" s="118" t="s">
        <v>401</v>
      </c>
      <c r="E463" s="116" t="s">
        <v>418</v>
      </c>
      <c r="F463" s="143">
        <v>45992</v>
      </c>
      <c r="G463" s="464">
        <v>690</v>
      </c>
      <c r="H463" s="464">
        <v>690</v>
      </c>
      <c r="I463" s="115" t="s">
        <v>216</v>
      </c>
    </row>
    <row r="464" spans="1:9" ht="25.5" hidden="1" customHeight="1" x14ac:dyDescent="0.25">
      <c r="A464" s="114">
        <v>3940</v>
      </c>
      <c r="B464" s="114">
        <v>92</v>
      </c>
      <c r="C464" s="115" t="s">
        <v>516</v>
      </c>
      <c r="D464" s="118" t="s">
        <v>366</v>
      </c>
      <c r="E464" s="116" t="s">
        <v>517</v>
      </c>
      <c r="F464" s="143">
        <v>45992</v>
      </c>
      <c r="G464" s="464">
        <v>5735</v>
      </c>
      <c r="H464" s="464">
        <v>5382.31</v>
      </c>
      <c r="I464" s="115" t="s">
        <v>216</v>
      </c>
    </row>
    <row r="465" spans="1:9" ht="25.5" hidden="1" customHeight="1" x14ac:dyDescent="0.25">
      <c r="A465" s="114">
        <v>3941</v>
      </c>
      <c r="B465" s="114">
        <v>110</v>
      </c>
      <c r="C465" s="115" t="s">
        <v>411</v>
      </c>
      <c r="D465" s="118" t="s">
        <v>381</v>
      </c>
      <c r="E465" s="116" t="s">
        <v>412</v>
      </c>
      <c r="F465" s="143">
        <v>45992</v>
      </c>
      <c r="G465" s="464">
        <v>1130</v>
      </c>
      <c r="H465" s="464">
        <v>1130</v>
      </c>
      <c r="I465" s="115" t="s">
        <v>217</v>
      </c>
    </row>
    <row r="466" spans="1:9" ht="25.5" hidden="1" customHeight="1" x14ac:dyDescent="0.25">
      <c r="A466" s="114">
        <v>3837</v>
      </c>
      <c r="B466" s="114">
        <v>115</v>
      </c>
      <c r="C466" s="115" t="s">
        <v>409</v>
      </c>
      <c r="D466" s="118" t="s">
        <v>381</v>
      </c>
      <c r="E466" s="116" t="s">
        <v>410</v>
      </c>
      <c r="F466" s="143">
        <v>45971</v>
      </c>
      <c r="G466" s="117">
        <v>2800</v>
      </c>
      <c r="H466" s="117">
        <v>466.68</v>
      </c>
      <c r="I466" s="115" t="s">
        <v>216</v>
      </c>
    </row>
    <row r="467" spans="1:9" ht="25.5" hidden="1" customHeight="1" x14ac:dyDescent="0.25">
      <c r="A467" s="114">
        <v>3943</v>
      </c>
      <c r="B467" s="114">
        <v>64</v>
      </c>
      <c r="C467" s="115" t="s">
        <v>498</v>
      </c>
      <c r="D467" s="118" t="s">
        <v>499</v>
      </c>
      <c r="E467" s="123" t="s">
        <v>476</v>
      </c>
      <c r="F467" s="143">
        <v>45992</v>
      </c>
      <c r="G467" s="464">
        <v>2070</v>
      </c>
      <c r="H467" s="464">
        <v>1835.17</v>
      </c>
      <c r="I467" s="115" t="s">
        <v>216</v>
      </c>
    </row>
    <row r="468" spans="1:9" ht="25.5" hidden="1" customHeight="1" x14ac:dyDescent="0.25">
      <c r="A468" s="114">
        <v>3951</v>
      </c>
      <c r="B468" s="114">
        <v>20</v>
      </c>
      <c r="C468" s="115" t="s">
        <v>438</v>
      </c>
      <c r="D468" s="118" t="s">
        <v>424</v>
      </c>
      <c r="E468" s="116" t="s">
        <v>439</v>
      </c>
      <c r="F468" s="143">
        <v>45992</v>
      </c>
      <c r="G468" s="464">
        <v>1059.17</v>
      </c>
      <c r="H468" s="464">
        <v>1059.17</v>
      </c>
      <c r="I468" s="115" t="s">
        <v>216</v>
      </c>
    </row>
    <row r="469" spans="1:9" ht="25.5" hidden="1" customHeight="1" x14ac:dyDescent="0.25">
      <c r="A469" s="114">
        <v>3822</v>
      </c>
      <c r="B469" s="114">
        <v>136</v>
      </c>
      <c r="C469" s="115" t="s">
        <v>365</v>
      </c>
      <c r="D469" s="118" t="s">
        <v>424</v>
      </c>
      <c r="E469" s="116" t="s">
        <v>358</v>
      </c>
      <c r="F469" s="143">
        <v>45919</v>
      </c>
      <c r="G469" s="117">
        <v>5258.33</v>
      </c>
      <c r="H469" s="117">
        <v>5258.33</v>
      </c>
      <c r="I469" s="115" t="s">
        <v>245</v>
      </c>
    </row>
    <row r="470" spans="1:9" ht="25.5" hidden="1" customHeight="1" x14ac:dyDescent="0.25">
      <c r="A470" s="114">
        <v>3703</v>
      </c>
      <c r="B470" s="114">
        <v>132</v>
      </c>
      <c r="C470" s="115" t="s">
        <v>426</v>
      </c>
      <c r="D470" s="115" t="s">
        <v>381</v>
      </c>
      <c r="E470" s="116" t="s">
        <v>427</v>
      </c>
      <c r="F470" s="143">
        <v>45883</v>
      </c>
      <c r="G470" s="117">
        <v>2318.1799999999998</v>
      </c>
      <c r="H470" s="117">
        <v>2175.63</v>
      </c>
      <c r="I470" s="115" t="s">
        <v>383</v>
      </c>
    </row>
    <row r="471" spans="1:9" ht="25.5" customHeight="1" x14ac:dyDescent="0.25">
      <c r="A471" s="114">
        <v>4008</v>
      </c>
      <c r="B471" s="114">
        <v>146</v>
      </c>
      <c r="C471" s="115" t="s">
        <v>522</v>
      </c>
      <c r="D471" s="118" t="s">
        <v>424</v>
      </c>
      <c r="E471" s="116" t="s">
        <v>523</v>
      </c>
      <c r="F471" s="143">
        <v>46042</v>
      </c>
      <c r="G471" s="117">
        <v>18367.080000000002</v>
      </c>
      <c r="H471" s="117">
        <v>17237.52</v>
      </c>
      <c r="I471" s="115" t="s">
        <v>245</v>
      </c>
    </row>
    <row r="472" spans="1:9" ht="25.5" hidden="1" customHeight="1" x14ac:dyDescent="0.25">
      <c r="A472" s="114">
        <v>3747</v>
      </c>
      <c r="B472" s="114">
        <v>132</v>
      </c>
      <c r="C472" s="115" t="s">
        <v>426</v>
      </c>
      <c r="D472" s="118" t="s">
        <v>381</v>
      </c>
      <c r="E472" s="116" t="s">
        <v>427</v>
      </c>
      <c r="F472" s="143">
        <v>45902</v>
      </c>
      <c r="G472" s="117">
        <v>2318.1799999999998</v>
      </c>
      <c r="H472" s="117">
        <v>2175.63</v>
      </c>
      <c r="I472" s="115" t="s">
        <v>383</v>
      </c>
    </row>
    <row r="473" spans="1:9" ht="25.5" customHeight="1" x14ac:dyDescent="0.25">
      <c r="A473" s="114">
        <v>3958</v>
      </c>
      <c r="B473" s="114">
        <v>130</v>
      </c>
      <c r="C473" s="115" t="s">
        <v>392</v>
      </c>
      <c r="D473" s="118" t="s">
        <v>381</v>
      </c>
      <c r="E473" s="116" t="s">
        <v>393</v>
      </c>
      <c r="F473" s="143">
        <v>46043</v>
      </c>
      <c r="G473" s="117">
        <v>39116.660000000003</v>
      </c>
      <c r="H473" s="117">
        <v>18355.52</v>
      </c>
      <c r="I473" s="115" t="s">
        <v>245</v>
      </c>
    </row>
    <row r="474" spans="1:9" ht="25.5" hidden="1" customHeight="1" x14ac:dyDescent="0.25">
      <c r="A474" s="114">
        <v>3849</v>
      </c>
      <c r="B474" s="114">
        <v>136</v>
      </c>
      <c r="C474" s="115" t="s">
        <v>365</v>
      </c>
      <c r="D474" s="118" t="s">
        <v>424</v>
      </c>
      <c r="E474" s="116" t="s">
        <v>358</v>
      </c>
      <c r="F474" s="143">
        <v>45931</v>
      </c>
      <c r="G474" s="117">
        <v>2325</v>
      </c>
      <c r="H474" s="117">
        <v>2325</v>
      </c>
      <c r="I474" s="115" t="s">
        <v>245</v>
      </c>
    </row>
    <row r="475" spans="1:9" ht="25.5" customHeight="1" x14ac:dyDescent="0.25">
      <c r="A475" s="114">
        <v>3997</v>
      </c>
      <c r="B475" s="114">
        <v>68</v>
      </c>
      <c r="C475" s="115" t="s">
        <v>498</v>
      </c>
      <c r="D475" s="118" t="s">
        <v>381</v>
      </c>
      <c r="E475" s="116" t="s">
        <v>449</v>
      </c>
      <c r="F475" s="143">
        <v>46044</v>
      </c>
      <c r="G475" s="117">
        <v>290</v>
      </c>
      <c r="H475" s="117">
        <v>272.17</v>
      </c>
      <c r="I475" s="115" t="s">
        <v>216</v>
      </c>
    </row>
    <row r="476" spans="1:9" ht="25.5" customHeight="1" x14ac:dyDescent="0.25">
      <c r="A476" s="114">
        <v>3995</v>
      </c>
      <c r="B476" s="114">
        <v>28</v>
      </c>
      <c r="C476" s="115" t="s">
        <v>415</v>
      </c>
      <c r="D476" s="118" t="s">
        <v>405</v>
      </c>
      <c r="E476" s="116" t="s">
        <v>470</v>
      </c>
      <c r="F476" s="143">
        <v>46045</v>
      </c>
      <c r="G476" s="117">
        <v>4440</v>
      </c>
      <c r="H476" s="117">
        <v>4440</v>
      </c>
      <c r="I476" s="115" t="s">
        <v>216</v>
      </c>
    </row>
    <row r="477" spans="1:9" ht="25.5" hidden="1" customHeight="1" x14ac:dyDescent="0.25">
      <c r="A477" s="114">
        <v>3805</v>
      </c>
      <c r="B477" s="114">
        <v>132</v>
      </c>
      <c r="C477" s="115" t="s">
        <v>426</v>
      </c>
      <c r="D477" s="118" t="s">
        <v>381</v>
      </c>
      <c r="E477" s="116" t="s">
        <v>427</v>
      </c>
      <c r="F477" s="143">
        <v>45931</v>
      </c>
      <c r="G477" s="117">
        <v>2318.1799999999998</v>
      </c>
      <c r="H477" s="117">
        <v>2175.63</v>
      </c>
      <c r="I477" s="115" t="s">
        <v>216</v>
      </c>
    </row>
    <row r="478" spans="1:9" ht="25.5" hidden="1" customHeight="1" x14ac:dyDescent="0.25">
      <c r="A478" s="114">
        <v>3894</v>
      </c>
      <c r="B478" s="114">
        <v>115</v>
      </c>
      <c r="C478" s="115" t="s">
        <v>409</v>
      </c>
      <c r="D478" s="118" t="s">
        <v>381</v>
      </c>
      <c r="E478" s="116" t="s">
        <v>410</v>
      </c>
      <c r="F478" s="143">
        <v>45980</v>
      </c>
      <c r="G478" s="117">
        <v>2800</v>
      </c>
      <c r="H478" s="117">
        <v>1400</v>
      </c>
      <c r="I478" s="115" t="s">
        <v>216</v>
      </c>
    </row>
    <row r="479" spans="1:9" ht="25.5" hidden="1" customHeight="1" x14ac:dyDescent="0.25">
      <c r="A479" s="114">
        <v>3893</v>
      </c>
      <c r="B479" s="114">
        <v>115</v>
      </c>
      <c r="C479" s="115" t="s">
        <v>409</v>
      </c>
      <c r="D479" s="118" t="s">
        <v>381</v>
      </c>
      <c r="E479" s="116" t="s">
        <v>410</v>
      </c>
      <c r="F479" s="143">
        <v>45985</v>
      </c>
      <c r="G479" s="117">
        <v>2800</v>
      </c>
      <c r="H479" s="117">
        <v>466.66</v>
      </c>
      <c r="I479" s="115" t="s">
        <v>216</v>
      </c>
    </row>
    <row r="480" spans="1:9" ht="25.5" customHeight="1" x14ac:dyDescent="0.25">
      <c r="A480" s="114">
        <v>3994</v>
      </c>
      <c r="B480" s="114">
        <v>28</v>
      </c>
      <c r="C480" s="115" t="s">
        <v>415</v>
      </c>
      <c r="D480" s="118" t="s">
        <v>401</v>
      </c>
      <c r="E480" s="116" t="s">
        <v>418</v>
      </c>
      <c r="F480" s="143">
        <v>46046</v>
      </c>
      <c r="G480" s="117">
        <v>290</v>
      </c>
      <c r="H480" s="117">
        <v>290</v>
      </c>
      <c r="I480" s="115" t="s">
        <v>216</v>
      </c>
    </row>
    <row r="481" spans="1:9" ht="25.5" customHeight="1" x14ac:dyDescent="0.25">
      <c r="A481" s="114">
        <v>3996</v>
      </c>
      <c r="B481" s="114">
        <v>64</v>
      </c>
      <c r="C481" s="115" t="s">
        <v>498</v>
      </c>
      <c r="D481" s="118" t="s">
        <v>499</v>
      </c>
      <c r="E481" s="123" t="s">
        <v>476</v>
      </c>
      <c r="F481" s="143">
        <v>46047</v>
      </c>
      <c r="G481" s="117">
        <v>870</v>
      </c>
      <c r="H481" s="117">
        <v>816.5</v>
      </c>
      <c r="I481" s="115" t="s">
        <v>216</v>
      </c>
    </row>
    <row r="482" spans="1:9" ht="25.5" customHeight="1" x14ac:dyDescent="0.25">
      <c r="A482" s="114">
        <v>3998</v>
      </c>
      <c r="B482" s="114">
        <v>92</v>
      </c>
      <c r="C482" s="115" t="s">
        <v>516</v>
      </c>
      <c r="D482" s="118" t="s">
        <v>381</v>
      </c>
      <c r="E482" s="116" t="s">
        <v>527</v>
      </c>
      <c r="F482" s="143">
        <v>46048</v>
      </c>
      <c r="G482" s="117">
        <v>13505</v>
      </c>
      <c r="H482" s="117">
        <v>12674.45</v>
      </c>
      <c r="I482" s="115" t="s">
        <v>216</v>
      </c>
    </row>
    <row r="483" spans="1:9" ht="25.5" customHeight="1" x14ac:dyDescent="0.25">
      <c r="A483" s="114">
        <v>3999</v>
      </c>
      <c r="B483" s="114">
        <v>92</v>
      </c>
      <c r="C483" s="115" t="s">
        <v>516</v>
      </c>
      <c r="D483" s="118" t="s">
        <v>366</v>
      </c>
      <c r="E483" s="116" t="s">
        <v>517</v>
      </c>
      <c r="F483" s="143">
        <v>46049</v>
      </c>
      <c r="G483" s="117">
        <v>185</v>
      </c>
      <c r="H483" s="117">
        <v>182.22</v>
      </c>
      <c r="I483" s="115" t="s">
        <v>216</v>
      </c>
    </row>
    <row r="484" spans="1:9" ht="25.5" customHeight="1" x14ac:dyDescent="0.25">
      <c r="A484" s="114">
        <v>4000</v>
      </c>
      <c r="B484" s="114">
        <v>101</v>
      </c>
      <c r="C484" s="115" t="s">
        <v>434</v>
      </c>
      <c r="D484" s="118" t="s">
        <v>381</v>
      </c>
      <c r="E484" s="116" t="s">
        <v>435</v>
      </c>
      <c r="F484" s="143">
        <v>46050</v>
      </c>
      <c r="G484" s="117">
        <v>145</v>
      </c>
      <c r="H484" s="117">
        <v>145</v>
      </c>
      <c r="I484" s="115" t="s">
        <v>216</v>
      </c>
    </row>
    <row r="485" spans="1:9" ht="25.5" hidden="1" customHeight="1" x14ac:dyDescent="0.25">
      <c r="A485" s="114">
        <v>3891</v>
      </c>
      <c r="B485" s="114">
        <v>115</v>
      </c>
      <c r="C485" s="115" t="s">
        <v>409</v>
      </c>
      <c r="D485" s="118" t="s">
        <v>381</v>
      </c>
      <c r="E485" s="116" t="s">
        <v>410</v>
      </c>
      <c r="F485" s="143">
        <v>45987</v>
      </c>
      <c r="G485" s="117">
        <v>2800</v>
      </c>
      <c r="H485" s="117">
        <v>466.66</v>
      </c>
      <c r="I485" s="115" t="s">
        <v>216</v>
      </c>
    </row>
    <row r="486" spans="1:9" ht="25.5" hidden="1" customHeight="1" x14ac:dyDescent="0.25">
      <c r="A486" s="114">
        <v>3892</v>
      </c>
      <c r="B486" s="114">
        <v>115</v>
      </c>
      <c r="C486" s="115" t="s">
        <v>409</v>
      </c>
      <c r="D486" s="118" t="s">
        <v>381</v>
      </c>
      <c r="E486" s="116" t="s">
        <v>410</v>
      </c>
      <c r="F486" s="143">
        <v>45992</v>
      </c>
      <c r="G486" s="464">
        <v>2800</v>
      </c>
      <c r="H486" s="464">
        <v>466.68</v>
      </c>
      <c r="I486" s="115" t="s">
        <v>216</v>
      </c>
    </row>
    <row r="487" spans="1:9" ht="25.5" customHeight="1" x14ac:dyDescent="0.25">
      <c r="A487" s="114">
        <v>3966</v>
      </c>
      <c r="B487" s="114">
        <v>115</v>
      </c>
      <c r="C487" s="115" t="s">
        <v>528</v>
      </c>
      <c r="D487" s="118" t="s">
        <v>381</v>
      </c>
      <c r="E487" s="116" t="s">
        <v>410</v>
      </c>
      <c r="F487" s="143">
        <v>46051</v>
      </c>
      <c r="G487" s="117">
        <v>2800</v>
      </c>
      <c r="H487" s="117">
        <v>466.66</v>
      </c>
      <c r="I487" s="115" t="s">
        <v>216</v>
      </c>
    </row>
    <row r="488" spans="1:9" ht="25.5" customHeight="1" x14ac:dyDescent="0.25">
      <c r="A488" s="114">
        <v>3965</v>
      </c>
      <c r="B488" s="114">
        <v>123</v>
      </c>
      <c r="C488" s="115" t="s">
        <v>413</v>
      </c>
      <c r="D488" s="118" t="s">
        <v>381</v>
      </c>
      <c r="E488" s="116" t="s">
        <v>414</v>
      </c>
      <c r="F488" s="143">
        <v>46052</v>
      </c>
      <c r="G488" s="117">
        <v>1000</v>
      </c>
      <c r="H488" s="117">
        <v>1000</v>
      </c>
      <c r="I488" s="115" t="s">
        <v>216</v>
      </c>
    </row>
    <row r="489" spans="1:9" ht="25.5" customHeight="1" x14ac:dyDescent="0.25">
      <c r="A489" s="574">
        <v>3991</v>
      </c>
      <c r="B489" s="574">
        <v>146</v>
      </c>
      <c r="C489" s="575" t="s">
        <v>522</v>
      </c>
      <c r="D489" s="576" t="s">
        <v>381</v>
      </c>
      <c r="E489" s="577" t="s">
        <v>370</v>
      </c>
      <c r="F489" s="578">
        <v>46053</v>
      </c>
      <c r="G489" s="579">
        <v>17500</v>
      </c>
      <c r="H489" s="579">
        <v>16423.75</v>
      </c>
      <c r="I489" s="575" t="s">
        <v>245</v>
      </c>
    </row>
    <row r="490" spans="1:9" ht="25.5" customHeight="1" x14ac:dyDescent="0.25">
      <c r="A490" s="114">
        <v>3975</v>
      </c>
      <c r="B490" s="114">
        <v>12</v>
      </c>
      <c r="C490" s="115" t="s">
        <v>529</v>
      </c>
      <c r="D490" s="118" t="s">
        <v>477</v>
      </c>
      <c r="E490" s="116" t="s">
        <v>530</v>
      </c>
      <c r="F490" s="143">
        <v>46053</v>
      </c>
      <c r="G490" s="117">
        <v>15000</v>
      </c>
      <c r="H490" s="117">
        <v>14077.5</v>
      </c>
      <c r="I490" s="115" t="s">
        <v>216</v>
      </c>
    </row>
    <row r="491" spans="1:9" ht="25.5" hidden="1" customHeight="1" x14ac:dyDescent="0.25">
      <c r="A491" s="114">
        <v>3922</v>
      </c>
      <c r="B491" s="114">
        <v>115</v>
      </c>
      <c r="C491" s="115" t="s">
        <v>409</v>
      </c>
      <c r="D491" s="118" t="s">
        <v>381</v>
      </c>
      <c r="E491" s="116" t="s">
        <v>410</v>
      </c>
      <c r="F491" s="143">
        <v>45992</v>
      </c>
      <c r="G491" s="464">
        <v>2800</v>
      </c>
      <c r="H491" s="464">
        <v>466.66</v>
      </c>
      <c r="I491" s="115" t="s">
        <v>216</v>
      </c>
    </row>
    <row r="492" spans="1:9" ht="25.5" customHeight="1" x14ac:dyDescent="0.25">
      <c r="A492" s="114">
        <v>3981</v>
      </c>
      <c r="B492" s="114">
        <v>20</v>
      </c>
      <c r="C492" s="115" t="s">
        <v>438</v>
      </c>
      <c r="D492" s="118" t="s">
        <v>424</v>
      </c>
      <c r="E492" s="116" t="s">
        <v>439</v>
      </c>
      <c r="F492" s="143">
        <v>46053</v>
      </c>
      <c r="G492" s="117">
        <v>820</v>
      </c>
      <c r="H492" s="117">
        <v>820</v>
      </c>
      <c r="I492" s="115" t="s">
        <v>216</v>
      </c>
    </row>
    <row r="493" spans="1:9" ht="25.5" customHeight="1" x14ac:dyDescent="0.25">
      <c r="A493" s="114">
        <v>3983</v>
      </c>
      <c r="B493" s="114">
        <v>5</v>
      </c>
      <c r="C493" s="115" t="s">
        <v>380</v>
      </c>
      <c r="D493" s="118" t="s">
        <v>381</v>
      </c>
      <c r="E493" s="122" t="s">
        <v>339</v>
      </c>
      <c r="F493" s="143">
        <v>46053</v>
      </c>
      <c r="G493" s="117">
        <v>7665</v>
      </c>
      <c r="H493" s="117">
        <v>7193.61</v>
      </c>
      <c r="I493" s="115" t="s">
        <v>216</v>
      </c>
    </row>
    <row r="494" spans="1:9" ht="25.5" customHeight="1" x14ac:dyDescent="0.25">
      <c r="A494" s="574">
        <v>3985</v>
      </c>
      <c r="B494" s="574">
        <v>136</v>
      </c>
      <c r="C494" s="575" t="s">
        <v>365</v>
      </c>
      <c r="D494" s="576" t="s">
        <v>366</v>
      </c>
      <c r="E494" s="577" t="s">
        <v>367</v>
      </c>
      <c r="F494" s="578">
        <v>46053</v>
      </c>
      <c r="G494" s="579">
        <v>4891.66</v>
      </c>
      <c r="H494" s="579">
        <v>4891.66</v>
      </c>
      <c r="I494" s="575" t="s">
        <v>245</v>
      </c>
    </row>
    <row r="495" spans="1:9" ht="25.5" customHeight="1" x14ac:dyDescent="0.25">
      <c r="A495" s="114">
        <v>3987</v>
      </c>
      <c r="B495" s="114">
        <v>124</v>
      </c>
      <c r="C495" s="115" t="s">
        <v>505</v>
      </c>
      <c r="D495" s="118" t="s">
        <v>428</v>
      </c>
      <c r="E495" s="116" t="s">
        <v>567</v>
      </c>
      <c r="F495" s="143">
        <v>46054</v>
      </c>
      <c r="G495" s="464">
        <v>7933.33</v>
      </c>
      <c r="H495" s="464">
        <v>7445.46</v>
      </c>
      <c r="I495" s="115" t="s">
        <v>245</v>
      </c>
    </row>
    <row r="496" spans="1:9" ht="25.5" customHeight="1" x14ac:dyDescent="0.25">
      <c r="A496" s="114">
        <v>4045</v>
      </c>
      <c r="B496" s="114">
        <v>68</v>
      </c>
      <c r="C496" s="115" t="s">
        <v>448</v>
      </c>
      <c r="D496" s="118" t="s">
        <v>562</v>
      </c>
      <c r="E496" s="116" t="s">
        <v>566</v>
      </c>
      <c r="F496" s="143">
        <v>46054</v>
      </c>
      <c r="G496" s="464">
        <v>4868.2</v>
      </c>
      <c r="H496" s="464">
        <v>4568.82</v>
      </c>
      <c r="I496" s="115" t="s">
        <v>560</v>
      </c>
    </row>
    <row r="497" spans="1:9" ht="25.5" customHeight="1" x14ac:dyDescent="0.25">
      <c r="A497" s="114">
        <v>4044</v>
      </c>
      <c r="B497" s="114">
        <v>101</v>
      </c>
      <c r="C497" s="115" t="s">
        <v>434</v>
      </c>
      <c r="D497" s="118" t="s">
        <v>381</v>
      </c>
      <c r="E497" s="116" t="s">
        <v>435</v>
      </c>
      <c r="F497" s="143">
        <v>46054</v>
      </c>
      <c r="G497" s="464">
        <v>151.5</v>
      </c>
      <c r="H497" s="464">
        <v>151.5</v>
      </c>
      <c r="I497" s="115" t="s">
        <v>560</v>
      </c>
    </row>
    <row r="498" spans="1:9" ht="25.5" hidden="1" customHeight="1" x14ac:dyDescent="0.25">
      <c r="A498" s="114">
        <v>3924</v>
      </c>
      <c r="B498" s="114">
        <v>115</v>
      </c>
      <c r="C498" s="115" t="s">
        <v>409</v>
      </c>
      <c r="D498" s="118" t="s">
        <v>381</v>
      </c>
      <c r="E498" s="116" t="s">
        <v>410</v>
      </c>
      <c r="F498" s="143">
        <v>45992</v>
      </c>
      <c r="G498" s="464">
        <v>2800</v>
      </c>
      <c r="H498" s="464">
        <v>466.66</v>
      </c>
      <c r="I498" s="115" t="s">
        <v>216</v>
      </c>
    </row>
    <row r="499" spans="1:9" ht="25.5" customHeight="1" x14ac:dyDescent="0.25">
      <c r="A499" s="114">
        <v>3978</v>
      </c>
      <c r="B499" s="114">
        <v>81</v>
      </c>
      <c r="C499" s="115" t="s">
        <v>403</v>
      </c>
      <c r="D499" s="118" t="s">
        <v>500</v>
      </c>
      <c r="E499" s="116" t="s">
        <v>404</v>
      </c>
      <c r="F499" s="143">
        <v>46054</v>
      </c>
      <c r="G499" s="464">
        <v>1059.99</v>
      </c>
      <c r="H499" s="464">
        <v>994.84</v>
      </c>
      <c r="I499" s="115" t="s">
        <v>217</v>
      </c>
    </row>
    <row r="500" spans="1:9" ht="25.5" customHeight="1" x14ac:dyDescent="0.25">
      <c r="A500" s="114">
        <v>3980</v>
      </c>
      <c r="B500" s="114">
        <v>114</v>
      </c>
      <c r="C500" s="115" t="s">
        <v>411</v>
      </c>
      <c r="D500" s="118" t="s">
        <v>381</v>
      </c>
      <c r="E500" s="116" t="s">
        <v>412</v>
      </c>
      <c r="F500" s="143">
        <v>46054</v>
      </c>
      <c r="G500" s="464">
        <v>13747.81</v>
      </c>
      <c r="H500" s="464">
        <v>6451.19</v>
      </c>
      <c r="I500" s="115" t="s">
        <v>217</v>
      </c>
    </row>
    <row r="501" spans="1:9" ht="25.5" customHeight="1" x14ac:dyDescent="0.25">
      <c r="A501" s="114">
        <v>3976</v>
      </c>
      <c r="B501" s="114">
        <v>135</v>
      </c>
      <c r="C501" s="115" t="s">
        <v>394</v>
      </c>
      <c r="D501" s="118" t="s">
        <v>381</v>
      </c>
      <c r="E501" s="116" t="s">
        <v>395</v>
      </c>
      <c r="F501" s="143">
        <v>46054</v>
      </c>
      <c r="G501" s="464">
        <v>13000</v>
      </c>
      <c r="H501" s="464">
        <v>12200.5</v>
      </c>
      <c r="I501" s="115" t="s">
        <v>245</v>
      </c>
    </row>
    <row r="502" spans="1:9" ht="25.5" customHeight="1" x14ac:dyDescent="0.25">
      <c r="A502" s="114">
        <v>3955</v>
      </c>
      <c r="B502" s="114">
        <v>135</v>
      </c>
      <c r="C502" s="115" t="s">
        <v>394</v>
      </c>
      <c r="D502" s="118" t="s">
        <v>381</v>
      </c>
      <c r="E502" s="116" t="s">
        <v>395</v>
      </c>
      <c r="F502" s="143">
        <v>46054</v>
      </c>
      <c r="G502" s="464">
        <v>8666.66</v>
      </c>
      <c r="H502" s="464">
        <v>8133.69</v>
      </c>
      <c r="I502" s="115" t="s">
        <v>245</v>
      </c>
    </row>
    <row r="503" spans="1:9" ht="25.5" customHeight="1" x14ac:dyDescent="0.25">
      <c r="A503" s="114">
        <v>3990</v>
      </c>
      <c r="B503" s="114">
        <v>130</v>
      </c>
      <c r="C503" s="115" t="s">
        <v>392</v>
      </c>
      <c r="D503" s="118" t="s">
        <v>381</v>
      </c>
      <c r="E503" s="116" t="s">
        <v>393</v>
      </c>
      <c r="F503" s="143">
        <v>46054</v>
      </c>
      <c r="G503" s="464">
        <v>13750</v>
      </c>
      <c r="H503" s="464">
        <v>6452.19</v>
      </c>
      <c r="I503" s="115" t="s">
        <v>245</v>
      </c>
    </row>
    <row r="504" spans="1:9" ht="25.5" customHeight="1" x14ac:dyDescent="0.25">
      <c r="A504" s="114">
        <v>3989</v>
      </c>
      <c r="B504" s="114">
        <v>130</v>
      </c>
      <c r="C504" s="115" t="s">
        <v>392</v>
      </c>
      <c r="D504" s="118" t="s">
        <v>381</v>
      </c>
      <c r="E504" s="116" t="s">
        <v>393</v>
      </c>
      <c r="F504" s="143">
        <v>46054</v>
      </c>
      <c r="G504" s="464">
        <v>13750</v>
      </c>
      <c r="H504" s="464">
        <v>6452.2</v>
      </c>
      <c r="I504" s="115" t="s">
        <v>245</v>
      </c>
    </row>
    <row r="505" spans="1:9" ht="25.5" customHeight="1" x14ac:dyDescent="0.25">
      <c r="A505" s="114">
        <v>3964</v>
      </c>
      <c r="B505" s="114">
        <v>2</v>
      </c>
      <c r="C505" s="115" t="s">
        <v>390</v>
      </c>
      <c r="D505" s="118" t="s">
        <v>524</v>
      </c>
      <c r="E505" s="116" t="s">
        <v>525</v>
      </c>
      <c r="F505" s="143">
        <v>46054</v>
      </c>
      <c r="G505" s="464">
        <v>1368.51</v>
      </c>
      <c r="H505" s="464">
        <v>1284.3699999999999</v>
      </c>
      <c r="I505" s="115" t="s">
        <v>216</v>
      </c>
    </row>
    <row r="506" spans="1:9" ht="25.5" customHeight="1" x14ac:dyDescent="0.25">
      <c r="A506" s="114">
        <v>4006</v>
      </c>
      <c r="B506" s="114">
        <v>7</v>
      </c>
      <c r="C506" s="115" t="s">
        <v>460</v>
      </c>
      <c r="D506" s="118" t="s">
        <v>563</v>
      </c>
      <c r="E506" s="116" t="s">
        <v>565</v>
      </c>
      <c r="F506" s="143">
        <v>46054</v>
      </c>
      <c r="G506" s="464">
        <v>34229.06</v>
      </c>
      <c r="H506" s="464">
        <v>32123.99</v>
      </c>
      <c r="I506" s="115" t="s">
        <v>217</v>
      </c>
    </row>
    <row r="507" spans="1:9" ht="25.5" customHeight="1" x14ac:dyDescent="0.25">
      <c r="A507" s="114">
        <v>4005</v>
      </c>
      <c r="B507" s="114">
        <v>7</v>
      </c>
      <c r="C507" s="115" t="s">
        <v>460</v>
      </c>
      <c r="D507" s="118" t="s">
        <v>561</v>
      </c>
      <c r="E507" s="116" t="s">
        <v>564</v>
      </c>
      <c r="F507" s="143">
        <v>46054</v>
      </c>
      <c r="G507" s="464">
        <v>16246.55</v>
      </c>
      <c r="H507" s="464">
        <v>15247.4</v>
      </c>
      <c r="I507" s="115" t="s">
        <v>560</v>
      </c>
    </row>
    <row r="508" spans="1:9" ht="25.5" customHeight="1" x14ac:dyDescent="0.25">
      <c r="A508" s="114">
        <v>4004</v>
      </c>
      <c r="B508" s="114">
        <v>7</v>
      </c>
      <c r="C508" s="115" t="s">
        <v>460</v>
      </c>
      <c r="D508" s="118" t="s">
        <v>381</v>
      </c>
      <c r="E508" s="116" t="s">
        <v>461</v>
      </c>
      <c r="F508" s="143">
        <v>46054</v>
      </c>
      <c r="G508" s="464">
        <v>6494.21</v>
      </c>
      <c r="H508" s="464">
        <v>6094.83</v>
      </c>
      <c r="I508" s="115" t="s">
        <v>217</v>
      </c>
    </row>
    <row r="509" spans="1:9" ht="25.5" customHeight="1" x14ac:dyDescent="0.25">
      <c r="A509" s="114">
        <v>4049</v>
      </c>
      <c r="B509" s="114">
        <v>28</v>
      </c>
      <c r="C509" s="115" t="s">
        <v>415</v>
      </c>
      <c r="D509" s="118" t="s">
        <v>401</v>
      </c>
      <c r="E509" s="116" t="s">
        <v>418</v>
      </c>
      <c r="F509" s="143">
        <v>46054</v>
      </c>
      <c r="G509" s="464">
        <v>303</v>
      </c>
      <c r="H509" s="464">
        <v>303</v>
      </c>
      <c r="I509" s="115" t="s">
        <v>560</v>
      </c>
    </row>
    <row r="510" spans="1:9" ht="25.5" customHeight="1" x14ac:dyDescent="0.25">
      <c r="A510" s="114">
        <v>4048</v>
      </c>
      <c r="B510" s="114">
        <v>28</v>
      </c>
      <c r="C510" s="115" t="s">
        <v>415</v>
      </c>
      <c r="D510" s="118" t="s">
        <v>405</v>
      </c>
      <c r="E510" s="116" t="s">
        <v>470</v>
      </c>
      <c r="F510" s="143">
        <v>46054</v>
      </c>
      <c r="G510" s="464">
        <v>120572.27</v>
      </c>
      <c r="H510" s="464">
        <v>105000</v>
      </c>
      <c r="I510" s="115" t="s">
        <v>560</v>
      </c>
    </row>
    <row r="511" spans="1:9" ht="25.5" hidden="1" customHeight="1" x14ac:dyDescent="0.25">
      <c r="A511" s="114">
        <v>3925</v>
      </c>
      <c r="B511" s="114">
        <v>115</v>
      </c>
      <c r="C511" s="115" t="s">
        <v>409</v>
      </c>
      <c r="D511" s="118" t="s">
        <v>381</v>
      </c>
      <c r="E511" s="116" t="s">
        <v>410</v>
      </c>
      <c r="F511" s="143">
        <v>45992</v>
      </c>
      <c r="G511" s="464">
        <v>2800</v>
      </c>
      <c r="H511" s="464">
        <v>1400</v>
      </c>
      <c r="I511" s="115" t="s">
        <v>216</v>
      </c>
    </row>
    <row r="512" spans="1:9" ht="25.5" hidden="1" customHeight="1" x14ac:dyDescent="0.25">
      <c r="A512" s="114">
        <v>3900</v>
      </c>
      <c r="B512" s="114">
        <v>136</v>
      </c>
      <c r="C512" s="115" t="s">
        <v>365</v>
      </c>
      <c r="D512" s="118" t="s">
        <v>366</v>
      </c>
      <c r="E512" s="116" t="s">
        <v>367</v>
      </c>
      <c r="F512" s="143">
        <v>45992</v>
      </c>
      <c r="G512" s="464">
        <v>13000</v>
      </c>
      <c r="H512" s="464">
        <v>13000</v>
      </c>
      <c r="I512" s="115" t="s">
        <v>245</v>
      </c>
    </row>
    <row r="513" spans="1:9" ht="25.5" customHeight="1" x14ac:dyDescent="0.25">
      <c r="A513" s="114">
        <v>4047</v>
      </c>
      <c r="B513" s="114">
        <v>28</v>
      </c>
      <c r="C513" s="115" t="s">
        <v>415</v>
      </c>
      <c r="D513" s="118" t="s">
        <v>416</v>
      </c>
      <c r="E513" s="116" t="s">
        <v>417</v>
      </c>
      <c r="F513" s="143">
        <v>46054</v>
      </c>
      <c r="G513" s="464">
        <v>303</v>
      </c>
      <c r="H513" s="464">
        <v>303</v>
      </c>
      <c r="I513" s="115" t="s">
        <v>560</v>
      </c>
    </row>
    <row r="514" spans="1:9" ht="25.5" customHeight="1" x14ac:dyDescent="0.25">
      <c r="A514" s="114">
        <v>3993</v>
      </c>
      <c r="B514" s="114">
        <v>61</v>
      </c>
      <c r="C514" s="115" t="s">
        <v>398</v>
      </c>
      <c r="D514" s="118" t="s">
        <v>401</v>
      </c>
      <c r="E514" s="116" t="s">
        <v>400</v>
      </c>
      <c r="F514" s="143">
        <v>46054</v>
      </c>
      <c r="G514" s="464">
        <v>4551.17</v>
      </c>
      <c r="H514" s="464">
        <v>4271.28</v>
      </c>
      <c r="I514" s="115" t="s">
        <v>217</v>
      </c>
    </row>
    <row r="515" spans="1:9" ht="25.5" customHeight="1" x14ac:dyDescent="0.25">
      <c r="A515" s="114">
        <v>3992</v>
      </c>
      <c r="B515" s="114">
        <v>61</v>
      </c>
      <c r="C515" s="115" t="s">
        <v>398</v>
      </c>
      <c r="D515" s="118" t="s">
        <v>399</v>
      </c>
      <c r="E515" s="116" t="s">
        <v>400</v>
      </c>
      <c r="F515" s="143">
        <v>46054</v>
      </c>
      <c r="G515" s="464">
        <v>34418.379999999997</v>
      </c>
      <c r="H515" s="464">
        <v>32301.67</v>
      </c>
      <c r="I515" s="115" t="s">
        <v>217</v>
      </c>
    </row>
    <row r="516" spans="1:9" ht="25.5" customHeight="1" x14ac:dyDescent="0.25">
      <c r="A516" s="114">
        <v>3973</v>
      </c>
      <c r="B516" s="114">
        <v>61</v>
      </c>
      <c r="C516" s="115" t="s">
        <v>398</v>
      </c>
      <c r="D516" s="118" t="s">
        <v>407</v>
      </c>
      <c r="E516" s="116" t="s">
        <v>408</v>
      </c>
      <c r="F516" s="143">
        <v>46054</v>
      </c>
      <c r="G516" s="464">
        <v>30000</v>
      </c>
      <c r="H516" s="464">
        <v>14077.5</v>
      </c>
      <c r="I516" s="115" t="s">
        <v>217</v>
      </c>
    </row>
    <row r="517" spans="1:9" ht="25.5" customHeight="1" x14ac:dyDescent="0.25">
      <c r="A517" s="114">
        <v>4046</v>
      </c>
      <c r="B517" s="114">
        <v>64</v>
      </c>
      <c r="C517" s="115" t="s">
        <v>446</v>
      </c>
      <c r="D517" s="118" t="s">
        <v>499</v>
      </c>
      <c r="E517" s="123" t="s">
        <v>476</v>
      </c>
      <c r="F517" s="143">
        <v>46054</v>
      </c>
      <c r="G517" s="464">
        <v>606</v>
      </c>
      <c r="H517" s="464">
        <v>568.74</v>
      </c>
      <c r="I517" s="115" t="s">
        <v>560</v>
      </c>
    </row>
    <row r="518" spans="1:9" ht="25.5" hidden="1" customHeight="1" x14ac:dyDescent="0.25">
      <c r="A518" s="114">
        <v>3842</v>
      </c>
      <c r="B518" s="114">
        <v>132</v>
      </c>
      <c r="C518" s="115" t="s">
        <v>426</v>
      </c>
      <c r="D518" s="118" t="s">
        <v>381</v>
      </c>
      <c r="E518" s="116" t="s">
        <v>427</v>
      </c>
      <c r="F518" s="143">
        <v>45992</v>
      </c>
      <c r="G518" s="464">
        <v>2318.1799999999998</v>
      </c>
      <c r="H518" s="464">
        <v>2175.63</v>
      </c>
      <c r="I518" s="115" t="s">
        <v>216</v>
      </c>
    </row>
    <row r="519" spans="1:9" ht="25.5" hidden="1" customHeight="1" x14ac:dyDescent="0.25">
      <c r="A519" s="114">
        <v>3885</v>
      </c>
      <c r="B519" s="114">
        <v>132</v>
      </c>
      <c r="C519" s="115" t="s">
        <v>426</v>
      </c>
      <c r="D519" s="118" t="s">
        <v>381</v>
      </c>
      <c r="E519" s="116" t="s">
        <v>427</v>
      </c>
      <c r="F519" s="143">
        <v>45992</v>
      </c>
      <c r="G519" s="464">
        <v>2318.1799999999998</v>
      </c>
      <c r="H519" s="464">
        <v>2175.63</v>
      </c>
      <c r="I519" s="115" t="s">
        <v>216</v>
      </c>
    </row>
    <row r="520" spans="1:9" ht="25.5" customHeight="1" x14ac:dyDescent="0.25">
      <c r="A520" s="114">
        <v>3969</v>
      </c>
      <c r="B520" s="114">
        <v>115</v>
      </c>
      <c r="C520" s="115" t="s">
        <v>409</v>
      </c>
      <c r="D520" s="118" t="s">
        <v>381</v>
      </c>
      <c r="E520" s="116" t="s">
        <v>410</v>
      </c>
      <c r="F520" s="143">
        <v>46054</v>
      </c>
      <c r="G520" s="464">
        <v>2800</v>
      </c>
      <c r="H520" s="464">
        <v>1400</v>
      </c>
      <c r="I520" s="115" t="s">
        <v>560</v>
      </c>
    </row>
    <row r="521" spans="1:9" ht="25.5" customHeight="1" x14ac:dyDescent="0.25">
      <c r="A521" s="114">
        <v>3968</v>
      </c>
      <c r="B521" s="114">
        <v>115</v>
      </c>
      <c r="C521" s="115" t="s">
        <v>409</v>
      </c>
      <c r="D521" s="118" t="s">
        <v>381</v>
      </c>
      <c r="E521" s="116" t="s">
        <v>410</v>
      </c>
      <c r="F521" s="143">
        <v>46054</v>
      </c>
      <c r="G521" s="464">
        <v>2800</v>
      </c>
      <c r="H521" s="464">
        <v>466.66</v>
      </c>
      <c r="I521" s="115" t="s">
        <v>216</v>
      </c>
    </row>
    <row r="522" spans="1:9" ht="25.5" customHeight="1" x14ac:dyDescent="0.25">
      <c r="A522" s="114">
        <v>3967</v>
      </c>
      <c r="B522" s="114">
        <v>115</v>
      </c>
      <c r="C522" s="115" t="s">
        <v>409</v>
      </c>
      <c r="D522" s="118" t="s">
        <v>381</v>
      </c>
      <c r="E522" s="116" t="s">
        <v>410</v>
      </c>
      <c r="F522" s="143">
        <v>46054</v>
      </c>
      <c r="G522" s="464">
        <v>2800</v>
      </c>
      <c r="H522" s="464">
        <v>466.68</v>
      </c>
      <c r="I522" s="115" t="s">
        <v>216</v>
      </c>
    </row>
    <row r="523" spans="1:9" ht="25.5" customHeight="1" x14ac:dyDescent="0.25">
      <c r="A523" s="114">
        <v>3982</v>
      </c>
      <c r="B523" s="114">
        <v>132</v>
      </c>
      <c r="C523" s="115" t="s">
        <v>426</v>
      </c>
      <c r="D523" s="118" t="s">
        <v>381</v>
      </c>
      <c r="E523" s="116" t="s">
        <v>427</v>
      </c>
      <c r="F523" s="143">
        <v>46054</v>
      </c>
      <c r="G523" s="464">
        <v>1500</v>
      </c>
      <c r="H523" s="464">
        <v>1407.75</v>
      </c>
      <c r="I523" s="115" t="s">
        <v>560</v>
      </c>
    </row>
    <row r="524" spans="1:9" ht="25.5" customHeight="1" x14ac:dyDescent="0.25">
      <c r="A524" s="574">
        <v>4009</v>
      </c>
      <c r="B524" s="574">
        <v>136</v>
      </c>
      <c r="C524" s="575" t="s">
        <v>365</v>
      </c>
      <c r="D524" s="576" t="s">
        <v>366</v>
      </c>
      <c r="E524" s="577" t="s">
        <v>367</v>
      </c>
      <c r="F524" s="578">
        <v>46054</v>
      </c>
      <c r="G524" s="636">
        <v>5025</v>
      </c>
      <c r="H524" s="636">
        <v>5025</v>
      </c>
      <c r="I524" s="575" t="s">
        <v>245</v>
      </c>
    </row>
    <row r="525" spans="1:9" ht="25.5" customHeight="1" x14ac:dyDescent="0.25">
      <c r="A525" s="114">
        <v>4039</v>
      </c>
      <c r="B525" s="114">
        <v>147</v>
      </c>
      <c r="C525" s="115" t="s">
        <v>559</v>
      </c>
      <c r="D525" s="118" t="s">
        <v>381</v>
      </c>
      <c r="E525" s="116" t="s">
        <v>568</v>
      </c>
      <c r="F525" s="143">
        <v>46054</v>
      </c>
      <c r="G525" s="464">
        <v>30000</v>
      </c>
      <c r="H525" s="464">
        <v>14077.5</v>
      </c>
      <c r="I525" s="115" t="s">
        <v>217</v>
      </c>
    </row>
  </sheetData>
  <autoFilter ref="A1:I525" xr:uid="{8BCC7890-4DA6-4686-9CC1-E01633ED6F55}">
    <filterColumn colId="5">
      <filters>
        <dateGroupItem year="2026" dateTimeGrouping="year"/>
      </filters>
    </filterColumn>
    <sortState xmlns:xlrd2="http://schemas.microsoft.com/office/spreadsheetml/2017/richdata2" ref="A11:I525">
      <sortCondition ref="F1:F525"/>
    </sortState>
  </autoFilter>
  <sortState xmlns:xlrd2="http://schemas.microsoft.com/office/spreadsheetml/2017/richdata2" ref="A500:I525">
    <sortCondition ref="B500:B525"/>
  </sortState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323D-3BC9-4C3D-A20D-BEDE20D1E09C}">
  <dimension ref="A1:D98"/>
  <sheetViews>
    <sheetView topLeftCell="A67" workbookViewId="0">
      <selection activeCell="C93" sqref="C93"/>
    </sheetView>
  </sheetViews>
  <sheetFormatPr defaultRowHeight="15" x14ac:dyDescent="0.25"/>
  <cols>
    <col min="1" max="1" width="14.7109375" bestFit="1" customWidth="1"/>
    <col min="2" max="2" width="11.5703125" bestFit="1" customWidth="1"/>
    <col min="3" max="3" width="17.140625" customWidth="1"/>
    <col min="4" max="4" width="21.140625" bestFit="1" customWidth="1"/>
  </cols>
  <sheetData>
    <row r="1" spans="1:4" x14ac:dyDescent="0.25">
      <c r="A1" s="661">
        <v>44682</v>
      </c>
      <c r="B1" s="662"/>
      <c r="C1" s="663"/>
      <c r="D1" s="329" t="s">
        <v>531</v>
      </c>
    </row>
    <row r="2" spans="1:4" x14ac:dyDescent="0.25">
      <c r="A2" s="87" t="s">
        <v>532</v>
      </c>
      <c r="B2" s="59">
        <v>78409</v>
      </c>
      <c r="C2" s="87"/>
      <c r="D2" s="330"/>
    </row>
    <row r="3" spans="1:4" x14ac:dyDescent="0.25">
      <c r="A3" s="87" t="s">
        <v>533</v>
      </c>
      <c r="B3" s="331">
        <f>B2/60</f>
        <v>1306.8166666666666</v>
      </c>
      <c r="C3" s="87" t="s">
        <v>534</v>
      </c>
      <c r="D3" s="332">
        <f>B3</f>
        <v>1306.8166666666666</v>
      </c>
    </row>
    <row r="4" spans="1:4" x14ac:dyDescent="0.25">
      <c r="A4" s="333"/>
      <c r="B4" s="333"/>
      <c r="C4" s="333"/>
      <c r="D4" s="333"/>
    </row>
    <row r="5" spans="1:4" x14ac:dyDescent="0.25">
      <c r="A5" s="661">
        <v>44713</v>
      </c>
      <c r="B5" s="662"/>
      <c r="C5" s="663"/>
      <c r="D5" s="329" t="s">
        <v>535</v>
      </c>
    </row>
    <row r="6" spans="1:4" x14ac:dyDescent="0.25">
      <c r="A6" s="87" t="s">
        <v>532</v>
      </c>
      <c r="B6" s="59">
        <f>'[4]Orçamento 2022'!R189</f>
        <v>154730.96</v>
      </c>
      <c r="C6" s="87"/>
      <c r="D6" s="330"/>
    </row>
    <row r="7" spans="1:4" x14ac:dyDescent="0.25">
      <c r="A7" s="87" t="s">
        <v>533</v>
      </c>
      <c r="B7" s="331">
        <f>B6/60</f>
        <v>2578.8493333333331</v>
      </c>
      <c r="C7" s="87" t="s">
        <v>536</v>
      </c>
      <c r="D7" s="332">
        <f>B3+B7</f>
        <v>3885.6659999999997</v>
      </c>
    </row>
    <row r="8" spans="1:4" x14ac:dyDescent="0.25">
      <c r="A8" s="333"/>
      <c r="B8" s="333"/>
      <c r="C8" s="333"/>
      <c r="D8" s="333"/>
    </row>
    <row r="9" spans="1:4" x14ac:dyDescent="0.25">
      <c r="A9" s="661">
        <v>44743</v>
      </c>
      <c r="B9" s="662"/>
      <c r="C9" s="663"/>
      <c r="D9" s="329" t="s">
        <v>537</v>
      </c>
    </row>
    <row r="10" spans="1:4" x14ac:dyDescent="0.25">
      <c r="A10" s="87" t="s">
        <v>532</v>
      </c>
      <c r="B10" s="59">
        <v>116368.83</v>
      </c>
      <c r="C10" s="87"/>
      <c r="D10" s="330"/>
    </row>
    <row r="11" spans="1:4" x14ac:dyDescent="0.25">
      <c r="A11" s="87" t="s">
        <v>533</v>
      </c>
      <c r="B11" s="331">
        <f>B10/60</f>
        <v>1939.4805000000001</v>
      </c>
      <c r="C11" s="87" t="s">
        <v>538</v>
      </c>
      <c r="D11" s="332">
        <f>D7+B11</f>
        <v>5825.1464999999998</v>
      </c>
    </row>
    <row r="12" spans="1:4" x14ac:dyDescent="0.25">
      <c r="A12" s="333"/>
      <c r="B12" s="333"/>
      <c r="C12" s="333"/>
      <c r="D12" s="333"/>
    </row>
    <row r="13" spans="1:4" x14ac:dyDescent="0.25">
      <c r="A13" s="661">
        <v>44774</v>
      </c>
      <c r="B13" s="662"/>
      <c r="C13" s="663"/>
      <c r="D13" s="329" t="s">
        <v>539</v>
      </c>
    </row>
    <row r="14" spans="1:4" x14ac:dyDescent="0.25">
      <c r="A14" s="87" t="s">
        <v>532</v>
      </c>
      <c r="B14" s="59">
        <f>'[4]Orçamento 2022'!X189</f>
        <v>43795.59</v>
      </c>
      <c r="C14" s="87"/>
      <c r="D14" s="330"/>
    </row>
    <row r="15" spans="1:4" x14ac:dyDescent="0.25">
      <c r="A15" s="87" t="s">
        <v>533</v>
      </c>
      <c r="B15" s="331">
        <f>B14/60</f>
        <v>729.92649999999992</v>
      </c>
      <c r="C15" s="87" t="s">
        <v>540</v>
      </c>
      <c r="D15" s="332">
        <f>D11+B15</f>
        <v>6555.0729999999994</v>
      </c>
    </row>
    <row r="16" spans="1:4" x14ac:dyDescent="0.25">
      <c r="A16" s="333"/>
      <c r="B16" s="333"/>
      <c r="C16" s="333"/>
      <c r="D16" s="333"/>
    </row>
    <row r="17" spans="1:4" x14ac:dyDescent="0.25">
      <c r="A17" s="661">
        <v>44805</v>
      </c>
      <c r="B17" s="662"/>
      <c r="C17" s="663"/>
      <c r="D17" s="329" t="s">
        <v>541</v>
      </c>
    </row>
    <row r="18" spans="1:4" x14ac:dyDescent="0.25">
      <c r="A18" s="87" t="s">
        <v>532</v>
      </c>
      <c r="B18" s="59">
        <f>'[4]Orçamento 2022'!AA186</f>
        <v>20140</v>
      </c>
      <c r="C18" s="87"/>
      <c r="D18" s="330"/>
    </row>
    <row r="19" spans="1:4" x14ac:dyDescent="0.25">
      <c r="A19" s="87" t="s">
        <v>533</v>
      </c>
      <c r="B19" s="331">
        <f>B18/60</f>
        <v>335.66666666666669</v>
      </c>
      <c r="C19" s="87" t="s">
        <v>542</v>
      </c>
      <c r="D19" s="332">
        <f>D15+B19</f>
        <v>6890.7396666666664</v>
      </c>
    </row>
    <row r="20" spans="1:4" x14ac:dyDescent="0.25">
      <c r="A20" s="333"/>
      <c r="B20" s="333"/>
      <c r="C20" s="333"/>
      <c r="D20" s="333"/>
    </row>
    <row r="21" spans="1:4" x14ac:dyDescent="0.25">
      <c r="A21" s="661">
        <v>44835</v>
      </c>
      <c r="B21" s="662"/>
      <c r="C21" s="663"/>
      <c r="D21" s="329" t="s">
        <v>543</v>
      </c>
    </row>
    <row r="22" spans="1:4" x14ac:dyDescent="0.25">
      <c r="A22" s="87" t="s">
        <v>532</v>
      </c>
      <c r="B22" s="59">
        <f>'[4]Orçamento 2022'!AD189</f>
        <v>41551</v>
      </c>
      <c r="C22" s="87"/>
      <c r="D22" s="330"/>
    </row>
    <row r="23" spans="1:4" x14ac:dyDescent="0.25">
      <c r="A23" s="87" t="s">
        <v>533</v>
      </c>
      <c r="B23" s="331">
        <f>B22/60</f>
        <v>692.51666666666665</v>
      </c>
      <c r="C23" s="87" t="s">
        <v>544</v>
      </c>
      <c r="D23" s="332">
        <f>D19+B23</f>
        <v>7583.2563333333328</v>
      </c>
    </row>
    <row r="24" spans="1:4" x14ac:dyDescent="0.25">
      <c r="A24" s="333"/>
      <c r="B24" s="333"/>
      <c r="C24" s="333"/>
      <c r="D24" s="333"/>
    </row>
    <row r="25" spans="1:4" x14ac:dyDescent="0.25">
      <c r="A25" s="661">
        <v>44866</v>
      </c>
      <c r="B25" s="662"/>
      <c r="C25" s="663"/>
      <c r="D25" s="329" t="s">
        <v>545</v>
      </c>
    </row>
    <row r="26" spans="1:4" x14ac:dyDescent="0.25">
      <c r="A26" s="87" t="s">
        <v>532</v>
      </c>
      <c r="B26" s="59">
        <f>'[4]Orçamento 2022'!AG189</f>
        <v>21722</v>
      </c>
      <c r="C26" s="87"/>
      <c r="D26" s="330"/>
    </row>
    <row r="27" spans="1:4" x14ac:dyDescent="0.25">
      <c r="A27" s="87" t="s">
        <v>533</v>
      </c>
      <c r="B27" s="331">
        <f>B26/60</f>
        <v>362.03333333333336</v>
      </c>
      <c r="C27" s="87" t="s">
        <v>546</v>
      </c>
      <c r="D27" s="332">
        <f>D23+B27</f>
        <v>7945.2896666666666</v>
      </c>
    </row>
    <row r="28" spans="1:4" x14ac:dyDescent="0.25">
      <c r="A28" s="333"/>
      <c r="B28" s="333"/>
      <c r="C28" s="333"/>
      <c r="D28" s="333"/>
    </row>
    <row r="29" spans="1:4" x14ac:dyDescent="0.25">
      <c r="A29" s="661">
        <v>44896</v>
      </c>
      <c r="B29" s="662"/>
      <c r="C29" s="663"/>
      <c r="D29" s="329" t="s">
        <v>547</v>
      </c>
    </row>
    <row r="30" spans="1:4" x14ac:dyDescent="0.25">
      <c r="A30" s="87" t="s">
        <v>532</v>
      </c>
      <c r="B30" s="59">
        <f>'[4]Orçamento 2022'!AJ189</f>
        <v>10321</v>
      </c>
      <c r="C30" s="87"/>
      <c r="D30" s="330"/>
    </row>
    <row r="31" spans="1:4" x14ac:dyDescent="0.25">
      <c r="A31" s="87" t="s">
        <v>533</v>
      </c>
      <c r="B31" s="331">
        <f>B30/60</f>
        <v>172.01666666666668</v>
      </c>
      <c r="C31" s="87" t="s">
        <v>548</v>
      </c>
      <c r="D31" s="332">
        <f>D27+B31</f>
        <v>8117.306333333333</v>
      </c>
    </row>
    <row r="33" spans="1:4" x14ac:dyDescent="0.25">
      <c r="A33" s="661">
        <v>44927</v>
      </c>
      <c r="B33" s="662"/>
      <c r="C33" s="663"/>
      <c r="D33" s="334" t="s">
        <v>549</v>
      </c>
    </row>
    <row r="34" spans="1:4" x14ac:dyDescent="0.25">
      <c r="A34" s="335" t="s">
        <v>532</v>
      </c>
      <c r="B34" s="335" t="s">
        <v>550</v>
      </c>
      <c r="C34" s="335"/>
      <c r="D34" s="336"/>
    </row>
    <row r="35" spans="1:4" x14ac:dyDescent="0.25">
      <c r="A35" s="335" t="s">
        <v>533</v>
      </c>
      <c r="B35" s="335" t="s">
        <v>550</v>
      </c>
      <c r="C35" s="335" t="s">
        <v>551</v>
      </c>
      <c r="D35" s="337">
        <v>8117.31</v>
      </c>
    </row>
    <row r="37" spans="1:4" x14ac:dyDescent="0.25">
      <c r="A37" s="87" t="s">
        <v>552</v>
      </c>
      <c r="B37" s="87" t="s">
        <v>553</v>
      </c>
      <c r="C37" s="87" t="s">
        <v>554</v>
      </c>
    </row>
    <row r="38" spans="1:4" x14ac:dyDescent="0.25">
      <c r="A38" s="338">
        <v>44682</v>
      </c>
      <c r="B38" s="87">
        <v>1</v>
      </c>
      <c r="C38" s="85">
        <v>1306.82</v>
      </c>
    </row>
    <row r="39" spans="1:4" x14ac:dyDescent="0.25">
      <c r="A39" s="338">
        <v>44713</v>
      </c>
      <c r="B39" s="87">
        <v>2</v>
      </c>
      <c r="C39" s="85">
        <v>3885.67</v>
      </c>
    </row>
    <row r="40" spans="1:4" x14ac:dyDescent="0.25">
      <c r="A40" s="338">
        <v>44743</v>
      </c>
      <c r="B40" s="87">
        <v>3</v>
      </c>
      <c r="C40" s="85">
        <v>5825.15</v>
      </c>
    </row>
    <row r="41" spans="1:4" x14ac:dyDescent="0.25">
      <c r="A41" s="338">
        <v>44774</v>
      </c>
      <c r="B41" s="87">
        <v>4</v>
      </c>
      <c r="C41" s="85">
        <v>6555.07</v>
      </c>
    </row>
    <row r="42" spans="1:4" x14ac:dyDescent="0.25">
      <c r="A42" s="338">
        <v>44805</v>
      </c>
      <c r="B42" s="87">
        <v>5</v>
      </c>
      <c r="C42" s="85">
        <v>6890.74</v>
      </c>
    </row>
    <row r="43" spans="1:4" x14ac:dyDescent="0.25">
      <c r="A43" s="338">
        <v>44835</v>
      </c>
      <c r="B43" s="87">
        <v>6</v>
      </c>
      <c r="C43" s="85">
        <v>7583.26</v>
      </c>
    </row>
    <row r="44" spans="1:4" x14ac:dyDescent="0.25">
      <c r="A44" s="338">
        <v>44866</v>
      </c>
      <c r="B44" s="87">
        <v>7</v>
      </c>
      <c r="C44" s="85">
        <v>7945.29</v>
      </c>
    </row>
    <row r="45" spans="1:4" x14ac:dyDescent="0.25">
      <c r="A45" s="338">
        <v>44896</v>
      </c>
      <c r="B45" s="87">
        <v>8</v>
      </c>
      <c r="C45" s="85">
        <v>8117.31</v>
      </c>
    </row>
    <row r="46" spans="1:4" x14ac:dyDescent="0.25">
      <c r="A46" s="338">
        <v>44927</v>
      </c>
      <c r="B46" s="87">
        <v>9</v>
      </c>
      <c r="C46" s="85">
        <v>8117.31</v>
      </c>
    </row>
    <row r="47" spans="1:4" x14ac:dyDescent="0.25">
      <c r="A47" s="338">
        <v>44958</v>
      </c>
      <c r="B47" s="87">
        <v>10</v>
      </c>
      <c r="C47" s="85">
        <v>8117.31</v>
      </c>
    </row>
    <row r="48" spans="1:4" x14ac:dyDescent="0.25">
      <c r="A48" s="338">
        <v>44986</v>
      </c>
      <c r="B48" s="87">
        <v>11</v>
      </c>
      <c r="C48" s="85">
        <v>8117.31</v>
      </c>
    </row>
    <row r="49" spans="1:3" x14ac:dyDescent="0.25">
      <c r="A49" s="338">
        <v>45017</v>
      </c>
      <c r="B49" s="87">
        <v>12</v>
      </c>
      <c r="C49" s="85">
        <v>8117.31</v>
      </c>
    </row>
    <row r="50" spans="1:3" x14ac:dyDescent="0.25">
      <c r="A50" s="338">
        <v>45047</v>
      </c>
      <c r="B50" s="87">
        <v>13</v>
      </c>
      <c r="C50" s="85">
        <v>8117.31</v>
      </c>
    </row>
    <row r="51" spans="1:3" x14ac:dyDescent="0.25">
      <c r="A51" s="338">
        <v>45078</v>
      </c>
      <c r="B51" s="87">
        <v>14</v>
      </c>
      <c r="C51" s="85">
        <v>8117.31</v>
      </c>
    </row>
    <row r="52" spans="1:3" x14ac:dyDescent="0.25">
      <c r="A52" s="338">
        <v>45108</v>
      </c>
      <c r="B52" s="87">
        <v>15</v>
      </c>
      <c r="C52" s="85">
        <v>8117.31</v>
      </c>
    </row>
    <row r="53" spans="1:3" x14ac:dyDescent="0.25">
      <c r="A53" s="338">
        <v>45139</v>
      </c>
      <c r="B53" s="87">
        <v>16</v>
      </c>
      <c r="C53" s="85">
        <v>8117.31</v>
      </c>
    </row>
    <row r="54" spans="1:3" x14ac:dyDescent="0.25">
      <c r="A54" s="338">
        <v>45170</v>
      </c>
      <c r="B54" s="87">
        <v>17</v>
      </c>
      <c r="C54" s="85">
        <v>8117.31</v>
      </c>
    </row>
    <row r="55" spans="1:3" x14ac:dyDescent="0.25">
      <c r="A55" s="338">
        <v>45200</v>
      </c>
      <c r="B55" s="87">
        <v>18</v>
      </c>
      <c r="C55" s="85">
        <v>8117.31</v>
      </c>
    </row>
    <row r="56" spans="1:3" x14ac:dyDescent="0.25">
      <c r="A56" s="338">
        <v>45231</v>
      </c>
      <c r="B56" s="87">
        <v>19</v>
      </c>
      <c r="C56" s="85">
        <v>8117.31</v>
      </c>
    </row>
    <row r="57" spans="1:3" x14ac:dyDescent="0.25">
      <c r="A57" s="338">
        <v>45261</v>
      </c>
      <c r="B57" s="87">
        <v>20</v>
      </c>
      <c r="C57" s="85">
        <v>8117.31</v>
      </c>
    </row>
    <row r="58" spans="1:3" x14ac:dyDescent="0.25">
      <c r="A58" s="338">
        <v>45292</v>
      </c>
      <c r="B58" s="87">
        <v>21</v>
      </c>
      <c r="C58" s="85">
        <v>8117.31</v>
      </c>
    </row>
    <row r="59" spans="1:3" x14ac:dyDescent="0.25">
      <c r="A59" s="338">
        <v>45323</v>
      </c>
      <c r="B59" s="87">
        <v>22</v>
      </c>
      <c r="C59" s="85">
        <v>8117.31</v>
      </c>
    </row>
    <row r="60" spans="1:3" x14ac:dyDescent="0.25">
      <c r="A60" s="338">
        <v>45352</v>
      </c>
      <c r="B60" s="87">
        <v>23</v>
      </c>
      <c r="C60" s="85">
        <v>8117.31</v>
      </c>
    </row>
    <row r="61" spans="1:3" x14ac:dyDescent="0.25">
      <c r="A61" s="338">
        <v>45383</v>
      </c>
      <c r="B61" s="87">
        <v>24</v>
      </c>
      <c r="C61" s="85">
        <v>8117.31</v>
      </c>
    </row>
    <row r="62" spans="1:3" x14ac:dyDescent="0.25">
      <c r="A62" s="338">
        <v>45413</v>
      </c>
      <c r="B62" s="87">
        <v>25</v>
      </c>
      <c r="C62" s="85">
        <v>8117.31</v>
      </c>
    </row>
    <row r="63" spans="1:3" x14ac:dyDescent="0.25">
      <c r="A63" s="338">
        <v>45444</v>
      </c>
      <c r="B63" s="87">
        <v>26</v>
      </c>
      <c r="C63" s="85">
        <v>8117.31</v>
      </c>
    </row>
    <row r="64" spans="1:3" x14ac:dyDescent="0.25">
      <c r="A64" s="338">
        <v>45474</v>
      </c>
      <c r="B64" s="87">
        <v>27</v>
      </c>
      <c r="C64" s="85">
        <v>8117.31</v>
      </c>
    </row>
    <row r="65" spans="1:3" x14ac:dyDescent="0.25">
      <c r="A65" s="338">
        <v>45505</v>
      </c>
      <c r="B65" s="87">
        <v>28</v>
      </c>
      <c r="C65" s="85">
        <v>8117.31</v>
      </c>
    </row>
    <row r="66" spans="1:3" x14ac:dyDescent="0.25">
      <c r="A66" s="338">
        <v>45536</v>
      </c>
      <c r="B66" s="87">
        <v>29</v>
      </c>
      <c r="C66" s="85">
        <v>8117.31</v>
      </c>
    </row>
    <row r="67" spans="1:3" x14ac:dyDescent="0.25">
      <c r="A67" s="338">
        <v>45566</v>
      </c>
      <c r="B67" s="87">
        <v>30</v>
      </c>
      <c r="C67" s="85">
        <v>8117.31</v>
      </c>
    </row>
    <row r="68" spans="1:3" x14ac:dyDescent="0.25">
      <c r="A68" s="338">
        <v>45597</v>
      </c>
      <c r="B68" s="87">
        <v>31</v>
      </c>
      <c r="C68" s="85">
        <v>8117.31</v>
      </c>
    </row>
    <row r="69" spans="1:3" x14ac:dyDescent="0.25">
      <c r="A69" s="338">
        <v>45627</v>
      </c>
      <c r="B69" s="87">
        <v>32</v>
      </c>
      <c r="C69" s="85">
        <v>8117.31</v>
      </c>
    </row>
    <row r="70" spans="1:3" x14ac:dyDescent="0.25">
      <c r="A70" s="338">
        <v>45658</v>
      </c>
      <c r="B70" s="87">
        <v>33</v>
      </c>
      <c r="C70" s="85">
        <v>8117.31</v>
      </c>
    </row>
    <row r="71" spans="1:3" x14ac:dyDescent="0.25">
      <c r="A71" s="338">
        <v>45689</v>
      </c>
      <c r="B71" s="87">
        <v>34</v>
      </c>
      <c r="C71" s="85">
        <v>8117.31</v>
      </c>
    </row>
    <row r="72" spans="1:3" x14ac:dyDescent="0.25">
      <c r="A72" s="338">
        <v>45717</v>
      </c>
      <c r="B72" s="87">
        <v>35</v>
      </c>
      <c r="C72" s="85">
        <v>8117.31</v>
      </c>
    </row>
    <row r="73" spans="1:3" x14ac:dyDescent="0.25">
      <c r="A73" s="338">
        <v>45748</v>
      </c>
      <c r="B73" s="87">
        <v>36</v>
      </c>
      <c r="C73" s="85">
        <v>8117.31</v>
      </c>
    </row>
    <row r="74" spans="1:3" x14ac:dyDescent="0.25">
      <c r="A74" s="338">
        <v>45778</v>
      </c>
      <c r="B74" s="87">
        <v>37</v>
      </c>
      <c r="C74" s="85">
        <v>8117.31</v>
      </c>
    </row>
    <row r="75" spans="1:3" x14ac:dyDescent="0.25">
      <c r="A75" s="338">
        <v>45809</v>
      </c>
      <c r="B75" s="87">
        <v>38</v>
      </c>
      <c r="C75" s="85">
        <v>8117.31</v>
      </c>
    </row>
    <row r="76" spans="1:3" x14ac:dyDescent="0.25">
      <c r="A76" s="338">
        <v>45839</v>
      </c>
      <c r="B76" s="87">
        <v>39</v>
      </c>
      <c r="C76" s="85">
        <v>8117.31</v>
      </c>
    </row>
    <row r="77" spans="1:3" x14ac:dyDescent="0.25">
      <c r="A77" s="338">
        <v>45870</v>
      </c>
      <c r="B77" s="87">
        <v>40</v>
      </c>
      <c r="C77" s="85">
        <v>8117.31</v>
      </c>
    </row>
    <row r="78" spans="1:3" x14ac:dyDescent="0.25">
      <c r="A78" s="338">
        <v>45901</v>
      </c>
      <c r="B78" s="87">
        <v>41</v>
      </c>
      <c r="C78" s="85">
        <v>8117.31</v>
      </c>
    </row>
    <row r="79" spans="1:3" x14ac:dyDescent="0.25">
      <c r="A79" s="338">
        <v>45931</v>
      </c>
      <c r="B79" s="87">
        <v>42</v>
      </c>
      <c r="C79" s="85">
        <v>8117.31</v>
      </c>
    </row>
    <row r="80" spans="1:3" x14ac:dyDescent="0.25">
      <c r="A80" s="338">
        <v>45962</v>
      </c>
      <c r="B80" s="87">
        <v>43</v>
      </c>
      <c r="C80" s="85">
        <v>8117.31</v>
      </c>
    </row>
    <row r="81" spans="1:3" x14ac:dyDescent="0.25">
      <c r="A81" s="338">
        <v>45992</v>
      </c>
      <c r="B81" s="87">
        <v>44</v>
      </c>
      <c r="C81" s="85">
        <v>8117.31</v>
      </c>
    </row>
    <row r="82" spans="1:3" x14ac:dyDescent="0.25">
      <c r="A82" s="338">
        <v>46023</v>
      </c>
      <c r="B82" s="87">
        <v>45</v>
      </c>
      <c r="C82" s="85">
        <v>8117.31</v>
      </c>
    </row>
    <row r="83" spans="1:3" x14ac:dyDescent="0.25">
      <c r="A83" s="338">
        <v>46054</v>
      </c>
      <c r="B83" s="87">
        <v>46</v>
      </c>
      <c r="C83" s="85">
        <v>8117.31</v>
      </c>
    </row>
    <row r="84" spans="1:3" x14ac:dyDescent="0.25">
      <c r="A84" s="338">
        <v>46082</v>
      </c>
      <c r="B84" s="87">
        <v>47</v>
      </c>
      <c r="C84" s="85">
        <v>8117.31</v>
      </c>
    </row>
    <row r="85" spans="1:3" x14ac:dyDescent="0.25">
      <c r="A85" s="338">
        <v>46113</v>
      </c>
      <c r="B85" s="87">
        <v>48</v>
      </c>
      <c r="C85" s="85">
        <v>8117.31</v>
      </c>
    </row>
    <row r="86" spans="1:3" x14ac:dyDescent="0.25">
      <c r="A86" s="338">
        <v>46143</v>
      </c>
      <c r="B86" s="87">
        <v>49</v>
      </c>
      <c r="C86" s="85">
        <v>8117.31</v>
      </c>
    </row>
    <row r="87" spans="1:3" x14ac:dyDescent="0.25">
      <c r="A87" s="338">
        <v>46174</v>
      </c>
      <c r="B87" s="87">
        <v>50</v>
      </c>
      <c r="C87" s="85">
        <v>8117.31</v>
      </c>
    </row>
    <row r="88" spans="1:3" x14ac:dyDescent="0.25">
      <c r="A88" s="338">
        <v>46204</v>
      </c>
      <c r="B88" s="87">
        <v>51</v>
      </c>
      <c r="C88" s="85">
        <v>8117.31</v>
      </c>
    </row>
    <row r="89" spans="1:3" x14ac:dyDescent="0.25">
      <c r="A89" s="338">
        <v>46235</v>
      </c>
      <c r="B89" s="87">
        <v>52</v>
      </c>
      <c r="C89" s="85">
        <v>8117.31</v>
      </c>
    </row>
    <row r="90" spans="1:3" x14ac:dyDescent="0.25">
      <c r="A90" s="338">
        <v>46266</v>
      </c>
      <c r="B90" s="87">
        <v>53</v>
      </c>
      <c r="C90" s="85">
        <v>8117.31</v>
      </c>
    </row>
    <row r="91" spans="1:3" x14ac:dyDescent="0.25">
      <c r="A91" s="338">
        <v>46296</v>
      </c>
      <c r="B91" s="87">
        <v>54</v>
      </c>
      <c r="C91" s="85">
        <v>8117.31</v>
      </c>
    </row>
    <row r="92" spans="1:3" x14ac:dyDescent="0.25">
      <c r="A92" s="338">
        <v>46327</v>
      </c>
      <c r="B92" s="87">
        <v>55</v>
      </c>
      <c r="C92" s="85">
        <v>8117.31</v>
      </c>
    </row>
    <row r="93" spans="1:3" x14ac:dyDescent="0.25">
      <c r="A93" s="338">
        <v>46357</v>
      </c>
      <c r="B93" s="87">
        <v>56</v>
      </c>
      <c r="C93" s="85">
        <v>8117.31</v>
      </c>
    </row>
    <row r="94" spans="1:3" x14ac:dyDescent="0.25">
      <c r="A94" s="338">
        <v>46388</v>
      </c>
      <c r="B94" s="87">
        <v>57</v>
      </c>
      <c r="C94" s="85"/>
    </row>
    <row r="95" spans="1:3" x14ac:dyDescent="0.25">
      <c r="A95" s="338">
        <v>46419</v>
      </c>
      <c r="B95" s="87">
        <v>58</v>
      </c>
      <c r="C95" s="85"/>
    </row>
    <row r="96" spans="1:3" x14ac:dyDescent="0.25">
      <c r="A96" s="338">
        <v>46447</v>
      </c>
      <c r="B96" s="87">
        <v>59</v>
      </c>
      <c r="C96" s="85"/>
    </row>
    <row r="97" spans="1:3" x14ac:dyDescent="0.25">
      <c r="A97" s="338">
        <v>46478</v>
      </c>
      <c r="B97" s="87">
        <v>60</v>
      </c>
      <c r="C97" s="85"/>
    </row>
    <row r="98" spans="1:3" x14ac:dyDescent="0.25">
      <c r="B98" s="32" t="s">
        <v>532</v>
      </c>
      <c r="C98" s="93">
        <f>SUM(C38:C97)</f>
        <v>437740.18999999989</v>
      </c>
    </row>
  </sheetData>
  <mergeCells count="9">
    <mergeCell ref="A25:C25"/>
    <mergeCell ref="A29:C29"/>
    <mergeCell ref="A33:C33"/>
    <mergeCell ref="A1:C1"/>
    <mergeCell ref="A5:C5"/>
    <mergeCell ref="A9:C9"/>
    <mergeCell ref="A13:C13"/>
    <mergeCell ref="A17:C17"/>
    <mergeCell ref="A21:C2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7ae799-5f1c-404c-ba16-6cb5104baae7" xsi:nil="true"/>
    <lcf76f155ced4ddcb4097134ff3c332f xmlns="d129b9c5-ff64-40f8-862d-47683c61f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5FB8CCE1BC554F90231232FC76387A" ma:contentTypeVersion="10" ma:contentTypeDescription="Crie um novo documento." ma:contentTypeScope="" ma:versionID="c93c67a075b03b75d2040761bed7633f">
  <xsd:schema xmlns:xsd="http://www.w3.org/2001/XMLSchema" xmlns:xs="http://www.w3.org/2001/XMLSchema" xmlns:p="http://schemas.microsoft.com/office/2006/metadata/properties" xmlns:ns2="d129b9c5-ff64-40f8-862d-47683c61f381" xmlns:ns3="e17ae799-5f1c-404c-ba16-6cb5104baae7" targetNamespace="http://schemas.microsoft.com/office/2006/metadata/properties" ma:root="true" ma:fieldsID="959de20e0ad0dc8858950a06036c0ecf" ns2:_="" ns3:_="">
    <xsd:import namespace="d129b9c5-ff64-40f8-862d-47683c61f381"/>
    <xsd:import namespace="e17ae799-5f1c-404c-ba16-6cb5104ba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9b9c5-ff64-40f8-862d-47683c61f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0e258f-2fea-4f6d-8c61-f300350784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ae799-5f1c-404c-ba16-6cb5104baa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af7c5e-a918-46f7-902a-183581c48a25}" ma:internalName="TaxCatchAll" ma:showField="CatchAllData" ma:web="e17ae799-5f1c-404c-ba16-6cb5104ba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109C95-0B3F-4719-87E4-424C53B853E9}">
  <ds:schemaRefs>
    <ds:schemaRef ds:uri="http://schemas.microsoft.com/office/2006/metadata/properties"/>
    <ds:schemaRef ds:uri="http://schemas.microsoft.com/office/infopath/2007/PartnerControls"/>
    <ds:schemaRef ds:uri="e17ae799-5f1c-404c-ba16-6cb5104baae7"/>
    <ds:schemaRef ds:uri="d129b9c5-ff64-40f8-862d-47683c61f381"/>
  </ds:schemaRefs>
</ds:datastoreItem>
</file>

<file path=customXml/itemProps2.xml><?xml version="1.0" encoding="utf-8"?>
<ds:datastoreItem xmlns:ds="http://schemas.openxmlformats.org/officeDocument/2006/customXml" ds:itemID="{5571E931-C964-4258-B806-E8D1D466DD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E425C6-8323-4860-8DC2-F8D1076AC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9b9c5-ff64-40f8-862d-47683c61f381"/>
    <ds:schemaRef ds:uri="e17ae799-5f1c-404c-ba16-6cb5104ba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 (2)</vt:lpstr>
      <vt:lpstr>Rateio Mensal</vt:lpstr>
      <vt:lpstr>Fluxo consolidado </vt:lpstr>
      <vt:lpstr>DRE 2026</vt:lpstr>
      <vt:lpstr>Orçamento 2026</vt:lpstr>
      <vt:lpstr>Base_Resultado Mensal_V2</vt:lpstr>
      <vt:lpstr>Areas Sintetico atualizado</vt:lpstr>
      <vt:lpstr>Institucional</vt:lpstr>
      <vt:lpstr>Institucional ano</vt:lpstr>
      <vt:lpstr>Contencioso</vt:lpstr>
      <vt:lpstr>Econômico</vt:lpstr>
      <vt:lpstr>Arbitragem</vt:lpstr>
      <vt:lpstr>Resumo_Recebidas 2025_2026</vt:lpstr>
      <vt:lpstr>FATURAS Analitico CENTRO CUSTO </vt:lpstr>
      <vt:lpstr>Amortização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Financeiro | Rumo Gestão</dc:creator>
  <cp:keywords/>
  <dc:description/>
  <cp:lastModifiedBy>Fernando Rimoli</cp:lastModifiedBy>
  <cp:revision/>
  <dcterms:created xsi:type="dcterms:W3CDTF">2025-02-21T18:56:19Z</dcterms:created>
  <dcterms:modified xsi:type="dcterms:W3CDTF">2026-03-20T14:30:29Z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0x010100725FB8CCE1BC554F90231232FC76387A</vt:lpwstr>
  </property>
  <property fmtid="{D5CDD505-2E9C-101B-9397-08002B2CF9AE}" pid="3" name="MediaServiceImageTags">
    <vt:lpwstr/>
  </property>
</Properties>
</file>