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mogestaodenegocios.sharepoint.com/Financeiro/MBC/Resultado Mensal MBC/"/>
    </mc:Choice>
  </mc:AlternateContent>
  <xr:revisionPtr revIDLastSave="746" documentId="8_{9F4361EB-7DA6-4CA3-A10A-06117E2C3DBB}" xr6:coauthVersionLast="47" xr6:coauthVersionMax="47" xr10:uidLastSave="{A3C9EE69-95DF-4A03-80C4-A9E8141F2EE6}"/>
  <bookViews>
    <workbookView xWindow="-108" yWindow="-108" windowWidth="23256" windowHeight="13896" tabRatio="860" activeTab="15" xr2:uid="{E41455B6-AE63-441F-A43A-2546D63407AA}"/>
  </bookViews>
  <sheets>
    <sheet name="Meta (2)" sheetId="54" r:id="rId1"/>
    <sheet name="DRE 2026" sheetId="71" r:id="rId2"/>
    <sheet name="Orçamento 2026" sheetId="72" r:id="rId3"/>
    <sheet name="Rateio Mensal" sheetId="2" r:id="rId4"/>
    <sheet name="Fluxo consolidado " sheetId="47" r:id="rId5"/>
    <sheet name="Base_Resultado Mensal_V2" sheetId="1" r:id="rId6"/>
    <sheet name="Areas Sintetico atualizado" sheetId="6" r:id="rId7"/>
    <sheet name="Institucional" sheetId="55" r:id="rId8"/>
    <sheet name="Planilha1" sheetId="77" r:id="rId9"/>
    <sheet name="Institucional ano" sheetId="74" r:id="rId10"/>
    <sheet name="Contencioso" sheetId="56" r:id="rId11"/>
    <sheet name="Econômico" sheetId="57" r:id="rId12"/>
    <sheet name="Arbitragem" sheetId="58" r:id="rId13"/>
    <sheet name="Nacional" sheetId="75" r:id="rId14"/>
    <sheet name="Moedas" sheetId="76" r:id="rId15"/>
    <sheet name="Amortização" sheetId="52" r:id="rId16"/>
  </sheets>
  <externalReferences>
    <externalReference r:id="rId17"/>
    <externalReference r:id="rId18"/>
    <externalReference r:id="rId19"/>
    <externalReference r:id="rId20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df">#N/A</definedName>
    <definedName name="\e">#REF!</definedName>
    <definedName name="\f">#REF!</definedName>
    <definedName name="\i">#REF!</definedName>
    <definedName name="\l">#REF!</definedName>
    <definedName name="\PRINT_BALANCO">#REF!</definedName>
    <definedName name="\r">#REF!</definedName>
    <definedName name="\s">#REF!</definedName>
    <definedName name="\t">#REF!</definedName>
    <definedName name="_________________________________INV12">#REF!</definedName>
    <definedName name="_________________________________INV13">#REF!</definedName>
    <definedName name="_________________________________inv2" localSheetId="1">#REF!</definedName>
    <definedName name="_________________________________inv2" localSheetId="2">#REF!</definedName>
    <definedName name="_________________________________inv2">#REF!</definedName>
    <definedName name="________________________________INV12">#REF!</definedName>
    <definedName name="________________________________INV13">#REF!</definedName>
    <definedName name="________________________________inv2" localSheetId="1">#REF!</definedName>
    <definedName name="________________________________inv2" localSheetId="2">#REF!</definedName>
    <definedName name="________________________________inv2">#REF!</definedName>
    <definedName name="_______________________________INV12">#REF!</definedName>
    <definedName name="_______________________________INV13">#REF!</definedName>
    <definedName name="_______________________________inv2" localSheetId="1">#REF!</definedName>
    <definedName name="_______________________________inv2" localSheetId="2">#REF!</definedName>
    <definedName name="_______________________________inv2">#REF!</definedName>
    <definedName name="______________________________INV12">#REF!</definedName>
    <definedName name="______________________________INV13">#REF!</definedName>
    <definedName name="______________________________inv2" localSheetId="1">#REF!</definedName>
    <definedName name="______________________________inv2" localSheetId="2">#REF!</definedName>
    <definedName name="______________________________inv2">#REF!</definedName>
    <definedName name="_____________________________INV12">#REF!</definedName>
    <definedName name="_____________________________INV13">#REF!</definedName>
    <definedName name="_____________________________inv2" localSheetId="1">#REF!</definedName>
    <definedName name="_____________________________inv2" localSheetId="2">#REF!</definedName>
    <definedName name="_____________________________inv2">#REF!</definedName>
    <definedName name="_____________________________la29" hidden="1">#REF!</definedName>
    <definedName name="_____________________________la3" hidden="1">#REF!</definedName>
    <definedName name="_____________________________la31" hidden="1">#REF!</definedName>
    <definedName name="_____________________________la32" hidden="1">#REF!</definedName>
    <definedName name="_____________________________la4" hidden="1">#REF!</definedName>
    <definedName name="_____________________________la5" hidden="1">#REF!</definedName>
    <definedName name="_____________________________la6" hidden="1">#REF!</definedName>
    <definedName name="_____________________________la7" hidden="1">#REF!</definedName>
    <definedName name="_____________________________la8" hidden="1">#REF!</definedName>
    <definedName name="_____________________________la9" hidden="1">#REF!</definedName>
    <definedName name="_____________________________lb1" hidden="1">#REF!</definedName>
    <definedName name="_____________________________lb10" hidden="1">#REF!</definedName>
    <definedName name="_____________________________lb11" hidden="1">#REF!</definedName>
    <definedName name="_____________________________lb12" hidden="1">#REF!</definedName>
    <definedName name="_____________________________lb13" hidden="1">#REF!</definedName>
    <definedName name="_____________________________lb14" hidden="1">#REF!</definedName>
    <definedName name="_____________________________lb15" hidden="1">#REF!</definedName>
    <definedName name="_____________________________lb16" hidden="1">#REF!</definedName>
    <definedName name="_____________________________lb17" hidden="1">#REF!</definedName>
    <definedName name="_____________________________lb18" hidden="1">#REF!</definedName>
    <definedName name="_____________________________lb19" hidden="1">#REF!</definedName>
    <definedName name="_____________________________lb2" hidden="1">#REF!</definedName>
    <definedName name="_____________________________lb20" hidden="1">#REF!</definedName>
    <definedName name="_____________________________lb21" hidden="1">#REF!</definedName>
    <definedName name="_____________________________lb22" hidden="1">#REF!</definedName>
    <definedName name="_____________________________lb23" hidden="1">#REF!</definedName>
    <definedName name="_____________________________lb24" hidden="1">#REF!</definedName>
    <definedName name="_____________________________lb25" hidden="1">#REF!</definedName>
    <definedName name="_____________________________lb27" hidden="1">#REF!</definedName>
    <definedName name="_____________________________lb28" hidden="1">#REF!</definedName>
    <definedName name="_____________________________lb29" hidden="1">#REF!</definedName>
    <definedName name="_____________________________lb3" hidden="1">#REF!</definedName>
    <definedName name="_____________________________lb30" hidden="1">#REF!</definedName>
    <definedName name="_____________________________lb31" hidden="1">#REF!</definedName>
    <definedName name="_____________________________lb32" hidden="1">#REF!</definedName>
    <definedName name="_____________________________lb4" hidden="1">#REF!</definedName>
    <definedName name="_____________________________lb5" hidden="1">#REF!</definedName>
    <definedName name="_____________________________lb6" hidden="1">#REF!</definedName>
    <definedName name="_____________________________lb7" hidden="1">#REF!</definedName>
    <definedName name="_____________________________lb8" hidden="1">#REF!</definedName>
    <definedName name="_____________________________lb9" hidden="1">#REF!</definedName>
    <definedName name="_____________________________lbc1" hidden="1">#REF!</definedName>
    <definedName name="_____________________________lbc10" hidden="1">#REF!</definedName>
    <definedName name="_____________________________lbc11" hidden="1">#REF!</definedName>
    <definedName name="_____________________________lbc12" hidden="1">#REF!</definedName>
    <definedName name="_____________________________lbc13" hidden="1">#REF!</definedName>
    <definedName name="_____________________________lbc14" hidden="1">#REF!</definedName>
    <definedName name="_____________________________lbc15" hidden="1">#REF!</definedName>
    <definedName name="_____________________________lbc16" hidden="1">#REF!</definedName>
    <definedName name="_____________________________lbc17" hidden="1">#REF!</definedName>
    <definedName name="_____________________________lbc18" hidden="1">#REF!</definedName>
    <definedName name="_____________________________lbc19" hidden="1">#REF!</definedName>
    <definedName name="_____________________________lbc2" hidden="1">#REF!</definedName>
    <definedName name="_____________________________lbc20" hidden="1">#REF!</definedName>
    <definedName name="_____________________________lbc21" hidden="1">#REF!</definedName>
    <definedName name="_____________________________lbc22" hidden="1">#REF!</definedName>
    <definedName name="_____________________________lbc23" hidden="1">#REF!</definedName>
    <definedName name="_____________________________lbc24" hidden="1">#REF!</definedName>
    <definedName name="_____________________________lbc25" hidden="1">#REF!</definedName>
    <definedName name="_____________________________lbc26" hidden="1">#REF!</definedName>
    <definedName name="_____________________________lbc27" hidden="1">#REF!</definedName>
    <definedName name="_____________________________lbc28" hidden="1">#REF!</definedName>
    <definedName name="_____________________________lbc29" hidden="1">#REF!</definedName>
    <definedName name="_____________________________lbc3" hidden="1">#REF!</definedName>
    <definedName name="_____________________________lbc31" hidden="1">#REF!</definedName>
    <definedName name="_____________________________lbc32" hidden="1">#REF!</definedName>
    <definedName name="_____________________________lbc4" hidden="1">#REF!</definedName>
    <definedName name="_____________________________lbc5" hidden="1">#REF!</definedName>
    <definedName name="_____________________________lbc6" hidden="1">#REF!</definedName>
    <definedName name="_____________________________lbc7" hidden="1">#REF!</definedName>
    <definedName name="_____________________________lbc8" hidden="1">#REF!</definedName>
    <definedName name="_____________________________lbc9" hidden="1">#REF!</definedName>
    <definedName name="_____________________________ld26" hidden="1">#REF!</definedName>
    <definedName name="_____________________________ld31" hidden="1">#REF!</definedName>
    <definedName name="_____________________________le31" hidden="1">#REF!</definedName>
    <definedName name="_____________________________lf31" hidden="1">#REF!</definedName>
    <definedName name="_____________________________x10" hidden="1">#REF!</definedName>
    <definedName name="_____________________________x11" hidden="1">#REF!</definedName>
    <definedName name="_____________________________x12" hidden="1">#REF!</definedName>
    <definedName name="_____________________________x13" hidden="1">#REF!</definedName>
    <definedName name="_____________________________x14" hidden="1">#REF!</definedName>
    <definedName name="_____________________________x15" hidden="1">#REF!</definedName>
    <definedName name="_____________________________x16" hidden="1">#REF!</definedName>
    <definedName name="_____________________________x17" hidden="1">#REF!</definedName>
    <definedName name="_____________________________x18" hidden="1">#REF!</definedName>
    <definedName name="_____________________________x19" hidden="1">#REF!</definedName>
    <definedName name="_____________________________x20" hidden="1">#REF!</definedName>
    <definedName name="_____________________________x21" hidden="1">#REF!</definedName>
    <definedName name="_____________________________x22" hidden="1">#REF!</definedName>
    <definedName name="_____________________________x23" hidden="1">#REF!</definedName>
    <definedName name="_____________________________x24" hidden="1">#REF!</definedName>
    <definedName name="_____________________________x25" hidden="1">#REF!</definedName>
    <definedName name="_____________________________x28" hidden="1">#REF!</definedName>
    <definedName name="_____________________________x29" hidden="1">#REF!</definedName>
    <definedName name="_____________________________x32" hidden="1">#REF!</definedName>
    <definedName name="_____________________________x4" hidden="1">#REF!</definedName>
    <definedName name="_____________________________x5" hidden="1">#REF!</definedName>
    <definedName name="_____________________________x6" hidden="1">#REF!</definedName>
    <definedName name="_____________________________x7" hidden="1">#REF!</definedName>
    <definedName name="_____________________________x8" hidden="1">#REF!</definedName>
    <definedName name="_____________________________x9" hidden="1">#REF!</definedName>
    <definedName name="____________________________INV12">#REF!</definedName>
    <definedName name="____________________________INV13">#REF!</definedName>
    <definedName name="____________________________inv2" localSheetId="1">#REF!</definedName>
    <definedName name="____________________________inv2" localSheetId="2">#REF!</definedName>
    <definedName name="____________________________inv2">#REF!</definedName>
    <definedName name="____________________________la29" hidden="1">#REF!</definedName>
    <definedName name="____________________________la3" hidden="1">#REF!</definedName>
    <definedName name="____________________________la31" hidden="1">#REF!</definedName>
    <definedName name="____________________________la32" hidden="1">#REF!</definedName>
    <definedName name="____________________________la4" hidden="1">#REF!</definedName>
    <definedName name="____________________________la5" hidden="1">#REF!</definedName>
    <definedName name="____________________________la6" hidden="1">#REF!</definedName>
    <definedName name="____________________________la7" hidden="1">#REF!</definedName>
    <definedName name="____________________________la8" hidden="1">#REF!</definedName>
    <definedName name="____________________________la9" hidden="1">#REF!</definedName>
    <definedName name="____________________________lb1" hidden="1">#REF!</definedName>
    <definedName name="____________________________lb10" hidden="1">#REF!</definedName>
    <definedName name="____________________________lb11" hidden="1">#REF!</definedName>
    <definedName name="____________________________lb12" hidden="1">#REF!</definedName>
    <definedName name="____________________________lb13" hidden="1">#REF!</definedName>
    <definedName name="____________________________lb14" hidden="1">#REF!</definedName>
    <definedName name="____________________________lb15" hidden="1">#REF!</definedName>
    <definedName name="____________________________lb16" hidden="1">#REF!</definedName>
    <definedName name="____________________________lb17" hidden="1">#REF!</definedName>
    <definedName name="____________________________lb18" hidden="1">#REF!</definedName>
    <definedName name="____________________________lb19" hidden="1">#REF!</definedName>
    <definedName name="____________________________lb2" hidden="1">#REF!</definedName>
    <definedName name="____________________________lb20" hidden="1">#REF!</definedName>
    <definedName name="____________________________lb21" hidden="1">#REF!</definedName>
    <definedName name="____________________________lb22" hidden="1">#REF!</definedName>
    <definedName name="____________________________lb23" hidden="1">#REF!</definedName>
    <definedName name="____________________________lb24" hidden="1">#REF!</definedName>
    <definedName name="____________________________lb25" hidden="1">#REF!</definedName>
    <definedName name="____________________________lb27" hidden="1">#REF!</definedName>
    <definedName name="____________________________lb28" hidden="1">#REF!</definedName>
    <definedName name="____________________________lb29" hidden="1">#REF!</definedName>
    <definedName name="____________________________lb3" hidden="1">#REF!</definedName>
    <definedName name="____________________________lb30" hidden="1">#REF!</definedName>
    <definedName name="____________________________lb31" hidden="1">#REF!</definedName>
    <definedName name="____________________________lb32" hidden="1">#REF!</definedName>
    <definedName name="____________________________lb4" hidden="1">#REF!</definedName>
    <definedName name="____________________________lb5" hidden="1">#REF!</definedName>
    <definedName name="____________________________lb6" hidden="1">#REF!</definedName>
    <definedName name="____________________________lb7" hidden="1">#REF!</definedName>
    <definedName name="____________________________lb8" hidden="1">#REF!</definedName>
    <definedName name="____________________________lb9" hidden="1">#REF!</definedName>
    <definedName name="____________________________lbc1" hidden="1">#REF!</definedName>
    <definedName name="____________________________lbc10" hidden="1">#REF!</definedName>
    <definedName name="____________________________lbc11" hidden="1">#REF!</definedName>
    <definedName name="____________________________lbc12" hidden="1">#REF!</definedName>
    <definedName name="____________________________lbc13" hidden="1">#REF!</definedName>
    <definedName name="____________________________lbc14" hidden="1">#REF!</definedName>
    <definedName name="____________________________lbc15" hidden="1">#REF!</definedName>
    <definedName name="____________________________lbc16" hidden="1">#REF!</definedName>
    <definedName name="____________________________lbc17" hidden="1">#REF!</definedName>
    <definedName name="____________________________lbc18" hidden="1">#REF!</definedName>
    <definedName name="____________________________lbc19" hidden="1">#REF!</definedName>
    <definedName name="____________________________lbc2" hidden="1">#REF!</definedName>
    <definedName name="____________________________lbc20" hidden="1">#REF!</definedName>
    <definedName name="____________________________lbc21" hidden="1">#REF!</definedName>
    <definedName name="____________________________lbc22" hidden="1">#REF!</definedName>
    <definedName name="____________________________lbc23" hidden="1">#REF!</definedName>
    <definedName name="____________________________lbc24" hidden="1">#REF!</definedName>
    <definedName name="____________________________lbc25" hidden="1">#REF!</definedName>
    <definedName name="____________________________lbc26" hidden="1">#REF!</definedName>
    <definedName name="____________________________lbc27" hidden="1">#REF!</definedName>
    <definedName name="____________________________lbc28" hidden="1">#REF!</definedName>
    <definedName name="____________________________lbc29" hidden="1">#REF!</definedName>
    <definedName name="____________________________lbc3" hidden="1">#REF!</definedName>
    <definedName name="____________________________lbc31" hidden="1">#REF!</definedName>
    <definedName name="____________________________lbc32" hidden="1">#REF!</definedName>
    <definedName name="____________________________lbc4" hidden="1">#REF!</definedName>
    <definedName name="____________________________lbc5" hidden="1">#REF!</definedName>
    <definedName name="____________________________lbc6" hidden="1">#REF!</definedName>
    <definedName name="____________________________lbc7" hidden="1">#REF!</definedName>
    <definedName name="____________________________lbc8" hidden="1">#REF!</definedName>
    <definedName name="____________________________lbc9" hidden="1">#REF!</definedName>
    <definedName name="____________________________ld26" hidden="1">#REF!</definedName>
    <definedName name="____________________________ld31" hidden="1">#REF!</definedName>
    <definedName name="____________________________le31" hidden="1">#REF!</definedName>
    <definedName name="____________________________lf31" hidden="1">#REF!</definedName>
    <definedName name="____________________________x10" hidden="1">#REF!</definedName>
    <definedName name="____________________________x11" hidden="1">#REF!</definedName>
    <definedName name="____________________________x12" hidden="1">#REF!</definedName>
    <definedName name="____________________________x13" hidden="1">#REF!</definedName>
    <definedName name="____________________________x14" hidden="1">#REF!</definedName>
    <definedName name="____________________________x15" hidden="1">#REF!</definedName>
    <definedName name="____________________________x16" hidden="1">#REF!</definedName>
    <definedName name="____________________________x17" hidden="1">#REF!</definedName>
    <definedName name="____________________________x18" hidden="1">#REF!</definedName>
    <definedName name="____________________________x19" hidden="1">#REF!</definedName>
    <definedName name="____________________________x20" hidden="1">#REF!</definedName>
    <definedName name="____________________________x21" hidden="1">#REF!</definedName>
    <definedName name="____________________________x22" hidden="1">#REF!</definedName>
    <definedName name="____________________________x23" hidden="1">#REF!</definedName>
    <definedName name="____________________________x24" hidden="1">#REF!</definedName>
    <definedName name="____________________________x25" hidden="1">#REF!</definedName>
    <definedName name="____________________________x28" hidden="1">#REF!</definedName>
    <definedName name="____________________________x29" hidden="1">#REF!</definedName>
    <definedName name="____________________________x32" hidden="1">#REF!</definedName>
    <definedName name="____________________________x4" hidden="1">#REF!</definedName>
    <definedName name="____________________________x5" hidden="1">#REF!</definedName>
    <definedName name="____________________________x6" hidden="1">#REF!</definedName>
    <definedName name="____________________________x7" hidden="1">#REF!</definedName>
    <definedName name="____________________________x8" hidden="1">#REF!</definedName>
    <definedName name="____________________________x9" hidden="1">#REF!</definedName>
    <definedName name="___________________________INV12">#REF!</definedName>
    <definedName name="___________________________INV13">#REF!</definedName>
    <definedName name="___________________________inv2" localSheetId="1">#REF!</definedName>
    <definedName name="___________________________inv2" localSheetId="2">#REF!</definedName>
    <definedName name="___________________________inv2">#REF!</definedName>
    <definedName name="___________________________la29" hidden="1">#REF!</definedName>
    <definedName name="___________________________la3" hidden="1">#REF!</definedName>
    <definedName name="___________________________la31" hidden="1">#REF!</definedName>
    <definedName name="___________________________la32" hidden="1">#REF!</definedName>
    <definedName name="___________________________la4" hidden="1">#REF!</definedName>
    <definedName name="___________________________la5" hidden="1">#REF!</definedName>
    <definedName name="___________________________la6" hidden="1">#REF!</definedName>
    <definedName name="___________________________la7" hidden="1">#REF!</definedName>
    <definedName name="___________________________la8" hidden="1">#REF!</definedName>
    <definedName name="___________________________la9" hidden="1">#REF!</definedName>
    <definedName name="___________________________lb1" hidden="1">#REF!</definedName>
    <definedName name="___________________________lb10" hidden="1">#REF!</definedName>
    <definedName name="___________________________lb11" hidden="1">#REF!</definedName>
    <definedName name="___________________________lb12" hidden="1">#REF!</definedName>
    <definedName name="___________________________lb13" hidden="1">#REF!</definedName>
    <definedName name="___________________________lb14" hidden="1">#REF!</definedName>
    <definedName name="___________________________lb15" hidden="1">#REF!</definedName>
    <definedName name="___________________________lb16" hidden="1">#REF!</definedName>
    <definedName name="___________________________lb17" hidden="1">#REF!</definedName>
    <definedName name="___________________________lb18" hidden="1">#REF!</definedName>
    <definedName name="___________________________lb19" hidden="1">#REF!</definedName>
    <definedName name="___________________________lb2" hidden="1">#REF!</definedName>
    <definedName name="___________________________lb20" hidden="1">#REF!</definedName>
    <definedName name="___________________________lb21" hidden="1">#REF!</definedName>
    <definedName name="___________________________lb22" hidden="1">#REF!</definedName>
    <definedName name="___________________________lb23" hidden="1">#REF!</definedName>
    <definedName name="___________________________lb24" hidden="1">#REF!</definedName>
    <definedName name="___________________________lb25" hidden="1">#REF!</definedName>
    <definedName name="___________________________lb27" hidden="1">#REF!</definedName>
    <definedName name="___________________________lb28" hidden="1">#REF!</definedName>
    <definedName name="___________________________lb29" hidden="1">#REF!</definedName>
    <definedName name="___________________________lb3" hidden="1">#REF!</definedName>
    <definedName name="___________________________lb30" hidden="1">#REF!</definedName>
    <definedName name="___________________________lb31" hidden="1">#REF!</definedName>
    <definedName name="___________________________lb32" hidden="1">#REF!</definedName>
    <definedName name="___________________________lb4" hidden="1">#REF!</definedName>
    <definedName name="___________________________lb5" hidden="1">#REF!</definedName>
    <definedName name="___________________________lb6" hidden="1">#REF!</definedName>
    <definedName name="___________________________lb7" hidden="1">#REF!</definedName>
    <definedName name="___________________________lb8" hidden="1">#REF!</definedName>
    <definedName name="___________________________lb9" hidden="1">#REF!</definedName>
    <definedName name="___________________________lbc1" hidden="1">#REF!</definedName>
    <definedName name="___________________________lbc10" hidden="1">#REF!</definedName>
    <definedName name="___________________________lbc11" hidden="1">#REF!</definedName>
    <definedName name="___________________________lbc12" hidden="1">#REF!</definedName>
    <definedName name="___________________________lbc13" hidden="1">#REF!</definedName>
    <definedName name="___________________________lbc14" hidden="1">#REF!</definedName>
    <definedName name="___________________________lbc15" hidden="1">#REF!</definedName>
    <definedName name="___________________________lbc16" hidden="1">#REF!</definedName>
    <definedName name="___________________________lbc17" hidden="1">#REF!</definedName>
    <definedName name="___________________________lbc18" hidden="1">#REF!</definedName>
    <definedName name="___________________________lbc19" hidden="1">#REF!</definedName>
    <definedName name="___________________________lbc2" hidden="1">#REF!</definedName>
    <definedName name="___________________________lbc20" hidden="1">#REF!</definedName>
    <definedName name="___________________________lbc21" hidden="1">#REF!</definedName>
    <definedName name="___________________________lbc22" hidden="1">#REF!</definedName>
    <definedName name="___________________________lbc23" hidden="1">#REF!</definedName>
    <definedName name="___________________________lbc24" hidden="1">#REF!</definedName>
    <definedName name="___________________________lbc25" hidden="1">#REF!</definedName>
    <definedName name="___________________________lbc26" hidden="1">#REF!</definedName>
    <definedName name="___________________________lbc27" hidden="1">#REF!</definedName>
    <definedName name="___________________________lbc28" hidden="1">#REF!</definedName>
    <definedName name="___________________________lbc29" hidden="1">#REF!</definedName>
    <definedName name="___________________________lbc3" hidden="1">#REF!</definedName>
    <definedName name="___________________________lbc31" hidden="1">#REF!</definedName>
    <definedName name="___________________________lbc32" hidden="1">#REF!</definedName>
    <definedName name="___________________________lbc4" hidden="1">#REF!</definedName>
    <definedName name="___________________________lbc5" hidden="1">#REF!</definedName>
    <definedName name="___________________________lbc6" hidden="1">#REF!</definedName>
    <definedName name="___________________________lbc7" hidden="1">#REF!</definedName>
    <definedName name="___________________________lbc8" hidden="1">#REF!</definedName>
    <definedName name="___________________________lbc9" hidden="1">#REF!</definedName>
    <definedName name="___________________________ld26" hidden="1">#REF!</definedName>
    <definedName name="___________________________ld31" hidden="1">#REF!</definedName>
    <definedName name="___________________________le31" hidden="1">#REF!</definedName>
    <definedName name="___________________________lf31" hidden="1">#REF!</definedName>
    <definedName name="___________________________x10" hidden="1">#REF!</definedName>
    <definedName name="___________________________x11" hidden="1">#REF!</definedName>
    <definedName name="___________________________x12" hidden="1">#REF!</definedName>
    <definedName name="___________________________x13" hidden="1">#REF!</definedName>
    <definedName name="___________________________x14" hidden="1">#REF!</definedName>
    <definedName name="___________________________x15" hidden="1">#REF!</definedName>
    <definedName name="___________________________x16" hidden="1">#REF!</definedName>
    <definedName name="___________________________x17" hidden="1">#REF!</definedName>
    <definedName name="___________________________x18" hidden="1">#REF!</definedName>
    <definedName name="___________________________x19" hidden="1">#REF!</definedName>
    <definedName name="___________________________x20" hidden="1">#REF!</definedName>
    <definedName name="___________________________x21" hidden="1">#REF!</definedName>
    <definedName name="___________________________x22" hidden="1">#REF!</definedName>
    <definedName name="___________________________x23" hidden="1">#REF!</definedName>
    <definedName name="___________________________x24" hidden="1">#REF!</definedName>
    <definedName name="___________________________x25" hidden="1">#REF!</definedName>
    <definedName name="___________________________x28" hidden="1">#REF!</definedName>
    <definedName name="___________________________x29" hidden="1">#REF!</definedName>
    <definedName name="___________________________x32" hidden="1">#REF!</definedName>
    <definedName name="___________________________x4" hidden="1">#REF!</definedName>
    <definedName name="___________________________x5" hidden="1">#REF!</definedName>
    <definedName name="___________________________x6" hidden="1">#REF!</definedName>
    <definedName name="___________________________x7" hidden="1">#REF!</definedName>
    <definedName name="___________________________x8" hidden="1">#REF!</definedName>
    <definedName name="___________________________x9" hidden="1">#REF!</definedName>
    <definedName name="__________________________INV12">#REF!</definedName>
    <definedName name="__________________________INV13">#REF!</definedName>
    <definedName name="__________________________inv2" localSheetId="1">#REF!</definedName>
    <definedName name="__________________________inv2" localSheetId="2">#REF!</definedName>
    <definedName name="__________________________inv2">#REF!</definedName>
    <definedName name="__________________________la29" hidden="1">#REF!</definedName>
    <definedName name="__________________________la3" hidden="1">#REF!</definedName>
    <definedName name="__________________________la31" hidden="1">#REF!</definedName>
    <definedName name="__________________________la32" hidden="1">#REF!</definedName>
    <definedName name="__________________________la4" hidden="1">#REF!</definedName>
    <definedName name="__________________________la5" hidden="1">#REF!</definedName>
    <definedName name="__________________________la6" hidden="1">#REF!</definedName>
    <definedName name="__________________________la7" hidden="1">#REF!</definedName>
    <definedName name="__________________________la8" hidden="1">#REF!</definedName>
    <definedName name="__________________________la9" hidden="1">#REF!</definedName>
    <definedName name="__________________________lb1" hidden="1">#REF!</definedName>
    <definedName name="__________________________lb10" hidden="1">#REF!</definedName>
    <definedName name="__________________________lb11" hidden="1">#REF!</definedName>
    <definedName name="__________________________lb12" hidden="1">#REF!</definedName>
    <definedName name="__________________________lb13" hidden="1">#REF!</definedName>
    <definedName name="__________________________lb14" hidden="1">#REF!</definedName>
    <definedName name="__________________________lb15" hidden="1">#REF!</definedName>
    <definedName name="__________________________lb16" hidden="1">#REF!</definedName>
    <definedName name="__________________________lb17" hidden="1">#REF!</definedName>
    <definedName name="__________________________lb18" hidden="1">#REF!</definedName>
    <definedName name="__________________________lb19" hidden="1">#REF!</definedName>
    <definedName name="__________________________lb2" hidden="1">#REF!</definedName>
    <definedName name="__________________________lb20" hidden="1">#REF!</definedName>
    <definedName name="__________________________lb21" hidden="1">#REF!</definedName>
    <definedName name="__________________________lb22" hidden="1">#REF!</definedName>
    <definedName name="__________________________lb23" hidden="1">#REF!</definedName>
    <definedName name="__________________________lb24" hidden="1">#REF!</definedName>
    <definedName name="__________________________lb25" hidden="1">#REF!</definedName>
    <definedName name="__________________________lb27" hidden="1">#REF!</definedName>
    <definedName name="__________________________lb28" hidden="1">#REF!</definedName>
    <definedName name="__________________________lb29" hidden="1">#REF!</definedName>
    <definedName name="__________________________lb3" hidden="1">#REF!</definedName>
    <definedName name="__________________________lb30" hidden="1">#REF!</definedName>
    <definedName name="__________________________lb31" hidden="1">#REF!</definedName>
    <definedName name="__________________________lb32" hidden="1">#REF!</definedName>
    <definedName name="__________________________lb4" hidden="1">#REF!</definedName>
    <definedName name="__________________________lb5" hidden="1">#REF!</definedName>
    <definedName name="__________________________lb6" hidden="1">#REF!</definedName>
    <definedName name="__________________________lb7" hidden="1">#REF!</definedName>
    <definedName name="__________________________lb8" hidden="1">#REF!</definedName>
    <definedName name="__________________________lb9" hidden="1">#REF!</definedName>
    <definedName name="__________________________lbc1" hidden="1">#REF!</definedName>
    <definedName name="__________________________lbc10" hidden="1">#REF!</definedName>
    <definedName name="__________________________lbc11" hidden="1">#REF!</definedName>
    <definedName name="__________________________lbc12" hidden="1">#REF!</definedName>
    <definedName name="__________________________lbc13" hidden="1">#REF!</definedName>
    <definedName name="__________________________lbc14" hidden="1">#REF!</definedName>
    <definedName name="__________________________lbc15" hidden="1">#REF!</definedName>
    <definedName name="__________________________lbc16" hidden="1">#REF!</definedName>
    <definedName name="__________________________lbc17" hidden="1">#REF!</definedName>
    <definedName name="__________________________lbc18" hidden="1">#REF!</definedName>
    <definedName name="__________________________lbc19" hidden="1">#REF!</definedName>
    <definedName name="__________________________lbc2" hidden="1">#REF!</definedName>
    <definedName name="__________________________lbc20" hidden="1">#REF!</definedName>
    <definedName name="__________________________lbc21" hidden="1">#REF!</definedName>
    <definedName name="__________________________lbc22" hidden="1">#REF!</definedName>
    <definedName name="__________________________lbc23" hidden="1">#REF!</definedName>
    <definedName name="__________________________lbc24" hidden="1">#REF!</definedName>
    <definedName name="__________________________lbc25" hidden="1">#REF!</definedName>
    <definedName name="__________________________lbc26" hidden="1">#REF!</definedName>
    <definedName name="__________________________lbc27" hidden="1">#REF!</definedName>
    <definedName name="__________________________lbc28" hidden="1">#REF!</definedName>
    <definedName name="__________________________lbc29" hidden="1">#REF!</definedName>
    <definedName name="__________________________lbc3" hidden="1">#REF!</definedName>
    <definedName name="__________________________lbc31" hidden="1">#REF!</definedName>
    <definedName name="__________________________lbc32" hidden="1">#REF!</definedName>
    <definedName name="__________________________lbc4" hidden="1">#REF!</definedName>
    <definedName name="__________________________lbc5" hidden="1">#REF!</definedName>
    <definedName name="__________________________lbc6" hidden="1">#REF!</definedName>
    <definedName name="__________________________lbc7" hidden="1">#REF!</definedName>
    <definedName name="__________________________lbc8" hidden="1">#REF!</definedName>
    <definedName name="__________________________lbc9" hidden="1">#REF!</definedName>
    <definedName name="__________________________ld26" hidden="1">#REF!</definedName>
    <definedName name="__________________________ld31" hidden="1">#REF!</definedName>
    <definedName name="__________________________le31" hidden="1">#REF!</definedName>
    <definedName name="__________________________lf31" hidden="1">#REF!</definedName>
    <definedName name="__________________________x10" hidden="1">#REF!</definedName>
    <definedName name="__________________________x11" hidden="1">#REF!</definedName>
    <definedName name="__________________________x12" hidden="1">#REF!</definedName>
    <definedName name="__________________________x13" hidden="1">#REF!</definedName>
    <definedName name="__________________________x14" hidden="1">#REF!</definedName>
    <definedName name="__________________________x15" hidden="1">#REF!</definedName>
    <definedName name="__________________________x16" hidden="1">#REF!</definedName>
    <definedName name="__________________________x17" hidden="1">#REF!</definedName>
    <definedName name="__________________________x18" hidden="1">#REF!</definedName>
    <definedName name="__________________________x19" hidden="1">#REF!</definedName>
    <definedName name="__________________________x20" hidden="1">#REF!</definedName>
    <definedName name="__________________________x21" hidden="1">#REF!</definedName>
    <definedName name="__________________________x22" hidden="1">#REF!</definedName>
    <definedName name="__________________________x23" hidden="1">#REF!</definedName>
    <definedName name="__________________________x24" hidden="1">#REF!</definedName>
    <definedName name="__________________________x25" hidden="1">#REF!</definedName>
    <definedName name="__________________________x28" hidden="1">#REF!</definedName>
    <definedName name="__________________________x29" hidden="1">#REF!</definedName>
    <definedName name="__________________________x32" hidden="1">#REF!</definedName>
    <definedName name="__________________________x4" hidden="1">#REF!</definedName>
    <definedName name="__________________________x5" hidden="1">#REF!</definedName>
    <definedName name="__________________________x6" hidden="1">#REF!</definedName>
    <definedName name="__________________________x7" hidden="1">#REF!</definedName>
    <definedName name="__________________________x8" hidden="1">#REF!</definedName>
    <definedName name="__________________________x9" hidden="1">#REF!</definedName>
    <definedName name="_________________________INV12">#REF!</definedName>
    <definedName name="_________________________INV13">#REF!</definedName>
    <definedName name="_________________________inv2" localSheetId="1">#REF!</definedName>
    <definedName name="_________________________inv2" localSheetId="2">#REF!</definedName>
    <definedName name="_________________________inv2">#REF!</definedName>
    <definedName name="_________________________la29" hidden="1">#REF!</definedName>
    <definedName name="_________________________la3" hidden="1">#REF!</definedName>
    <definedName name="_________________________la31" hidden="1">#REF!</definedName>
    <definedName name="_________________________la32" hidden="1">#REF!</definedName>
    <definedName name="_________________________la4" hidden="1">#REF!</definedName>
    <definedName name="_________________________la5" hidden="1">#REF!</definedName>
    <definedName name="_________________________la6" hidden="1">#REF!</definedName>
    <definedName name="_________________________la7" hidden="1">#REF!</definedName>
    <definedName name="_________________________la8" hidden="1">#REF!</definedName>
    <definedName name="_________________________la9" hidden="1">#REF!</definedName>
    <definedName name="_________________________lb1" hidden="1">#REF!</definedName>
    <definedName name="_________________________lb10" hidden="1">#REF!</definedName>
    <definedName name="_________________________lb11" hidden="1">#REF!</definedName>
    <definedName name="_________________________lb12" hidden="1">#REF!</definedName>
    <definedName name="_________________________lb13" hidden="1">#REF!</definedName>
    <definedName name="_________________________lb14" hidden="1">#REF!</definedName>
    <definedName name="_________________________lb15" hidden="1">#REF!</definedName>
    <definedName name="_________________________lb16" hidden="1">#REF!</definedName>
    <definedName name="_________________________lb17" hidden="1">#REF!</definedName>
    <definedName name="_________________________lb18" hidden="1">#REF!</definedName>
    <definedName name="_________________________lb19" hidden="1">#REF!</definedName>
    <definedName name="_________________________lb2" hidden="1">#REF!</definedName>
    <definedName name="_________________________lb20" hidden="1">#REF!</definedName>
    <definedName name="_________________________lb21" hidden="1">#REF!</definedName>
    <definedName name="_________________________lb22" hidden="1">#REF!</definedName>
    <definedName name="_________________________lb23" hidden="1">#REF!</definedName>
    <definedName name="_________________________lb24" hidden="1">#REF!</definedName>
    <definedName name="_________________________lb25" hidden="1">#REF!</definedName>
    <definedName name="_________________________lb27" hidden="1">#REF!</definedName>
    <definedName name="_________________________lb28" hidden="1">#REF!</definedName>
    <definedName name="_________________________lb29" hidden="1">#REF!</definedName>
    <definedName name="_________________________lb3" hidden="1">#REF!</definedName>
    <definedName name="_________________________lb30" hidden="1">#REF!</definedName>
    <definedName name="_________________________lb31" hidden="1">#REF!</definedName>
    <definedName name="_________________________lb32" hidden="1">#REF!</definedName>
    <definedName name="_________________________lb4" hidden="1">#REF!</definedName>
    <definedName name="_________________________lb5" hidden="1">#REF!</definedName>
    <definedName name="_________________________lb6" hidden="1">#REF!</definedName>
    <definedName name="_________________________lb7" hidden="1">#REF!</definedName>
    <definedName name="_________________________lb8" hidden="1">#REF!</definedName>
    <definedName name="_________________________lb9" hidden="1">#REF!</definedName>
    <definedName name="_________________________lbc1" hidden="1">#REF!</definedName>
    <definedName name="_________________________lbc10" hidden="1">#REF!</definedName>
    <definedName name="_________________________lbc11" hidden="1">#REF!</definedName>
    <definedName name="_________________________lbc12" hidden="1">#REF!</definedName>
    <definedName name="_________________________lbc13" hidden="1">#REF!</definedName>
    <definedName name="_________________________lbc14" hidden="1">#REF!</definedName>
    <definedName name="_________________________lbc15" hidden="1">#REF!</definedName>
    <definedName name="_________________________lbc16" hidden="1">#REF!</definedName>
    <definedName name="_________________________lbc17" hidden="1">#REF!</definedName>
    <definedName name="_________________________lbc18" hidden="1">#REF!</definedName>
    <definedName name="_________________________lbc19" hidden="1">#REF!</definedName>
    <definedName name="_________________________lbc2" hidden="1">#REF!</definedName>
    <definedName name="_________________________lbc20" hidden="1">#REF!</definedName>
    <definedName name="_________________________lbc21" hidden="1">#REF!</definedName>
    <definedName name="_________________________lbc22" hidden="1">#REF!</definedName>
    <definedName name="_________________________lbc23" hidden="1">#REF!</definedName>
    <definedName name="_________________________lbc24" hidden="1">#REF!</definedName>
    <definedName name="_________________________lbc25" hidden="1">#REF!</definedName>
    <definedName name="_________________________lbc26" hidden="1">#REF!</definedName>
    <definedName name="_________________________lbc27" hidden="1">#REF!</definedName>
    <definedName name="_________________________lbc28" hidden="1">#REF!</definedName>
    <definedName name="_________________________lbc29" hidden="1">#REF!</definedName>
    <definedName name="_________________________lbc3" hidden="1">#REF!</definedName>
    <definedName name="_________________________lbc31" hidden="1">#REF!</definedName>
    <definedName name="_________________________lbc32" hidden="1">#REF!</definedName>
    <definedName name="_________________________lbc4" hidden="1">#REF!</definedName>
    <definedName name="_________________________lbc5" hidden="1">#REF!</definedName>
    <definedName name="_________________________lbc6" hidden="1">#REF!</definedName>
    <definedName name="_________________________lbc7" hidden="1">#REF!</definedName>
    <definedName name="_________________________lbc8" hidden="1">#REF!</definedName>
    <definedName name="_________________________lbc9" hidden="1">#REF!</definedName>
    <definedName name="_________________________ld26" hidden="1">#REF!</definedName>
    <definedName name="_________________________ld31" hidden="1">#REF!</definedName>
    <definedName name="_________________________le31" hidden="1">#REF!</definedName>
    <definedName name="_________________________lf31" hidden="1">#REF!</definedName>
    <definedName name="_________________________x10" hidden="1">#REF!</definedName>
    <definedName name="_________________________x11" hidden="1">#REF!</definedName>
    <definedName name="_________________________x12" hidden="1">#REF!</definedName>
    <definedName name="_________________________x13" hidden="1">#REF!</definedName>
    <definedName name="_________________________x14" hidden="1">#REF!</definedName>
    <definedName name="_________________________x15" hidden="1">#REF!</definedName>
    <definedName name="_________________________x16" hidden="1">#REF!</definedName>
    <definedName name="_________________________x17" hidden="1">#REF!</definedName>
    <definedName name="_________________________x18" hidden="1">#REF!</definedName>
    <definedName name="_________________________x19" hidden="1">#REF!</definedName>
    <definedName name="_________________________x20" hidden="1">#REF!</definedName>
    <definedName name="_________________________x21" hidden="1">#REF!</definedName>
    <definedName name="_________________________x22" hidden="1">#REF!</definedName>
    <definedName name="_________________________x23" hidden="1">#REF!</definedName>
    <definedName name="_________________________x24" hidden="1">#REF!</definedName>
    <definedName name="_________________________x25" hidden="1">#REF!</definedName>
    <definedName name="_________________________x28" hidden="1">#REF!</definedName>
    <definedName name="_________________________x29" hidden="1">#REF!</definedName>
    <definedName name="_________________________x32" hidden="1">#REF!</definedName>
    <definedName name="_________________________x4" hidden="1">#REF!</definedName>
    <definedName name="_________________________x5" hidden="1">#REF!</definedName>
    <definedName name="_________________________x6" hidden="1">#REF!</definedName>
    <definedName name="_________________________x7" hidden="1">#REF!</definedName>
    <definedName name="_________________________x8" hidden="1">#REF!</definedName>
    <definedName name="_________________________x9" hidden="1">#REF!</definedName>
    <definedName name="________________________INV12">#REF!</definedName>
    <definedName name="________________________INV13">#REF!</definedName>
    <definedName name="________________________inv2" localSheetId="1">#REF!</definedName>
    <definedName name="________________________inv2" localSheetId="2">#REF!</definedName>
    <definedName name="________________________inv2">#REF!</definedName>
    <definedName name="________________________la29" hidden="1">#REF!</definedName>
    <definedName name="________________________la3" hidden="1">#REF!</definedName>
    <definedName name="________________________la31" hidden="1">#REF!</definedName>
    <definedName name="________________________la32" hidden="1">#REF!</definedName>
    <definedName name="________________________la4" hidden="1">#REF!</definedName>
    <definedName name="________________________la5" hidden="1">#REF!</definedName>
    <definedName name="________________________la6" hidden="1">#REF!</definedName>
    <definedName name="________________________la7" hidden="1">#REF!</definedName>
    <definedName name="________________________la8" hidden="1">#REF!</definedName>
    <definedName name="________________________la9" hidden="1">#REF!</definedName>
    <definedName name="________________________lb1" hidden="1">#REF!</definedName>
    <definedName name="________________________lb10" hidden="1">#REF!</definedName>
    <definedName name="________________________lb11" hidden="1">#REF!</definedName>
    <definedName name="________________________lb12" hidden="1">#REF!</definedName>
    <definedName name="________________________lb13" hidden="1">#REF!</definedName>
    <definedName name="________________________lb14" hidden="1">#REF!</definedName>
    <definedName name="________________________lb15" hidden="1">#REF!</definedName>
    <definedName name="________________________lb16" hidden="1">#REF!</definedName>
    <definedName name="________________________lb17" hidden="1">#REF!</definedName>
    <definedName name="________________________lb18" hidden="1">#REF!</definedName>
    <definedName name="________________________lb19" hidden="1">#REF!</definedName>
    <definedName name="________________________lb2" hidden="1">#REF!</definedName>
    <definedName name="________________________lb20" hidden="1">#REF!</definedName>
    <definedName name="________________________lb21" hidden="1">#REF!</definedName>
    <definedName name="________________________lb22" hidden="1">#REF!</definedName>
    <definedName name="________________________lb23" hidden="1">#REF!</definedName>
    <definedName name="________________________lb24" hidden="1">#REF!</definedName>
    <definedName name="________________________lb25" hidden="1">#REF!</definedName>
    <definedName name="________________________lb27" hidden="1">#REF!</definedName>
    <definedName name="________________________lb28" hidden="1">#REF!</definedName>
    <definedName name="________________________lb29" hidden="1">#REF!</definedName>
    <definedName name="________________________lb3" hidden="1">#REF!</definedName>
    <definedName name="________________________lb30" hidden="1">#REF!</definedName>
    <definedName name="________________________lb31" hidden="1">#REF!</definedName>
    <definedName name="________________________lb32" hidden="1">#REF!</definedName>
    <definedName name="________________________lb4" hidden="1">#REF!</definedName>
    <definedName name="________________________lb5" hidden="1">#REF!</definedName>
    <definedName name="________________________lb6" hidden="1">#REF!</definedName>
    <definedName name="________________________lb7" hidden="1">#REF!</definedName>
    <definedName name="________________________lb8" hidden="1">#REF!</definedName>
    <definedName name="________________________lb9" hidden="1">#REF!</definedName>
    <definedName name="________________________lbc1" hidden="1">#REF!</definedName>
    <definedName name="________________________lbc10" hidden="1">#REF!</definedName>
    <definedName name="________________________lbc11" hidden="1">#REF!</definedName>
    <definedName name="________________________lbc12" hidden="1">#REF!</definedName>
    <definedName name="________________________lbc13" hidden="1">#REF!</definedName>
    <definedName name="________________________lbc14" hidden="1">#REF!</definedName>
    <definedName name="________________________lbc15" hidden="1">#REF!</definedName>
    <definedName name="________________________lbc16" hidden="1">#REF!</definedName>
    <definedName name="________________________lbc17" hidden="1">#REF!</definedName>
    <definedName name="________________________lbc18" hidden="1">#REF!</definedName>
    <definedName name="________________________lbc19" hidden="1">#REF!</definedName>
    <definedName name="________________________lbc2" hidden="1">#REF!</definedName>
    <definedName name="________________________lbc20" hidden="1">#REF!</definedName>
    <definedName name="________________________lbc21" hidden="1">#REF!</definedName>
    <definedName name="________________________lbc22" hidden="1">#REF!</definedName>
    <definedName name="________________________lbc23" hidden="1">#REF!</definedName>
    <definedName name="________________________lbc24" hidden="1">#REF!</definedName>
    <definedName name="________________________lbc25" hidden="1">#REF!</definedName>
    <definedName name="________________________lbc26" hidden="1">#REF!</definedName>
    <definedName name="________________________lbc27" hidden="1">#REF!</definedName>
    <definedName name="________________________lbc28" hidden="1">#REF!</definedName>
    <definedName name="________________________lbc29" hidden="1">#REF!</definedName>
    <definedName name="________________________lbc3" hidden="1">#REF!</definedName>
    <definedName name="________________________lbc31" hidden="1">#REF!</definedName>
    <definedName name="________________________lbc32" hidden="1">#REF!</definedName>
    <definedName name="________________________lbc4" hidden="1">#REF!</definedName>
    <definedName name="________________________lbc5" hidden="1">#REF!</definedName>
    <definedName name="________________________lbc6" hidden="1">#REF!</definedName>
    <definedName name="________________________lbc7" hidden="1">#REF!</definedName>
    <definedName name="________________________lbc8" hidden="1">#REF!</definedName>
    <definedName name="________________________lbc9" hidden="1">#REF!</definedName>
    <definedName name="________________________ld26" hidden="1">#REF!</definedName>
    <definedName name="________________________ld31" hidden="1">#REF!</definedName>
    <definedName name="________________________le31" hidden="1">#REF!</definedName>
    <definedName name="________________________lf31" hidden="1">#REF!</definedName>
    <definedName name="________________________x10" hidden="1">#REF!</definedName>
    <definedName name="________________________x11" hidden="1">#REF!</definedName>
    <definedName name="________________________x12" hidden="1">#REF!</definedName>
    <definedName name="________________________x13" hidden="1">#REF!</definedName>
    <definedName name="________________________x14" hidden="1">#REF!</definedName>
    <definedName name="________________________x15" hidden="1">#REF!</definedName>
    <definedName name="________________________x16" hidden="1">#REF!</definedName>
    <definedName name="________________________x17" hidden="1">#REF!</definedName>
    <definedName name="________________________x18" hidden="1">#REF!</definedName>
    <definedName name="________________________x19" hidden="1">#REF!</definedName>
    <definedName name="________________________x20" hidden="1">#REF!</definedName>
    <definedName name="________________________x21" hidden="1">#REF!</definedName>
    <definedName name="________________________x22" hidden="1">#REF!</definedName>
    <definedName name="________________________x23" hidden="1">#REF!</definedName>
    <definedName name="________________________x24" hidden="1">#REF!</definedName>
    <definedName name="________________________x25" hidden="1">#REF!</definedName>
    <definedName name="________________________x28" hidden="1">#REF!</definedName>
    <definedName name="________________________x29" hidden="1">#REF!</definedName>
    <definedName name="________________________x32" hidden="1">#REF!</definedName>
    <definedName name="________________________x4" hidden="1">#REF!</definedName>
    <definedName name="________________________x5" hidden="1">#REF!</definedName>
    <definedName name="________________________x6" hidden="1">#REF!</definedName>
    <definedName name="________________________x7" hidden="1">#REF!</definedName>
    <definedName name="________________________x8" hidden="1">#REF!</definedName>
    <definedName name="________________________x9" hidden="1">#REF!</definedName>
    <definedName name="_______________________INV12">#REF!</definedName>
    <definedName name="_______________________INV13">#REF!</definedName>
    <definedName name="_______________________inv2" localSheetId="1">#REF!</definedName>
    <definedName name="_______________________inv2" localSheetId="2">#REF!</definedName>
    <definedName name="_______________________inv2">#REF!</definedName>
    <definedName name="_______________________la29" hidden="1">#REF!</definedName>
    <definedName name="_______________________la3" hidden="1">#REF!</definedName>
    <definedName name="_______________________la31" hidden="1">#REF!</definedName>
    <definedName name="_______________________la32" hidden="1">#REF!</definedName>
    <definedName name="_______________________la4" hidden="1">#REF!</definedName>
    <definedName name="_______________________la5" hidden="1">#REF!</definedName>
    <definedName name="_______________________la6" hidden="1">#REF!</definedName>
    <definedName name="_______________________la7" hidden="1">#REF!</definedName>
    <definedName name="_______________________la8" hidden="1">#REF!</definedName>
    <definedName name="_______________________la9" hidden="1">#REF!</definedName>
    <definedName name="_______________________lb1" hidden="1">#REF!</definedName>
    <definedName name="_______________________lb10" hidden="1">#REF!</definedName>
    <definedName name="_______________________lb11" hidden="1">#REF!</definedName>
    <definedName name="_______________________lb12" hidden="1">#REF!</definedName>
    <definedName name="_______________________lb13" hidden="1">#REF!</definedName>
    <definedName name="_______________________lb14" hidden="1">#REF!</definedName>
    <definedName name="_______________________lb15" hidden="1">#REF!</definedName>
    <definedName name="_______________________lb16" hidden="1">#REF!</definedName>
    <definedName name="_______________________lb17" hidden="1">#REF!</definedName>
    <definedName name="_______________________lb18" hidden="1">#REF!</definedName>
    <definedName name="_______________________lb19" hidden="1">#REF!</definedName>
    <definedName name="_______________________lb2" hidden="1">#REF!</definedName>
    <definedName name="_______________________lb20" hidden="1">#REF!</definedName>
    <definedName name="_______________________lb21" hidden="1">#REF!</definedName>
    <definedName name="_______________________lb22" hidden="1">#REF!</definedName>
    <definedName name="_______________________lb23" hidden="1">#REF!</definedName>
    <definedName name="_______________________lb24" hidden="1">#REF!</definedName>
    <definedName name="_______________________lb25" hidden="1">#REF!</definedName>
    <definedName name="_______________________lb27" hidden="1">#REF!</definedName>
    <definedName name="_______________________lb28" hidden="1">#REF!</definedName>
    <definedName name="_______________________lb29" hidden="1">#REF!</definedName>
    <definedName name="_______________________lb3" hidden="1">#REF!</definedName>
    <definedName name="_______________________lb30" hidden="1">#REF!</definedName>
    <definedName name="_______________________lb31" hidden="1">#REF!</definedName>
    <definedName name="_______________________lb32" hidden="1">#REF!</definedName>
    <definedName name="_______________________lb4" hidden="1">#REF!</definedName>
    <definedName name="_______________________lb5" hidden="1">#REF!</definedName>
    <definedName name="_______________________lb6" hidden="1">#REF!</definedName>
    <definedName name="_______________________lb7" hidden="1">#REF!</definedName>
    <definedName name="_______________________lb8" hidden="1">#REF!</definedName>
    <definedName name="_______________________lb9" hidden="1">#REF!</definedName>
    <definedName name="_______________________lbc1" hidden="1">#REF!</definedName>
    <definedName name="_______________________lbc10" hidden="1">#REF!</definedName>
    <definedName name="_______________________lbc11" hidden="1">#REF!</definedName>
    <definedName name="_______________________lbc12" hidden="1">#REF!</definedName>
    <definedName name="_______________________lbc13" hidden="1">#REF!</definedName>
    <definedName name="_______________________lbc14" hidden="1">#REF!</definedName>
    <definedName name="_______________________lbc15" hidden="1">#REF!</definedName>
    <definedName name="_______________________lbc16" hidden="1">#REF!</definedName>
    <definedName name="_______________________lbc17" hidden="1">#REF!</definedName>
    <definedName name="_______________________lbc18" hidden="1">#REF!</definedName>
    <definedName name="_______________________lbc19" hidden="1">#REF!</definedName>
    <definedName name="_______________________lbc2" hidden="1">#REF!</definedName>
    <definedName name="_______________________lbc20" hidden="1">#REF!</definedName>
    <definedName name="_______________________lbc21" hidden="1">#REF!</definedName>
    <definedName name="_______________________lbc22" hidden="1">#REF!</definedName>
    <definedName name="_______________________lbc23" hidden="1">#REF!</definedName>
    <definedName name="_______________________lbc24" hidden="1">#REF!</definedName>
    <definedName name="_______________________lbc25" hidden="1">#REF!</definedName>
    <definedName name="_______________________lbc26" hidden="1">#REF!</definedName>
    <definedName name="_______________________lbc27" hidden="1">#REF!</definedName>
    <definedName name="_______________________lbc28" hidden="1">#REF!</definedName>
    <definedName name="_______________________lbc29" hidden="1">#REF!</definedName>
    <definedName name="_______________________lbc3" hidden="1">#REF!</definedName>
    <definedName name="_______________________lbc31" hidden="1">#REF!</definedName>
    <definedName name="_______________________lbc32" hidden="1">#REF!</definedName>
    <definedName name="_______________________lbc4" hidden="1">#REF!</definedName>
    <definedName name="_______________________lbc5" hidden="1">#REF!</definedName>
    <definedName name="_______________________lbc6" hidden="1">#REF!</definedName>
    <definedName name="_______________________lbc7" hidden="1">#REF!</definedName>
    <definedName name="_______________________lbc8" hidden="1">#REF!</definedName>
    <definedName name="_______________________lbc9" hidden="1">#REF!</definedName>
    <definedName name="_______________________ld26" hidden="1">#REF!</definedName>
    <definedName name="_______________________ld31" hidden="1">#REF!</definedName>
    <definedName name="_______________________le31" hidden="1">#REF!</definedName>
    <definedName name="_______________________lf31" hidden="1">#REF!</definedName>
    <definedName name="_______________________x10" hidden="1">#REF!</definedName>
    <definedName name="_______________________x11" hidden="1">#REF!</definedName>
    <definedName name="_______________________x12" hidden="1">#REF!</definedName>
    <definedName name="_______________________x13" hidden="1">#REF!</definedName>
    <definedName name="_______________________x14" hidden="1">#REF!</definedName>
    <definedName name="_______________________x15" hidden="1">#REF!</definedName>
    <definedName name="_______________________x16" hidden="1">#REF!</definedName>
    <definedName name="_______________________x17" hidden="1">#REF!</definedName>
    <definedName name="_______________________x18" hidden="1">#REF!</definedName>
    <definedName name="_______________________x19" hidden="1">#REF!</definedName>
    <definedName name="_______________________x20" hidden="1">#REF!</definedName>
    <definedName name="_______________________x21" hidden="1">#REF!</definedName>
    <definedName name="_______________________x22" hidden="1">#REF!</definedName>
    <definedName name="_______________________x23" hidden="1">#REF!</definedName>
    <definedName name="_______________________x24" hidden="1">#REF!</definedName>
    <definedName name="_______________________x25" hidden="1">#REF!</definedName>
    <definedName name="_______________________x28" hidden="1">#REF!</definedName>
    <definedName name="_______________________x29" hidden="1">#REF!</definedName>
    <definedName name="_______________________x32" hidden="1">#REF!</definedName>
    <definedName name="_______________________x4" hidden="1">#REF!</definedName>
    <definedName name="_______________________x5" hidden="1">#REF!</definedName>
    <definedName name="_______________________x6" hidden="1">#REF!</definedName>
    <definedName name="_______________________x7" hidden="1">#REF!</definedName>
    <definedName name="_______________________x8" hidden="1">#REF!</definedName>
    <definedName name="_______________________x9" hidden="1">#REF!</definedName>
    <definedName name="______________________INV12">#REF!</definedName>
    <definedName name="______________________INV13">#REF!</definedName>
    <definedName name="______________________inv2" localSheetId="1">#REF!</definedName>
    <definedName name="______________________inv2" localSheetId="2">#REF!</definedName>
    <definedName name="______________________inv2">#REF!</definedName>
    <definedName name="______________________la29" hidden="1">#REF!</definedName>
    <definedName name="______________________la3" hidden="1">#REF!</definedName>
    <definedName name="______________________la31" hidden="1">#REF!</definedName>
    <definedName name="______________________la32" hidden="1">#REF!</definedName>
    <definedName name="______________________la4" hidden="1">#REF!</definedName>
    <definedName name="______________________la5" hidden="1">#REF!</definedName>
    <definedName name="______________________la6" hidden="1">#REF!</definedName>
    <definedName name="______________________la7" hidden="1">#REF!</definedName>
    <definedName name="______________________la8" hidden="1">#REF!</definedName>
    <definedName name="______________________la9" hidden="1">#REF!</definedName>
    <definedName name="______________________lb1" hidden="1">#REF!</definedName>
    <definedName name="______________________lb10" hidden="1">#REF!</definedName>
    <definedName name="______________________lb11" hidden="1">#REF!</definedName>
    <definedName name="______________________lb12" hidden="1">#REF!</definedName>
    <definedName name="______________________lb13" hidden="1">#REF!</definedName>
    <definedName name="______________________lb14" hidden="1">#REF!</definedName>
    <definedName name="______________________lb15" hidden="1">#REF!</definedName>
    <definedName name="______________________lb16" hidden="1">#REF!</definedName>
    <definedName name="______________________lb17" hidden="1">#REF!</definedName>
    <definedName name="______________________lb18" hidden="1">#REF!</definedName>
    <definedName name="______________________lb19" hidden="1">#REF!</definedName>
    <definedName name="______________________lb2" hidden="1">#REF!</definedName>
    <definedName name="______________________lb20" hidden="1">#REF!</definedName>
    <definedName name="______________________lb21" hidden="1">#REF!</definedName>
    <definedName name="______________________lb22" hidden="1">#REF!</definedName>
    <definedName name="______________________lb23" hidden="1">#REF!</definedName>
    <definedName name="______________________lb24" hidden="1">#REF!</definedName>
    <definedName name="______________________lb25" hidden="1">#REF!</definedName>
    <definedName name="______________________lb27" hidden="1">#REF!</definedName>
    <definedName name="______________________lb28" hidden="1">#REF!</definedName>
    <definedName name="______________________lb29" hidden="1">#REF!</definedName>
    <definedName name="______________________lb3" hidden="1">#REF!</definedName>
    <definedName name="______________________lb30" hidden="1">#REF!</definedName>
    <definedName name="______________________lb31" hidden="1">#REF!</definedName>
    <definedName name="______________________lb32" hidden="1">#REF!</definedName>
    <definedName name="______________________lb4" hidden="1">#REF!</definedName>
    <definedName name="______________________lb5" hidden="1">#REF!</definedName>
    <definedName name="______________________lb6" hidden="1">#REF!</definedName>
    <definedName name="______________________lb7" hidden="1">#REF!</definedName>
    <definedName name="______________________lb8" hidden="1">#REF!</definedName>
    <definedName name="______________________lb9" hidden="1">#REF!</definedName>
    <definedName name="______________________lbc1" hidden="1">#REF!</definedName>
    <definedName name="______________________lbc10" hidden="1">#REF!</definedName>
    <definedName name="______________________lbc11" hidden="1">#REF!</definedName>
    <definedName name="______________________lbc12" hidden="1">#REF!</definedName>
    <definedName name="______________________lbc13" hidden="1">#REF!</definedName>
    <definedName name="______________________lbc14" hidden="1">#REF!</definedName>
    <definedName name="______________________lbc15" hidden="1">#REF!</definedName>
    <definedName name="______________________lbc16" hidden="1">#REF!</definedName>
    <definedName name="______________________lbc17" hidden="1">#REF!</definedName>
    <definedName name="______________________lbc18" hidden="1">#REF!</definedName>
    <definedName name="______________________lbc19" hidden="1">#REF!</definedName>
    <definedName name="______________________lbc2" hidden="1">#REF!</definedName>
    <definedName name="______________________lbc20" hidden="1">#REF!</definedName>
    <definedName name="______________________lbc21" hidden="1">#REF!</definedName>
    <definedName name="______________________lbc22" hidden="1">#REF!</definedName>
    <definedName name="______________________lbc23" hidden="1">#REF!</definedName>
    <definedName name="______________________lbc24" hidden="1">#REF!</definedName>
    <definedName name="______________________lbc25" hidden="1">#REF!</definedName>
    <definedName name="______________________lbc26" hidden="1">#REF!</definedName>
    <definedName name="______________________lbc27" hidden="1">#REF!</definedName>
    <definedName name="______________________lbc28" hidden="1">#REF!</definedName>
    <definedName name="______________________lbc29" hidden="1">#REF!</definedName>
    <definedName name="______________________lbc3" hidden="1">#REF!</definedName>
    <definedName name="______________________lbc31" hidden="1">#REF!</definedName>
    <definedName name="______________________lbc32" hidden="1">#REF!</definedName>
    <definedName name="______________________lbc4" hidden="1">#REF!</definedName>
    <definedName name="______________________lbc5" hidden="1">#REF!</definedName>
    <definedName name="______________________lbc6" hidden="1">#REF!</definedName>
    <definedName name="______________________lbc7" hidden="1">#REF!</definedName>
    <definedName name="______________________lbc8" hidden="1">#REF!</definedName>
    <definedName name="______________________lbc9" hidden="1">#REF!</definedName>
    <definedName name="______________________ld26" hidden="1">#REF!</definedName>
    <definedName name="______________________ld31" hidden="1">#REF!</definedName>
    <definedName name="______________________le31" hidden="1">#REF!</definedName>
    <definedName name="______________________lf31" hidden="1">#REF!</definedName>
    <definedName name="______________________x10" hidden="1">#REF!</definedName>
    <definedName name="______________________x11" hidden="1">#REF!</definedName>
    <definedName name="______________________x12" hidden="1">#REF!</definedName>
    <definedName name="______________________x13" hidden="1">#REF!</definedName>
    <definedName name="______________________x14" hidden="1">#REF!</definedName>
    <definedName name="______________________x15" hidden="1">#REF!</definedName>
    <definedName name="______________________x16" hidden="1">#REF!</definedName>
    <definedName name="______________________x17" hidden="1">#REF!</definedName>
    <definedName name="______________________x18" hidden="1">#REF!</definedName>
    <definedName name="______________________x19" hidden="1">#REF!</definedName>
    <definedName name="______________________x20" hidden="1">#REF!</definedName>
    <definedName name="______________________x21" hidden="1">#REF!</definedName>
    <definedName name="______________________x22" hidden="1">#REF!</definedName>
    <definedName name="______________________x23" hidden="1">#REF!</definedName>
    <definedName name="______________________x24" hidden="1">#REF!</definedName>
    <definedName name="______________________x25" hidden="1">#REF!</definedName>
    <definedName name="______________________x28" hidden="1">#REF!</definedName>
    <definedName name="______________________x29" hidden="1">#REF!</definedName>
    <definedName name="______________________x32" hidden="1">#REF!</definedName>
    <definedName name="______________________x4" hidden="1">#REF!</definedName>
    <definedName name="______________________x5" hidden="1">#REF!</definedName>
    <definedName name="______________________x6" hidden="1">#REF!</definedName>
    <definedName name="______________________x7" hidden="1">#REF!</definedName>
    <definedName name="______________________x8" hidden="1">#REF!</definedName>
    <definedName name="______________________x9" hidden="1">#REF!</definedName>
    <definedName name="_____________________INV12">#REF!</definedName>
    <definedName name="_____________________INV13">#REF!</definedName>
    <definedName name="_____________________inv2" localSheetId="1">#REF!</definedName>
    <definedName name="_____________________inv2" localSheetId="2">#REF!</definedName>
    <definedName name="_____________________inv2">#REF!</definedName>
    <definedName name="_____________________la29" hidden="1">#REF!</definedName>
    <definedName name="_____________________la3" hidden="1">#REF!</definedName>
    <definedName name="_____________________la31" hidden="1">#REF!</definedName>
    <definedName name="_____________________la32" hidden="1">#REF!</definedName>
    <definedName name="_____________________la4" hidden="1">#REF!</definedName>
    <definedName name="_____________________la5" hidden="1">#REF!</definedName>
    <definedName name="_____________________la6" hidden="1">#REF!</definedName>
    <definedName name="_____________________la7" hidden="1">#REF!</definedName>
    <definedName name="_____________________la8" hidden="1">#REF!</definedName>
    <definedName name="_____________________la9" hidden="1">#REF!</definedName>
    <definedName name="_____________________lb1" hidden="1">#REF!</definedName>
    <definedName name="_____________________lb10" hidden="1">#REF!</definedName>
    <definedName name="_____________________lb11" hidden="1">#REF!</definedName>
    <definedName name="_____________________lb12" hidden="1">#REF!</definedName>
    <definedName name="_____________________lb13" hidden="1">#REF!</definedName>
    <definedName name="_____________________lb14" hidden="1">#REF!</definedName>
    <definedName name="_____________________lb15" hidden="1">#REF!</definedName>
    <definedName name="_____________________lb16" hidden="1">#REF!</definedName>
    <definedName name="_____________________lb17" hidden="1">#REF!</definedName>
    <definedName name="_____________________lb18" hidden="1">#REF!</definedName>
    <definedName name="_____________________lb19" hidden="1">#REF!</definedName>
    <definedName name="_____________________lb2" hidden="1">#REF!</definedName>
    <definedName name="_____________________lb20" hidden="1">#REF!</definedName>
    <definedName name="_____________________lb21" hidden="1">#REF!</definedName>
    <definedName name="_____________________lb22" hidden="1">#REF!</definedName>
    <definedName name="_____________________lb23" hidden="1">#REF!</definedName>
    <definedName name="_____________________lb24" hidden="1">#REF!</definedName>
    <definedName name="_____________________lb25" hidden="1">#REF!</definedName>
    <definedName name="_____________________lb27" hidden="1">#REF!</definedName>
    <definedName name="_____________________lb28" hidden="1">#REF!</definedName>
    <definedName name="_____________________lb29" hidden="1">#REF!</definedName>
    <definedName name="_____________________lb3" hidden="1">#REF!</definedName>
    <definedName name="_____________________lb30" hidden="1">#REF!</definedName>
    <definedName name="_____________________lb31" hidden="1">#REF!</definedName>
    <definedName name="_____________________lb32" hidden="1">#REF!</definedName>
    <definedName name="_____________________lb4" hidden="1">#REF!</definedName>
    <definedName name="_____________________lb5" hidden="1">#REF!</definedName>
    <definedName name="_____________________lb6" hidden="1">#REF!</definedName>
    <definedName name="_____________________lb7" hidden="1">#REF!</definedName>
    <definedName name="_____________________lb8" hidden="1">#REF!</definedName>
    <definedName name="_____________________lb9" hidden="1">#REF!</definedName>
    <definedName name="_____________________lbc1" hidden="1">#REF!</definedName>
    <definedName name="_____________________lbc10" hidden="1">#REF!</definedName>
    <definedName name="_____________________lbc11" hidden="1">#REF!</definedName>
    <definedName name="_____________________lbc12" hidden="1">#REF!</definedName>
    <definedName name="_____________________lbc13" hidden="1">#REF!</definedName>
    <definedName name="_____________________lbc14" hidden="1">#REF!</definedName>
    <definedName name="_____________________lbc15" hidden="1">#REF!</definedName>
    <definedName name="_____________________lbc16" hidden="1">#REF!</definedName>
    <definedName name="_____________________lbc17" hidden="1">#REF!</definedName>
    <definedName name="_____________________lbc18" hidden="1">#REF!</definedName>
    <definedName name="_____________________lbc19" hidden="1">#REF!</definedName>
    <definedName name="_____________________lbc2" hidden="1">#REF!</definedName>
    <definedName name="_____________________lbc20" hidden="1">#REF!</definedName>
    <definedName name="_____________________lbc21" hidden="1">#REF!</definedName>
    <definedName name="_____________________lbc22" hidden="1">#REF!</definedName>
    <definedName name="_____________________lbc23" hidden="1">#REF!</definedName>
    <definedName name="_____________________lbc24" hidden="1">#REF!</definedName>
    <definedName name="_____________________lbc25" hidden="1">#REF!</definedName>
    <definedName name="_____________________lbc26" hidden="1">#REF!</definedName>
    <definedName name="_____________________lbc27" hidden="1">#REF!</definedName>
    <definedName name="_____________________lbc28" hidden="1">#REF!</definedName>
    <definedName name="_____________________lbc29" hidden="1">#REF!</definedName>
    <definedName name="_____________________lbc3" hidden="1">#REF!</definedName>
    <definedName name="_____________________lbc31" hidden="1">#REF!</definedName>
    <definedName name="_____________________lbc32" hidden="1">#REF!</definedName>
    <definedName name="_____________________lbc4" hidden="1">#REF!</definedName>
    <definedName name="_____________________lbc5" hidden="1">#REF!</definedName>
    <definedName name="_____________________lbc6" hidden="1">#REF!</definedName>
    <definedName name="_____________________lbc7" hidden="1">#REF!</definedName>
    <definedName name="_____________________lbc8" hidden="1">#REF!</definedName>
    <definedName name="_____________________lbc9" hidden="1">#REF!</definedName>
    <definedName name="_____________________ld26" hidden="1">#REF!</definedName>
    <definedName name="_____________________ld31" hidden="1">#REF!</definedName>
    <definedName name="_____________________le31" hidden="1">#REF!</definedName>
    <definedName name="_____________________lf31" hidden="1">#REF!</definedName>
    <definedName name="_____________________x10" hidden="1">#REF!</definedName>
    <definedName name="_____________________x11" hidden="1">#REF!</definedName>
    <definedName name="_____________________x12" hidden="1">#REF!</definedName>
    <definedName name="_____________________x13" hidden="1">#REF!</definedName>
    <definedName name="_____________________x14" hidden="1">#REF!</definedName>
    <definedName name="_____________________x15" hidden="1">#REF!</definedName>
    <definedName name="_____________________x16" hidden="1">#REF!</definedName>
    <definedName name="_____________________x17" hidden="1">#REF!</definedName>
    <definedName name="_____________________x18" hidden="1">#REF!</definedName>
    <definedName name="_____________________x19" hidden="1">#REF!</definedName>
    <definedName name="_____________________x20" hidden="1">#REF!</definedName>
    <definedName name="_____________________x21" hidden="1">#REF!</definedName>
    <definedName name="_____________________x22" hidden="1">#REF!</definedName>
    <definedName name="_____________________x23" hidden="1">#REF!</definedName>
    <definedName name="_____________________x24" hidden="1">#REF!</definedName>
    <definedName name="_____________________x25" hidden="1">#REF!</definedName>
    <definedName name="_____________________x28" hidden="1">#REF!</definedName>
    <definedName name="_____________________x29" hidden="1">#REF!</definedName>
    <definedName name="_____________________x32" hidden="1">#REF!</definedName>
    <definedName name="_____________________x4" hidden="1">#REF!</definedName>
    <definedName name="_____________________x5" hidden="1">#REF!</definedName>
    <definedName name="_____________________x6" hidden="1">#REF!</definedName>
    <definedName name="_____________________x7" hidden="1">#REF!</definedName>
    <definedName name="_____________________x8" hidden="1">#REF!</definedName>
    <definedName name="_____________________x9" hidden="1">#REF!</definedName>
    <definedName name="____________________INV12">#REF!</definedName>
    <definedName name="____________________INV13">#REF!</definedName>
    <definedName name="____________________inv2" localSheetId="1">#REF!</definedName>
    <definedName name="____________________inv2" localSheetId="2">#REF!</definedName>
    <definedName name="____________________inv2">#REF!</definedName>
    <definedName name="____________________la29" hidden="1">#REF!</definedName>
    <definedName name="____________________la3" hidden="1">#REF!</definedName>
    <definedName name="____________________la31" hidden="1">#REF!</definedName>
    <definedName name="____________________la32" hidden="1">#REF!</definedName>
    <definedName name="____________________la4" hidden="1">#REF!</definedName>
    <definedName name="____________________la5" hidden="1">#REF!</definedName>
    <definedName name="____________________la6" hidden="1">#REF!</definedName>
    <definedName name="____________________la7" hidden="1">#REF!</definedName>
    <definedName name="____________________la8" hidden="1">#REF!</definedName>
    <definedName name="____________________la9" hidden="1">#REF!</definedName>
    <definedName name="____________________lb1" hidden="1">#REF!</definedName>
    <definedName name="____________________lb10" hidden="1">#REF!</definedName>
    <definedName name="____________________lb11" hidden="1">#REF!</definedName>
    <definedName name="____________________lb12" hidden="1">#REF!</definedName>
    <definedName name="____________________lb13" hidden="1">#REF!</definedName>
    <definedName name="____________________lb14" hidden="1">#REF!</definedName>
    <definedName name="____________________lb15" hidden="1">#REF!</definedName>
    <definedName name="____________________lb16" hidden="1">#REF!</definedName>
    <definedName name="____________________lb17" hidden="1">#REF!</definedName>
    <definedName name="____________________lb18" hidden="1">#REF!</definedName>
    <definedName name="____________________lb19" hidden="1">#REF!</definedName>
    <definedName name="____________________lb2" hidden="1">#REF!</definedName>
    <definedName name="____________________lb20" hidden="1">#REF!</definedName>
    <definedName name="____________________lb21" hidden="1">#REF!</definedName>
    <definedName name="____________________lb22" hidden="1">#REF!</definedName>
    <definedName name="____________________lb23" hidden="1">#REF!</definedName>
    <definedName name="____________________lb24" hidden="1">#REF!</definedName>
    <definedName name="____________________lb25" hidden="1">#REF!</definedName>
    <definedName name="____________________lb27" hidden="1">#REF!</definedName>
    <definedName name="____________________lb28" hidden="1">#REF!</definedName>
    <definedName name="____________________lb29" hidden="1">#REF!</definedName>
    <definedName name="____________________lb3" hidden="1">#REF!</definedName>
    <definedName name="____________________lb30" hidden="1">#REF!</definedName>
    <definedName name="____________________lb31" hidden="1">#REF!</definedName>
    <definedName name="____________________lb32" hidden="1">#REF!</definedName>
    <definedName name="____________________lb4" hidden="1">#REF!</definedName>
    <definedName name="____________________lb5" hidden="1">#REF!</definedName>
    <definedName name="____________________lb6" hidden="1">#REF!</definedName>
    <definedName name="____________________lb7" hidden="1">#REF!</definedName>
    <definedName name="____________________lb8" hidden="1">#REF!</definedName>
    <definedName name="____________________lb9" hidden="1">#REF!</definedName>
    <definedName name="____________________lbc1" hidden="1">#REF!</definedName>
    <definedName name="____________________lbc10" hidden="1">#REF!</definedName>
    <definedName name="____________________lbc11" hidden="1">#REF!</definedName>
    <definedName name="____________________lbc12" hidden="1">#REF!</definedName>
    <definedName name="____________________lbc13" hidden="1">#REF!</definedName>
    <definedName name="____________________lbc14" hidden="1">#REF!</definedName>
    <definedName name="____________________lbc15" hidden="1">#REF!</definedName>
    <definedName name="____________________lbc16" hidden="1">#REF!</definedName>
    <definedName name="____________________lbc17" hidden="1">#REF!</definedName>
    <definedName name="____________________lbc18" hidden="1">#REF!</definedName>
    <definedName name="____________________lbc19" hidden="1">#REF!</definedName>
    <definedName name="____________________lbc2" hidden="1">#REF!</definedName>
    <definedName name="____________________lbc20" hidden="1">#REF!</definedName>
    <definedName name="____________________lbc21" hidden="1">#REF!</definedName>
    <definedName name="____________________lbc22" hidden="1">#REF!</definedName>
    <definedName name="____________________lbc23" hidden="1">#REF!</definedName>
    <definedName name="____________________lbc24" hidden="1">#REF!</definedName>
    <definedName name="____________________lbc25" hidden="1">#REF!</definedName>
    <definedName name="____________________lbc26" hidden="1">#REF!</definedName>
    <definedName name="____________________lbc27" hidden="1">#REF!</definedName>
    <definedName name="____________________lbc28" hidden="1">#REF!</definedName>
    <definedName name="____________________lbc29" hidden="1">#REF!</definedName>
    <definedName name="____________________lbc3" hidden="1">#REF!</definedName>
    <definedName name="____________________lbc31" hidden="1">#REF!</definedName>
    <definedName name="____________________lbc32" hidden="1">#REF!</definedName>
    <definedName name="____________________lbc4" hidden="1">#REF!</definedName>
    <definedName name="____________________lbc5" hidden="1">#REF!</definedName>
    <definedName name="____________________lbc6" hidden="1">#REF!</definedName>
    <definedName name="____________________lbc7" hidden="1">#REF!</definedName>
    <definedName name="____________________lbc8" hidden="1">#REF!</definedName>
    <definedName name="____________________lbc9" hidden="1">#REF!</definedName>
    <definedName name="____________________ld26" hidden="1">#REF!</definedName>
    <definedName name="____________________ld31" hidden="1">#REF!</definedName>
    <definedName name="____________________le31" hidden="1">#REF!</definedName>
    <definedName name="____________________lf31" hidden="1">#REF!</definedName>
    <definedName name="____________________x10" hidden="1">#REF!</definedName>
    <definedName name="____________________x11" hidden="1">#REF!</definedName>
    <definedName name="____________________x12" hidden="1">#REF!</definedName>
    <definedName name="____________________x13" hidden="1">#REF!</definedName>
    <definedName name="____________________x14" hidden="1">#REF!</definedName>
    <definedName name="____________________x15" hidden="1">#REF!</definedName>
    <definedName name="____________________x16" hidden="1">#REF!</definedName>
    <definedName name="____________________x17" hidden="1">#REF!</definedName>
    <definedName name="____________________x18" hidden="1">#REF!</definedName>
    <definedName name="____________________x19" hidden="1">#REF!</definedName>
    <definedName name="____________________x20" hidden="1">#REF!</definedName>
    <definedName name="____________________x21" hidden="1">#REF!</definedName>
    <definedName name="____________________x22" hidden="1">#REF!</definedName>
    <definedName name="____________________x23" hidden="1">#REF!</definedName>
    <definedName name="____________________x24" hidden="1">#REF!</definedName>
    <definedName name="____________________x25" hidden="1">#REF!</definedName>
    <definedName name="____________________x28" hidden="1">#REF!</definedName>
    <definedName name="____________________x29" hidden="1">#REF!</definedName>
    <definedName name="____________________x32" hidden="1">#REF!</definedName>
    <definedName name="____________________x4" hidden="1">#REF!</definedName>
    <definedName name="____________________x5" hidden="1">#REF!</definedName>
    <definedName name="____________________x6" hidden="1">#REF!</definedName>
    <definedName name="____________________x7" hidden="1">#REF!</definedName>
    <definedName name="____________________x8" hidden="1">#REF!</definedName>
    <definedName name="____________________x9" hidden="1">#REF!</definedName>
    <definedName name="___________________INV12">#REF!</definedName>
    <definedName name="___________________INV13">#REF!</definedName>
    <definedName name="___________________inv2" localSheetId="1">#REF!</definedName>
    <definedName name="___________________inv2" localSheetId="2">#REF!</definedName>
    <definedName name="___________________inv2">#REF!</definedName>
    <definedName name="___________________la29" hidden="1">#REF!</definedName>
    <definedName name="___________________la3" hidden="1">#REF!</definedName>
    <definedName name="___________________la31" hidden="1">#REF!</definedName>
    <definedName name="___________________la32" hidden="1">#REF!</definedName>
    <definedName name="___________________la4" hidden="1">#REF!</definedName>
    <definedName name="___________________la5" hidden="1">#REF!</definedName>
    <definedName name="___________________la6" hidden="1">#REF!</definedName>
    <definedName name="___________________la7" hidden="1">#REF!</definedName>
    <definedName name="___________________la8" hidden="1">#REF!</definedName>
    <definedName name="___________________la9" hidden="1">#REF!</definedName>
    <definedName name="___________________lb1" hidden="1">#REF!</definedName>
    <definedName name="___________________lb10" hidden="1">#REF!</definedName>
    <definedName name="___________________lb11" hidden="1">#REF!</definedName>
    <definedName name="___________________lb12" hidden="1">#REF!</definedName>
    <definedName name="___________________lb13" hidden="1">#REF!</definedName>
    <definedName name="___________________lb14" hidden="1">#REF!</definedName>
    <definedName name="___________________lb15" hidden="1">#REF!</definedName>
    <definedName name="___________________lb16" hidden="1">#REF!</definedName>
    <definedName name="___________________lb17" hidden="1">#REF!</definedName>
    <definedName name="___________________lb18" hidden="1">#REF!</definedName>
    <definedName name="___________________lb19" hidden="1">#REF!</definedName>
    <definedName name="___________________lb2" hidden="1">#REF!</definedName>
    <definedName name="___________________lb20" hidden="1">#REF!</definedName>
    <definedName name="___________________lb21" hidden="1">#REF!</definedName>
    <definedName name="___________________lb22" hidden="1">#REF!</definedName>
    <definedName name="___________________lb23" hidden="1">#REF!</definedName>
    <definedName name="___________________lb24" hidden="1">#REF!</definedName>
    <definedName name="___________________lb25" hidden="1">#REF!</definedName>
    <definedName name="___________________lb27" hidden="1">#REF!</definedName>
    <definedName name="___________________lb28" hidden="1">#REF!</definedName>
    <definedName name="___________________lb29" hidden="1">#REF!</definedName>
    <definedName name="___________________lb3" hidden="1">#REF!</definedName>
    <definedName name="___________________lb30" hidden="1">#REF!</definedName>
    <definedName name="___________________lb31" hidden="1">#REF!</definedName>
    <definedName name="___________________lb32" hidden="1">#REF!</definedName>
    <definedName name="___________________lb4" hidden="1">#REF!</definedName>
    <definedName name="___________________lb5" hidden="1">#REF!</definedName>
    <definedName name="___________________lb6" hidden="1">#REF!</definedName>
    <definedName name="___________________lb7" hidden="1">#REF!</definedName>
    <definedName name="___________________lb8" hidden="1">#REF!</definedName>
    <definedName name="___________________lb9" hidden="1">#REF!</definedName>
    <definedName name="___________________lbc1" hidden="1">#REF!</definedName>
    <definedName name="___________________lbc10" hidden="1">#REF!</definedName>
    <definedName name="___________________lbc11" hidden="1">#REF!</definedName>
    <definedName name="___________________lbc12" hidden="1">#REF!</definedName>
    <definedName name="___________________lbc13" hidden="1">#REF!</definedName>
    <definedName name="___________________lbc14" hidden="1">#REF!</definedName>
    <definedName name="___________________lbc15" hidden="1">#REF!</definedName>
    <definedName name="___________________lbc16" hidden="1">#REF!</definedName>
    <definedName name="___________________lbc17" hidden="1">#REF!</definedName>
    <definedName name="___________________lbc18" hidden="1">#REF!</definedName>
    <definedName name="___________________lbc19" hidden="1">#REF!</definedName>
    <definedName name="___________________lbc2" hidden="1">#REF!</definedName>
    <definedName name="___________________lbc20" hidden="1">#REF!</definedName>
    <definedName name="___________________lbc21" hidden="1">#REF!</definedName>
    <definedName name="___________________lbc22" hidden="1">#REF!</definedName>
    <definedName name="___________________lbc23" hidden="1">#REF!</definedName>
    <definedName name="___________________lbc24" hidden="1">#REF!</definedName>
    <definedName name="___________________lbc25" hidden="1">#REF!</definedName>
    <definedName name="___________________lbc26" hidden="1">#REF!</definedName>
    <definedName name="___________________lbc27" hidden="1">#REF!</definedName>
    <definedName name="___________________lbc28" hidden="1">#REF!</definedName>
    <definedName name="___________________lbc29" hidden="1">#REF!</definedName>
    <definedName name="___________________lbc3" hidden="1">#REF!</definedName>
    <definedName name="___________________lbc31" hidden="1">#REF!</definedName>
    <definedName name="___________________lbc32" hidden="1">#REF!</definedName>
    <definedName name="___________________lbc4" hidden="1">#REF!</definedName>
    <definedName name="___________________lbc5" hidden="1">#REF!</definedName>
    <definedName name="___________________lbc6" hidden="1">#REF!</definedName>
    <definedName name="___________________lbc7" hidden="1">#REF!</definedName>
    <definedName name="___________________lbc8" hidden="1">#REF!</definedName>
    <definedName name="___________________lbc9" hidden="1">#REF!</definedName>
    <definedName name="___________________ld26" hidden="1">#REF!</definedName>
    <definedName name="___________________ld31" hidden="1">#REF!</definedName>
    <definedName name="___________________le31" hidden="1">#REF!</definedName>
    <definedName name="___________________lf31" hidden="1">#REF!</definedName>
    <definedName name="___________________x10" hidden="1">#REF!</definedName>
    <definedName name="___________________x11" hidden="1">#REF!</definedName>
    <definedName name="___________________x12" hidden="1">#REF!</definedName>
    <definedName name="___________________x13" hidden="1">#REF!</definedName>
    <definedName name="___________________x14" hidden="1">#REF!</definedName>
    <definedName name="___________________x15" hidden="1">#REF!</definedName>
    <definedName name="___________________x16" hidden="1">#REF!</definedName>
    <definedName name="___________________x17" hidden="1">#REF!</definedName>
    <definedName name="___________________x18" hidden="1">#REF!</definedName>
    <definedName name="___________________x19" hidden="1">#REF!</definedName>
    <definedName name="___________________x20" hidden="1">#REF!</definedName>
    <definedName name="___________________x21" hidden="1">#REF!</definedName>
    <definedName name="___________________x22" hidden="1">#REF!</definedName>
    <definedName name="___________________x23" hidden="1">#REF!</definedName>
    <definedName name="___________________x24" hidden="1">#REF!</definedName>
    <definedName name="___________________x25" hidden="1">#REF!</definedName>
    <definedName name="___________________x28" hidden="1">#REF!</definedName>
    <definedName name="___________________x29" hidden="1">#REF!</definedName>
    <definedName name="___________________x32" hidden="1">#REF!</definedName>
    <definedName name="___________________x4" hidden="1">#REF!</definedName>
    <definedName name="___________________x5" hidden="1">#REF!</definedName>
    <definedName name="___________________x6" hidden="1">#REF!</definedName>
    <definedName name="___________________x7" hidden="1">#REF!</definedName>
    <definedName name="___________________x8" hidden="1">#REF!</definedName>
    <definedName name="___________________x9" hidden="1">#REF!</definedName>
    <definedName name="__________________INV12">#REF!</definedName>
    <definedName name="__________________INV13">#REF!</definedName>
    <definedName name="__________________inv2" localSheetId="1">#REF!</definedName>
    <definedName name="__________________inv2" localSheetId="2">#REF!</definedName>
    <definedName name="__________________inv2">#REF!</definedName>
    <definedName name="__________________la29" hidden="1">#REF!</definedName>
    <definedName name="__________________la3" hidden="1">#REF!</definedName>
    <definedName name="__________________la31" hidden="1">#REF!</definedName>
    <definedName name="__________________la32" hidden="1">#REF!</definedName>
    <definedName name="__________________la4" hidden="1">#REF!</definedName>
    <definedName name="__________________la5" hidden="1">#REF!</definedName>
    <definedName name="__________________la6" hidden="1">#REF!</definedName>
    <definedName name="__________________la7" hidden="1">#REF!</definedName>
    <definedName name="__________________la8" hidden="1">#REF!</definedName>
    <definedName name="__________________la9" hidden="1">#REF!</definedName>
    <definedName name="__________________lb1" hidden="1">#REF!</definedName>
    <definedName name="__________________lb10" hidden="1">#REF!</definedName>
    <definedName name="__________________lb11" hidden="1">#REF!</definedName>
    <definedName name="__________________lb12" hidden="1">#REF!</definedName>
    <definedName name="__________________lb13" hidden="1">#REF!</definedName>
    <definedName name="__________________lb14" hidden="1">#REF!</definedName>
    <definedName name="__________________lb15" hidden="1">#REF!</definedName>
    <definedName name="__________________lb16" hidden="1">#REF!</definedName>
    <definedName name="__________________lb17" hidden="1">#REF!</definedName>
    <definedName name="__________________lb18" hidden="1">#REF!</definedName>
    <definedName name="__________________lb19" hidden="1">#REF!</definedName>
    <definedName name="__________________lb2" hidden="1">#REF!</definedName>
    <definedName name="__________________lb20" hidden="1">#REF!</definedName>
    <definedName name="__________________lb21" hidden="1">#REF!</definedName>
    <definedName name="__________________lb22" hidden="1">#REF!</definedName>
    <definedName name="__________________lb23" hidden="1">#REF!</definedName>
    <definedName name="__________________lb24" hidden="1">#REF!</definedName>
    <definedName name="__________________lb25" hidden="1">#REF!</definedName>
    <definedName name="__________________lb27" hidden="1">#REF!</definedName>
    <definedName name="__________________lb28" hidden="1">#REF!</definedName>
    <definedName name="__________________lb29" hidden="1">#REF!</definedName>
    <definedName name="__________________lb3" hidden="1">#REF!</definedName>
    <definedName name="__________________lb30" hidden="1">#REF!</definedName>
    <definedName name="__________________lb31" hidden="1">#REF!</definedName>
    <definedName name="__________________lb32" hidden="1">#REF!</definedName>
    <definedName name="__________________lb4" hidden="1">#REF!</definedName>
    <definedName name="__________________lb5" hidden="1">#REF!</definedName>
    <definedName name="__________________lb6" hidden="1">#REF!</definedName>
    <definedName name="__________________lb7" hidden="1">#REF!</definedName>
    <definedName name="__________________lb8" hidden="1">#REF!</definedName>
    <definedName name="__________________lb9" hidden="1">#REF!</definedName>
    <definedName name="__________________lbc1" hidden="1">#REF!</definedName>
    <definedName name="__________________lbc10" hidden="1">#REF!</definedName>
    <definedName name="__________________lbc11" hidden="1">#REF!</definedName>
    <definedName name="__________________lbc12" hidden="1">#REF!</definedName>
    <definedName name="__________________lbc13" hidden="1">#REF!</definedName>
    <definedName name="__________________lbc14" hidden="1">#REF!</definedName>
    <definedName name="__________________lbc15" hidden="1">#REF!</definedName>
    <definedName name="__________________lbc16" hidden="1">#REF!</definedName>
    <definedName name="__________________lbc17" hidden="1">#REF!</definedName>
    <definedName name="__________________lbc18" hidden="1">#REF!</definedName>
    <definedName name="__________________lbc19" hidden="1">#REF!</definedName>
    <definedName name="__________________lbc2" hidden="1">#REF!</definedName>
    <definedName name="__________________lbc20" hidden="1">#REF!</definedName>
    <definedName name="__________________lbc21" hidden="1">#REF!</definedName>
    <definedName name="__________________lbc22" hidden="1">#REF!</definedName>
    <definedName name="__________________lbc23" hidden="1">#REF!</definedName>
    <definedName name="__________________lbc24" hidden="1">#REF!</definedName>
    <definedName name="__________________lbc25" hidden="1">#REF!</definedName>
    <definedName name="__________________lbc26" hidden="1">#REF!</definedName>
    <definedName name="__________________lbc27" hidden="1">#REF!</definedName>
    <definedName name="__________________lbc28" hidden="1">#REF!</definedName>
    <definedName name="__________________lbc29" hidden="1">#REF!</definedName>
    <definedName name="__________________lbc3" hidden="1">#REF!</definedName>
    <definedName name="__________________lbc31" hidden="1">#REF!</definedName>
    <definedName name="__________________lbc32" hidden="1">#REF!</definedName>
    <definedName name="__________________lbc4" hidden="1">#REF!</definedName>
    <definedName name="__________________lbc5" hidden="1">#REF!</definedName>
    <definedName name="__________________lbc6" hidden="1">#REF!</definedName>
    <definedName name="__________________lbc7" hidden="1">#REF!</definedName>
    <definedName name="__________________lbc8" hidden="1">#REF!</definedName>
    <definedName name="__________________lbc9" hidden="1">#REF!</definedName>
    <definedName name="__________________ld26" hidden="1">#REF!</definedName>
    <definedName name="__________________ld31" hidden="1">#REF!</definedName>
    <definedName name="__________________le31" hidden="1">#REF!</definedName>
    <definedName name="__________________lf31" hidden="1">#REF!</definedName>
    <definedName name="__________________x10" hidden="1">#REF!</definedName>
    <definedName name="__________________x11" hidden="1">#REF!</definedName>
    <definedName name="__________________x12" hidden="1">#REF!</definedName>
    <definedName name="__________________x13" hidden="1">#REF!</definedName>
    <definedName name="__________________x14" hidden="1">#REF!</definedName>
    <definedName name="__________________x15" hidden="1">#REF!</definedName>
    <definedName name="__________________x16" hidden="1">#REF!</definedName>
    <definedName name="__________________x17" hidden="1">#REF!</definedName>
    <definedName name="__________________x18" hidden="1">#REF!</definedName>
    <definedName name="__________________x19" hidden="1">#REF!</definedName>
    <definedName name="__________________x20" hidden="1">#REF!</definedName>
    <definedName name="__________________x21" hidden="1">#REF!</definedName>
    <definedName name="__________________x22" hidden="1">#REF!</definedName>
    <definedName name="__________________x23" hidden="1">#REF!</definedName>
    <definedName name="__________________x24" hidden="1">#REF!</definedName>
    <definedName name="__________________x25" hidden="1">#REF!</definedName>
    <definedName name="__________________x28" hidden="1">#REF!</definedName>
    <definedName name="__________________x29" hidden="1">#REF!</definedName>
    <definedName name="__________________x32" hidden="1">#REF!</definedName>
    <definedName name="__________________x4" hidden="1">#REF!</definedName>
    <definedName name="__________________x5" hidden="1">#REF!</definedName>
    <definedName name="__________________x6" hidden="1">#REF!</definedName>
    <definedName name="__________________x7" hidden="1">#REF!</definedName>
    <definedName name="__________________x8" hidden="1">#REF!</definedName>
    <definedName name="__________________x9" hidden="1">#REF!</definedName>
    <definedName name="_________________INV12">#REF!</definedName>
    <definedName name="_________________INV13">#REF!</definedName>
    <definedName name="_________________inv2" localSheetId="1">#REF!</definedName>
    <definedName name="_________________inv2" localSheetId="2">#REF!</definedName>
    <definedName name="_________________inv2">#REF!</definedName>
    <definedName name="_________________la29" hidden="1">#REF!</definedName>
    <definedName name="_________________la3" hidden="1">#REF!</definedName>
    <definedName name="_________________la31" hidden="1">#REF!</definedName>
    <definedName name="_________________la32" hidden="1">#REF!</definedName>
    <definedName name="_________________la4" hidden="1">#REF!</definedName>
    <definedName name="_________________la5" hidden="1">#REF!</definedName>
    <definedName name="_________________la6" hidden="1">#REF!</definedName>
    <definedName name="_________________la7" hidden="1">#REF!</definedName>
    <definedName name="_________________la8" hidden="1">#REF!</definedName>
    <definedName name="_________________la9" hidden="1">#REF!</definedName>
    <definedName name="_________________lb1" hidden="1">#REF!</definedName>
    <definedName name="_________________lb10" hidden="1">#REF!</definedName>
    <definedName name="_________________lb11" hidden="1">#REF!</definedName>
    <definedName name="_________________lb12" hidden="1">#REF!</definedName>
    <definedName name="_________________lb13" hidden="1">#REF!</definedName>
    <definedName name="_________________lb14" hidden="1">#REF!</definedName>
    <definedName name="_________________lb15" hidden="1">#REF!</definedName>
    <definedName name="_________________lb16" hidden="1">#REF!</definedName>
    <definedName name="_________________lb17" hidden="1">#REF!</definedName>
    <definedName name="_________________lb18" hidden="1">#REF!</definedName>
    <definedName name="_________________lb19" hidden="1">#REF!</definedName>
    <definedName name="_________________lb2" hidden="1">#REF!</definedName>
    <definedName name="_________________lb20" hidden="1">#REF!</definedName>
    <definedName name="_________________lb21" hidden="1">#REF!</definedName>
    <definedName name="_________________lb22" hidden="1">#REF!</definedName>
    <definedName name="_________________lb23" hidden="1">#REF!</definedName>
    <definedName name="_________________lb24" hidden="1">#REF!</definedName>
    <definedName name="_________________lb25" hidden="1">#REF!</definedName>
    <definedName name="_________________lb27" hidden="1">#REF!</definedName>
    <definedName name="_________________lb28" hidden="1">#REF!</definedName>
    <definedName name="_________________lb29" hidden="1">#REF!</definedName>
    <definedName name="_________________lb3" hidden="1">#REF!</definedName>
    <definedName name="_________________lb30" hidden="1">#REF!</definedName>
    <definedName name="_________________lb31" hidden="1">#REF!</definedName>
    <definedName name="_________________lb32" hidden="1">#REF!</definedName>
    <definedName name="_________________lb4" hidden="1">#REF!</definedName>
    <definedName name="_________________lb5" hidden="1">#REF!</definedName>
    <definedName name="_________________lb6" hidden="1">#REF!</definedName>
    <definedName name="_________________lb7" hidden="1">#REF!</definedName>
    <definedName name="_________________lb8" hidden="1">#REF!</definedName>
    <definedName name="_________________lb9" hidden="1">#REF!</definedName>
    <definedName name="_________________lbc1" hidden="1">#REF!</definedName>
    <definedName name="_________________lbc10" hidden="1">#REF!</definedName>
    <definedName name="_________________lbc11" hidden="1">#REF!</definedName>
    <definedName name="_________________lbc12" hidden="1">#REF!</definedName>
    <definedName name="_________________lbc13" hidden="1">#REF!</definedName>
    <definedName name="_________________lbc14" hidden="1">#REF!</definedName>
    <definedName name="_________________lbc15" hidden="1">#REF!</definedName>
    <definedName name="_________________lbc16" hidden="1">#REF!</definedName>
    <definedName name="_________________lbc17" hidden="1">#REF!</definedName>
    <definedName name="_________________lbc18" hidden="1">#REF!</definedName>
    <definedName name="_________________lbc19" hidden="1">#REF!</definedName>
    <definedName name="_________________lbc2" hidden="1">#REF!</definedName>
    <definedName name="_________________lbc20" hidden="1">#REF!</definedName>
    <definedName name="_________________lbc21" hidden="1">#REF!</definedName>
    <definedName name="_________________lbc22" hidden="1">#REF!</definedName>
    <definedName name="_________________lbc23" hidden="1">#REF!</definedName>
    <definedName name="_________________lbc24" hidden="1">#REF!</definedName>
    <definedName name="_________________lbc25" hidden="1">#REF!</definedName>
    <definedName name="_________________lbc26" hidden="1">#REF!</definedName>
    <definedName name="_________________lbc27" hidden="1">#REF!</definedName>
    <definedName name="_________________lbc28" hidden="1">#REF!</definedName>
    <definedName name="_________________lbc29" hidden="1">#REF!</definedName>
    <definedName name="_________________lbc3" hidden="1">#REF!</definedName>
    <definedName name="_________________lbc31" hidden="1">#REF!</definedName>
    <definedName name="_________________lbc32" hidden="1">#REF!</definedName>
    <definedName name="_________________lbc4" hidden="1">#REF!</definedName>
    <definedName name="_________________lbc5" hidden="1">#REF!</definedName>
    <definedName name="_________________lbc6" hidden="1">#REF!</definedName>
    <definedName name="_________________lbc7" hidden="1">#REF!</definedName>
    <definedName name="_________________lbc8" hidden="1">#REF!</definedName>
    <definedName name="_________________lbc9" hidden="1">#REF!</definedName>
    <definedName name="_________________ld26" hidden="1">#REF!</definedName>
    <definedName name="_________________ld31" hidden="1">#REF!</definedName>
    <definedName name="_________________le31" hidden="1">#REF!</definedName>
    <definedName name="_________________lf31" hidden="1">#REF!</definedName>
    <definedName name="_________________x10" hidden="1">#REF!</definedName>
    <definedName name="_________________x11" hidden="1">#REF!</definedName>
    <definedName name="_________________x12" hidden="1">#REF!</definedName>
    <definedName name="_________________x13" hidden="1">#REF!</definedName>
    <definedName name="_________________x14" hidden="1">#REF!</definedName>
    <definedName name="_________________x15" hidden="1">#REF!</definedName>
    <definedName name="_________________x16" hidden="1">#REF!</definedName>
    <definedName name="_________________x17" hidden="1">#REF!</definedName>
    <definedName name="_________________x18" hidden="1">#REF!</definedName>
    <definedName name="_________________x19" hidden="1">#REF!</definedName>
    <definedName name="_________________x20" hidden="1">#REF!</definedName>
    <definedName name="_________________x21" hidden="1">#REF!</definedName>
    <definedName name="_________________x22" hidden="1">#REF!</definedName>
    <definedName name="_________________x23" hidden="1">#REF!</definedName>
    <definedName name="_________________x24" hidden="1">#REF!</definedName>
    <definedName name="_________________x25" hidden="1">#REF!</definedName>
    <definedName name="_________________x28" hidden="1">#REF!</definedName>
    <definedName name="_________________x29" hidden="1">#REF!</definedName>
    <definedName name="_________________x32" hidden="1">#REF!</definedName>
    <definedName name="_________________x4" hidden="1">#REF!</definedName>
    <definedName name="_________________x5" hidden="1">#REF!</definedName>
    <definedName name="_________________x6" hidden="1">#REF!</definedName>
    <definedName name="_________________x7" hidden="1">#REF!</definedName>
    <definedName name="_________________x8" hidden="1">#REF!</definedName>
    <definedName name="_________________x9" hidden="1">#REF!</definedName>
    <definedName name="________________INV12">#REF!</definedName>
    <definedName name="________________INV13">#REF!</definedName>
    <definedName name="________________inv2" localSheetId="1">#REF!</definedName>
    <definedName name="________________inv2" localSheetId="2">#REF!</definedName>
    <definedName name="________________inv2">#REF!</definedName>
    <definedName name="________________la29" hidden="1">#REF!</definedName>
    <definedName name="________________la3" hidden="1">#REF!</definedName>
    <definedName name="________________la31" hidden="1">#REF!</definedName>
    <definedName name="________________la32" hidden="1">#REF!</definedName>
    <definedName name="________________la4" hidden="1">#REF!</definedName>
    <definedName name="________________la5" hidden="1">#REF!</definedName>
    <definedName name="________________la6" hidden="1">#REF!</definedName>
    <definedName name="________________la7" hidden="1">#REF!</definedName>
    <definedName name="________________la8" hidden="1">#REF!</definedName>
    <definedName name="________________la9" hidden="1">#REF!</definedName>
    <definedName name="________________lb1" hidden="1">#REF!</definedName>
    <definedName name="________________lb10" hidden="1">#REF!</definedName>
    <definedName name="________________lb11" hidden="1">#REF!</definedName>
    <definedName name="________________lb12" hidden="1">#REF!</definedName>
    <definedName name="________________lb13" hidden="1">#REF!</definedName>
    <definedName name="________________lb14" hidden="1">#REF!</definedName>
    <definedName name="________________lb15" hidden="1">#REF!</definedName>
    <definedName name="________________lb16" hidden="1">#REF!</definedName>
    <definedName name="________________lb17" hidden="1">#REF!</definedName>
    <definedName name="________________lb18" hidden="1">#REF!</definedName>
    <definedName name="________________lb19" hidden="1">#REF!</definedName>
    <definedName name="________________lb2" hidden="1">#REF!</definedName>
    <definedName name="________________lb20" hidden="1">#REF!</definedName>
    <definedName name="________________lb21" hidden="1">#REF!</definedName>
    <definedName name="________________lb22" hidden="1">#REF!</definedName>
    <definedName name="________________lb23" hidden="1">#REF!</definedName>
    <definedName name="________________lb24" hidden="1">#REF!</definedName>
    <definedName name="________________lb25" hidden="1">#REF!</definedName>
    <definedName name="________________lb27" hidden="1">#REF!</definedName>
    <definedName name="________________lb28" hidden="1">#REF!</definedName>
    <definedName name="________________lb29" hidden="1">#REF!</definedName>
    <definedName name="________________lb3" hidden="1">#REF!</definedName>
    <definedName name="________________lb30" hidden="1">#REF!</definedName>
    <definedName name="________________lb31" hidden="1">#REF!</definedName>
    <definedName name="________________lb32" hidden="1">#REF!</definedName>
    <definedName name="________________lb4" hidden="1">#REF!</definedName>
    <definedName name="________________lb5" hidden="1">#REF!</definedName>
    <definedName name="________________lb6" hidden="1">#REF!</definedName>
    <definedName name="________________lb7" hidden="1">#REF!</definedName>
    <definedName name="________________lb8" hidden="1">#REF!</definedName>
    <definedName name="________________lb9" hidden="1">#REF!</definedName>
    <definedName name="________________lbc1" hidden="1">#REF!</definedName>
    <definedName name="________________lbc10" hidden="1">#REF!</definedName>
    <definedName name="________________lbc11" hidden="1">#REF!</definedName>
    <definedName name="________________lbc12" hidden="1">#REF!</definedName>
    <definedName name="________________lbc13" hidden="1">#REF!</definedName>
    <definedName name="________________lbc14" hidden="1">#REF!</definedName>
    <definedName name="________________lbc15" hidden="1">#REF!</definedName>
    <definedName name="________________lbc16" hidden="1">#REF!</definedName>
    <definedName name="________________lbc17" hidden="1">#REF!</definedName>
    <definedName name="________________lbc18" hidden="1">#REF!</definedName>
    <definedName name="________________lbc19" hidden="1">#REF!</definedName>
    <definedName name="________________lbc2" hidden="1">#REF!</definedName>
    <definedName name="________________lbc20" hidden="1">#REF!</definedName>
    <definedName name="________________lbc21" hidden="1">#REF!</definedName>
    <definedName name="________________lbc22" hidden="1">#REF!</definedName>
    <definedName name="________________lbc23" hidden="1">#REF!</definedName>
    <definedName name="________________lbc24" hidden="1">#REF!</definedName>
    <definedName name="________________lbc25" hidden="1">#REF!</definedName>
    <definedName name="________________lbc26" hidden="1">#REF!</definedName>
    <definedName name="________________lbc27" hidden="1">#REF!</definedName>
    <definedName name="________________lbc28" hidden="1">#REF!</definedName>
    <definedName name="________________lbc29" hidden="1">#REF!</definedName>
    <definedName name="________________lbc3" hidden="1">#REF!</definedName>
    <definedName name="________________lbc31" hidden="1">#REF!</definedName>
    <definedName name="________________lbc32" hidden="1">#REF!</definedName>
    <definedName name="________________lbc4" hidden="1">#REF!</definedName>
    <definedName name="________________lbc5" hidden="1">#REF!</definedName>
    <definedName name="________________lbc6" hidden="1">#REF!</definedName>
    <definedName name="________________lbc7" hidden="1">#REF!</definedName>
    <definedName name="________________lbc8" hidden="1">#REF!</definedName>
    <definedName name="________________lbc9" hidden="1">#REF!</definedName>
    <definedName name="________________ld26" hidden="1">#REF!</definedName>
    <definedName name="________________ld31" hidden="1">#REF!</definedName>
    <definedName name="________________le31" hidden="1">#REF!</definedName>
    <definedName name="________________lf31" hidden="1">#REF!</definedName>
    <definedName name="________________x10" hidden="1">#REF!</definedName>
    <definedName name="________________x11" hidden="1">#REF!</definedName>
    <definedName name="________________x12" hidden="1">#REF!</definedName>
    <definedName name="________________x13" hidden="1">#REF!</definedName>
    <definedName name="________________x14" hidden="1">#REF!</definedName>
    <definedName name="________________x15" hidden="1">#REF!</definedName>
    <definedName name="________________x16" hidden="1">#REF!</definedName>
    <definedName name="________________x17" hidden="1">#REF!</definedName>
    <definedName name="________________x18" hidden="1">#REF!</definedName>
    <definedName name="________________x19" hidden="1">#REF!</definedName>
    <definedName name="________________x20" hidden="1">#REF!</definedName>
    <definedName name="________________x21" hidden="1">#REF!</definedName>
    <definedName name="________________x22" hidden="1">#REF!</definedName>
    <definedName name="________________x23" hidden="1">#REF!</definedName>
    <definedName name="________________x24" hidden="1">#REF!</definedName>
    <definedName name="________________x25" hidden="1">#REF!</definedName>
    <definedName name="________________x28" hidden="1">#REF!</definedName>
    <definedName name="________________x29" hidden="1">#REF!</definedName>
    <definedName name="________________x32" hidden="1">#REF!</definedName>
    <definedName name="________________x4" hidden="1">#REF!</definedName>
    <definedName name="________________x5" hidden="1">#REF!</definedName>
    <definedName name="________________x6" hidden="1">#REF!</definedName>
    <definedName name="________________x7" hidden="1">#REF!</definedName>
    <definedName name="________________x8" hidden="1">#REF!</definedName>
    <definedName name="________________x9" hidden="1">#REF!</definedName>
    <definedName name="_______________INV12">#REF!</definedName>
    <definedName name="_______________INV13">#REF!</definedName>
    <definedName name="_______________inv2" localSheetId="1">#REF!</definedName>
    <definedName name="_______________inv2" localSheetId="2">#REF!</definedName>
    <definedName name="_______________inv2">#REF!</definedName>
    <definedName name="_______________la29" hidden="1">#REF!</definedName>
    <definedName name="_______________la3" hidden="1">#REF!</definedName>
    <definedName name="_______________la31" hidden="1">#REF!</definedName>
    <definedName name="_______________la32" hidden="1">#REF!</definedName>
    <definedName name="_______________la4" hidden="1">#REF!</definedName>
    <definedName name="_______________la5" hidden="1">#REF!</definedName>
    <definedName name="_______________la6" hidden="1">#REF!</definedName>
    <definedName name="_______________la7" hidden="1">#REF!</definedName>
    <definedName name="_______________la8" hidden="1">#REF!</definedName>
    <definedName name="_______________la9" hidden="1">#REF!</definedName>
    <definedName name="_______________lb1" hidden="1">#REF!</definedName>
    <definedName name="_______________lb10" hidden="1">#REF!</definedName>
    <definedName name="_______________lb11" hidden="1">#REF!</definedName>
    <definedName name="_______________lb12" hidden="1">#REF!</definedName>
    <definedName name="_______________lb13" hidden="1">#REF!</definedName>
    <definedName name="_______________lb14" hidden="1">#REF!</definedName>
    <definedName name="_______________lb15" hidden="1">#REF!</definedName>
    <definedName name="_______________lb16" hidden="1">#REF!</definedName>
    <definedName name="_______________lb17" hidden="1">#REF!</definedName>
    <definedName name="_______________lb18" hidden="1">#REF!</definedName>
    <definedName name="_______________lb19" hidden="1">#REF!</definedName>
    <definedName name="_______________lb2" hidden="1">#REF!</definedName>
    <definedName name="_______________lb20" hidden="1">#REF!</definedName>
    <definedName name="_______________lb21" hidden="1">#REF!</definedName>
    <definedName name="_______________lb22" hidden="1">#REF!</definedName>
    <definedName name="_______________lb23" hidden="1">#REF!</definedName>
    <definedName name="_______________lb24" hidden="1">#REF!</definedName>
    <definedName name="_______________lb25" hidden="1">#REF!</definedName>
    <definedName name="_______________lb27" hidden="1">#REF!</definedName>
    <definedName name="_______________lb28" hidden="1">#REF!</definedName>
    <definedName name="_______________lb29" hidden="1">#REF!</definedName>
    <definedName name="_______________lb3" hidden="1">#REF!</definedName>
    <definedName name="_______________lb30" hidden="1">#REF!</definedName>
    <definedName name="_______________lb31" hidden="1">#REF!</definedName>
    <definedName name="_______________lb32" hidden="1">#REF!</definedName>
    <definedName name="_______________lb4" hidden="1">#REF!</definedName>
    <definedName name="_______________lb5" hidden="1">#REF!</definedName>
    <definedName name="_______________lb6" hidden="1">#REF!</definedName>
    <definedName name="_______________lb7" hidden="1">#REF!</definedName>
    <definedName name="_______________lb8" hidden="1">#REF!</definedName>
    <definedName name="_______________lb9" hidden="1">#REF!</definedName>
    <definedName name="_______________lbc1" hidden="1">#REF!</definedName>
    <definedName name="_______________lbc10" hidden="1">#REF!</definedName>
    <definedName name="_______________lbc11" hidden="1">#REF!</definedName>
    <definedName name="_______________lbc12" hidden="1">#REF!</definedName>
    <definedName name="_______________lbc13" hidden="1">#REF!</definedName>
    <definedName name="_______________lbc14" hidden="1">#REF!</definedName>
    <definedName name="_______________lbc15" hidden="1">#REF!</definedName>
    <definedName name="_______________lbc16" hidden="1">#REF!</definedName>
    <definedName name="_______________lbc17" hidden="1">#REF!</definedName>
    <definedName name="_______________lbc18" hidden="1">#REF!</definedName>
    <definedName name="_______________lbc19" hidden="1">#REF!</definedName>
    <definedName name="_______________lbc2" hidden="1">#REF!</definedName>
    <definedName name="_______________lbc20" hidden="1">#REF!</definedName>
    <definedName name="_______________lbc21" hidden="1">#REF!</definedName>
    <definedName name="_______________lbc22" hidden="1">#REF!</definedName>
    <definedName name="_______________lbc23" hidden="1">#REF!</definedName>
    <definedName name="_______________lbc24" hidden="1">#REF!</definedName>
    <definedName name="_______________lbc25" hidden="1">#REF!</definedName>
    <definedName name="_______________lbc26" hidden="1">#REF!</definedName>
    <definedName name="_______________lbc27" hidden="1">#REF!</definedName>
    <definedName name="_______________lbc28" hidden="1">#REF!</definedName>
    <definedName name="_______________lbc29" hidden="1">#REF!</definedName>
    <definedName name="_______________lbc3" hidden="1">#REF!</definedName>
    <definedName name="_______________lbc31" hidden="1">#REF!</definedName>
    <definedName name="_______________lbc32" hidden="1">#REF!</definedName>
    <definedName name="_______________lbc4" hidden="1">#REF!</definedName>
    <definedName name="_______________lbc5" hidden="1">#REF!</definedName>
    <definedName name="_______________lbc6" hidden="1">#REF!</definedName>
    <definedName name="_______________lbc7" hidden="1">#REF!</definedName>
    <definedName name="_______________lbc8" hidden="1">#REF!</definedName>
    <definedName name="_______________lbc9" hidden="1">#REF!</definedName>
    <definedName name="_______________ld26" hidden="1">#REF!</definedName>
    <definedName name="_______________ld31" hidden="1">#REF!</definedName>
    <definedName name="_______________le31" hidden="1">#REF!</definedName>
    <definedName name="_______________lf31" hidden="1">#REF!</definedName>
    <definedName name="_______________x10" hidden="1">#REF!</definedName>
    <definedName name="_______________x11" hidden="1">#REF!</definedName>
    <definedName name="_______________x12" hidden="1">#REF!</definedName>
    <definedName name="_______________x13" hidden="1">#REF!</definedName>
    <definedName name="_______________x14" hidden="1">#REF!</definedName>
    <definedName name="_______________x15" hidden="1">#REF!</definedName>
    <definedName name="_______________x16" hidden="1">#REF!</definedName>
    <definedName name="_______________x17" hidden="1">#REF!</definedName>
    <definedName name="_______________x18" hidden="1">#REF!</definedName>
    <definedName name="_______________x19" hidden="1">#REF!</definedName>
    <definedName name="_______________x20" hidden="1">#REF!</definedName>
    <definedName name="_______________x21" hidden="1">#REF!</definedName>
    <definedName name="_______________x22" hidden="1">#REF!</definedName>
    <definedName name="_______________x23" hidden="1">#REF!</definedName>
    <definedName name="_______________x24" hidden="1">#REF!</definedName>
    <definedName name="_______________x25" hidden="1">#REF!</definedName>
    <definedName name="_______________x28" hidden="1">#REF!</definedName>
    <definedName name="_______________x29" hidden="1">#REF!</definedName>
    <definedName name="_______________x32" hidden="1">#REF!</definedName>
    <definedName name="_______________x4" hidden="1">#REF!</definedName>
    <definedName name="_______________x5" hidden="1">#REF!</definedName>
    <definedName name="_______________x6" hidden="1">#REF!</definedName>
    <definedName name="_______________x7" hidden="1">#REF!</definedName>
    <definedName name="_______________x8" hidden="1">#REF!</definedName>
    <definedName name="_______________x9" hidden="1">#REF!</definedName>
    <definedName name="______________INV12">#REF!</definedName>
    <definedName name="______________INV13">#REF!</definedName>
    <definedName name="______________inv2" localSheetId="1">#REF!</definedName>
    <definedName name="______________inv2" localSheetId="2">#REF!</definedName>
    <definedName name="______________inv2">#REF!</definedName>
    <definedName name="______________la29" hidden="1">#REF!</definedName>
    <definedName name="______________la3" hidden="1">#REF!</definedName>
    <definedName name="______________la31" hidden="1">#REF!</definedName>
    <definedName name="______________la32" hidden="1">#REF!</definedName>
    <definedName name="______________la4" hidden="1">#REF!</definedName>
    <definedName name="______________la5" hidden="1">#REF!</definedName>
    <definedName name="______________la6" hidden="1">#REF!</definedName>
    <definedName name="______________la7" hidden="1">#REF!</definedName>
    <definedName name="______________la8" hidden="1">#REF!</definedName>
    <definedName name="______________la9" hidden="1">#REF!</definedName>
    <definedName name="______________lb1" hidden="1">#REF!</definedName>
    <definedName name="______________lb10" hidden="1">#REF!</definedName>
    <definedName name="______________lb11" hidden="1">#REF!</definedName>
    <definedName name="______________lb12" hidden="1">#REF!</definedName>
    <definedName name="______________lb13" hidden="1">#REF!</definedName>
    <definedName name="______________lb14" hidden="1">#REF!</definedName>
    <definedName name="______________lb15" hidden="1">#REF!</definedName>
    <definedName name="______________lb16" hidden="1">#REF!</definedName>
    <definedName name="______________lb17" hidden="1">#REF!</definedName>
    <definedName name="______________lb18" hidden="1">#REF!</definedName>
    <definedName name="______________lb19" hidden="1">#REF!</definedName>
    <definedName name="______________lb2" hidden="1">#REF!</definedName>
    <definedName name="______________lb20" hidden="1">#REF!</definedName>
    <definedName name="______________lb21" hidden="1">#REF!</definedName>
    <definedName name="______________lb22" hidden="1">#REF!</definedName>
    <definedName name="______________lb23" hidden="1">#REF!</definedName>
    <definedName name="______________lb24" hidden="1">#REF!</definedName>
    <definedName name="______________lb25" hidden="1">#REF!</definedName>
    <definedName name="______________lb27" hidden="1">#REF!</definedName>
    <definedName name="______________lb28" hidden="1">#REF!</definedName>
    <definedName name="______________lb29" hidden="1">#REF!</definedName>
    <definedName name="______________lb3" hidden="1">#REF!</definedName>
    <definedName name="______________lb30" hidden="1">#REF!</definedName>
    <definedName name="______________lb31" hidden="1">#REF!</definedName>
    <definedName name="______________lb32" hidden="1">#REF!</definedName>
    <definedName name="______________lb4" hidden="1">#REF!</definedName>
    <definedName name="______________lb5" hidden="1">#REF!</definedName>
    <definedName name="______________lb6" hidden="1">#REF!</definedName>
    <definedName name="______________lb7" hidden="1">#REF!</definedName>
    <definedName name="______________lb8" hidden="1">#REF!</definedName>
    <definedName name="______________lb9" hidden="1">#REF!</definedName>
    <definedName name="______________lbc1" hidden="1">#REF!</definedName>
    <definedName name="______________lbc10" hidden="1">#REF!</definedName>
    <definedName name="______________lbc11" hidden="1">#REF!</definedName>
    <definedName name="______________lbc12" hidden="1">#REF!</definedName>
    <definedName name="______________lbc13" hidden="1">#REF!</definedName>
    <definedName name="______________lbc14" hidden="1">#REF!</definedName>
    <definedName name="______________lbc15" hidden="1">#REF!</definedName>
    <definedName name="______________lbc16" hidden="1">#REF!</definedName>
    <definedName name="______________lbc17" hidden="1">#REF!</definedName>
    <definedName name="______________lbc18" hidden="1">#REF!</definedName>
    <definedName name="______________lbc19" hidden="1">#REF!</definedName>
    <definedName name="______________lbc2" hidden="1">#REF!</definedName>
    <definedName name="______________lbc20" hidden="1">#REF!</definedName>
    <definedName name="______________lbc21" hidden="1">#REF!</definedName>
    <definedName name="______________lbc22" hidden="1">#REF!</definedName>
    <definedName name="______________lbc23" hidden="1">#REF!</definedName>
    <definedName name="______________lbc24" hidden="1">#REF!</definedName>
    <definedName name="______________lbc25" hidden="1">#REF!</definedName>
    <definedName name="______________lbc26" hidden="1">#REF!</definedName>
    <definedName name="______________lbc27" hidden="1">#REF!</definedName>
    <definedName name="______________lbc28" hidden="1">#REF!</definedName>
    <definedName name="______________lbc29" hidden="1">#REF!</definedName>
    <definedName name="______________lbc3" hidden="1">#REF!</definedName>
    <definedName name="______________lbc31" hidden="1">#REF!</definedName>
    <definedName name="______________lbc32" hidden="1">#REF!</definedName>
    <definedName name="______________lbc4" hidden="1">#REF!</definedName>
    <definedName name="______________lbc5" hidden="1">#REF!</definedName>
    <definedName name="______________lbc6" hidden="1">#REF!</definedName>
    <definedName name="______________lbc7" hidden="1">#REF!</definedName>
    <definedName name="______________lbc8" hidden="1">#REF!</definedName>
    <definedName name="______________lbc9" hidden="1">#REF!</definedName>
    <definedName name="______________ld26" hidden="1">#REF!</definedName>
    <definedName name="______________ld31" hidden="1">#REF!</definedName>
    <definedName name="______________le31" hidden="1">#REF!</definedName>
    <definedName name="______________lf31" hidden="1">#REF!</definedName>
    <definedName name="______________x10" hidden="1">#REF!</definedName>
    <definedName name="______________x11" hidden="1">#REF!</definedName>
    <definedName name="______________x12" hidden="1">#REF!</definedName>
    <definedName name="______________x13" hidden="1">#REF!</definedName>
    <definedName name="______________x14" hidden="1">#REF!</definedName>
    <definedName name="______________x15" hidden="1">#REF!</definedName>
    <definedName name="______________x16" hidden="1">#REF!</definedName>
    <definedName name="______________x17" hidden="1">#REF!</definedName>
    <definedName name="______________x18" hidden="1">#REF!</definedName>
    <definedName name="______________x19" hidden="1">#REF!</definedName>
    <definedName name="______________x20" hidden="1">#REF!</definedName>
    <definedName name="______________x21" hidden="1">#REF!</definedName>
    <definedName name="______________x22" hidden="1">#REF!</definedName>
    <definedName name="______________x23" hidden="1">#REF!</definedName>
    <definedName name="______________x24" hidden="1">#REF!</definedName>
    <definedName name="______________x25" hidden="1">#REF!</definedName>
    <definedName name="______________x28" hidden="1">#REF!</definedName>
    <definedName name="______________x29" hidden="1">#REF!</definedName>
    <definedName name="______________x32" hidden="1">#REF!</definedName>
    <definedName name="______________x4" hidden="1">#REF!</definedName>
    <definedName name="______________x5" hidden="1">#REF!</definedName>
    <definedName name="______________x6" hidden="1">#REF!</definedName>
    <definedName name="______________x7" hidden="1">#REF!</definedName>
    <definedName name="______________x8" hidden="1">#REF!</definedName>
    <definedName name="______________x9" hidden="1">#REF!</definedName>
    <definedName name="_____________INV12">#REF!</definedName>
    <definedName name="_____________INV13">#REF!</definedName>
    <definedName name="_____________inv2" localSheetId="1">#REF!</definedName>
    <definedName name="_____________inv2" localSheetId="2">#REF!</definedName>
    <definedName name="_____________inv2">#REF!</definedName>
    <definedName name="_____________la29" hidden="1">#REF!</definedName>
    <definedName name="_____________la3" hidden="1">#REF!</definedName>
    <definedName name="_____________la31" hidden="1">#REF!</definedName>
    <definedName name="_____________la32" hidden="1">#REF!</definedName>
    <definedName name="_____________la4" hidden="1">#REF!</definedName>
    <definedName name="_____________la5" hidden="1">#REF!</definedName>
    <definedName name="_____________la6" hidden="1">#REF!</definedName>
    <definedName name="_____________la7" hidden="1">#REF!</definedName>
    <definedName name="_____________la8" hidden="1">#REF!</definedName>
    <definedName name="_____________la9" hidden="1">#REF!</definedName>
    <definedName name="_____________lb1" hidden="1">#REF!</definedName>
    <definedName name="_____________lb10" hidden="1">#REF!</definedName>
    <definedName name="_____________lb11" hidden="1">#REF!</definedName>
    <definedName name="_____________lb12" hidden="1">#REF!</definedName>
    <definedName name="_____________lb13" hidden="1">#REF!</definedName>
    <definedName name="_____________lb14" hidden="1">#REF!</definedName>
    <definedName name="_____________lb15" hidden="1">#REF!</definedName>
    <definedName name="_____________lb16" hidden="1">#REF!</definedName>
    <definedName name="_____________lb17" hidden="1">#REF!</definedName>
    <definedName name="_____________lb18" hidden="1">#REF!</definedName>
    <definedName name="_____________lb19" hidden="1">#REF!</definedName>
    <definedName name="_____________lb2" hidden="1">#REF!</definedName>
    <definedName name="_____________lb20" hidden="1">#REF!</definedName>
    <definedName name="_____________lb21" hidden="1">#REF!</definedName>
    <definedName name="_____________lb22" hidden="1">#REF!</definedName>
    <definedName name="_____________lb23" hidden="1">#REF!</definedName>
    <definedName name="_____________lb24" hidden="1">#REF!</definedName>
    <definedName name="_____________lb25" hidden="1">#REF!</definedName>
    <definedName name="_____________lb27" hidden="1">#REF!</definedName>
    <definedName name="_____________lb28" hidden="1">#REF!</definedName>
    <definedName name="_____________lb29" hidden="1">#REF!</definedName>
    <definedName name="_____________lb3" hidden="1">#REF!</definedName>
    <definedName name="_____________lb30" hidden="1">#REF!</definedName>
    <definedName name="_____________lb31" hidden="1">#REF!</definedName>
    <definedName name="_____________lb32" hidden="1">#REF!</definedName>
    <definedName name="_____________lb4" hidden="1">#REF!</definedName>
    <definedName name="_____________lb5" hidden="1">#REF!</definedName>
    <definedName name="_____________lb6" hidden="1">#REF!</definedName>
    <definedName name="_____________lb7" hidden="1">#REF!</definedName>
    <definedName name="_____________lb8" hidden="1">#REF!</definedName>
    <definedName name="_____________lb9" hidden="1">#REF!</definedName>
    <definedName name="_____________lbc1" hidden="1">#REF!</definedName>
    <definedName name="_____________lbc10" hidden="1">#REF!</definedName>
    <definedName name="_____________lbc11" hidden="1">#REF!</definedName>
    <definedName name="_____________lbc12" hidden="1">#REF!</definedName>
    <definedName name="_____________lbc13" hidden="1">#REF!</definedName>
    <definedName name="_____________lbc14" hidden="1">#REF!</definedName>
    <definedName name="_____________lbc15" hidden="1">#REF!</definedName>
    <definedName name="_____________lbc16" hidden="1">#REF!</definedName>
    <definedName name="_____________lbc17" hidden="1">#REF!</definedName>
    <definedName name="_____________lbc18" hidden="1">#REF!</definedName>
    <definedName name="_____________lbc19" hidden="1">#REF!</definedName>
    <definedName name="_____________lbc2" hidden="1">#REF!</definedName>
    <definedName name="_____________lbc20" hidden="1">#REF!</definedName>
    <definedName name="_____________lbc21" hidden="1">#REF!</definedName>
    <definedName name="_____________lbc22" hidden="1">#REF!</definedName>
    <definedName name="_____________lbc23" hidden="1">#REF!</definedName>
    <definedName name="_____________lbc24" hidden="1">#REF!</definedName>
    <definedName name="_____________lbc25" hidden="1">#REF!</definedName>
    <definedName name="_____________lbc26" hidden="1">#REF!</definedName>
    <definedName name="_____________lbc27" hidden="1">#REF!</definedName>
    <definedName name="_____________lbc28" hidden="1">#REF!</definedName>
    <definedName name="_____________lbc29" hidden="1">#REF!</definedName>
    <definedName name="_____________lbc3" hidden="1">#REF!</definedName>
    <definedName name="_____________lbc31" hidden="1">#REF!</definedName>
    <definedName name="_____________lbc32" hidden="1">#REF!</definedName>
    <definedName name="_____________lbc4" hidden="1">#REF!</definedName>
    <definedName name="_____________lbc5" hidden="1">#REF!</definedName>
    <definedName name="_____________lbc6" hidden="1">#REF!</definedName>
    <definedName name="_____________lbc7" hidden="1">#REF!</definedName>
    <definedName name="_____________lbc8" hidden="1">#REF!</definedName>
    <definedName name="_____________lbc9" hidden="1">#REF!</definedName>
    <definedName name="_____________ld26" hidden="1">#REF!</definedName>
    <definedName name="_____________ld31" hidden="1">#REF!</definedName>
    <definedName name="_____________le31" hidden="1">#REF!</definedName>
    <definedName name="_____________lf31" hidden="1">#REF!</definedName>
    <definedName name="_____________x10" hidden="1">#REF!</definedName>
    <definedName name="_____________x11" hidden="1">#REF!</definedName>
    <definedName name="_____________x12" hidden="1">#REF!</definedName>
    <definedName name="_____________x13" hidden="1">#REF!</definedName>
    <definedName name="_____________x14" hidden="1">#REF!</definedName>
    <definedName name="_____________x15" hidden="1">#REF!</definedName>
    <definedName name="_____________x16" hidden="1">#REF!</definedName>
    <definedName name="_____________x17" hidden="1">#REF!</definedName>
    <definedName name="_____________x18" hidden="1">#REF!</definedName>
    <definedName name="_____________x19" hidden="1">#REF!</definedName>
    <definedName name="_____________x20" hidden="1">#REF!</definedName>
    <definedName name="_____________x21" hidden="1">#REF!</definedName>
    <definedName name="_____________x22" hidden="1">#REF!</definedName>
    <definedName name="_____________x23" hidden="1">#REF!</definedName>
    <definedName name="_____________x24" hidden="1">#REF!</definedName>
    <definedName name="_____________x25" hidden="1">#REF!</definedName>
    <definedName name="_____________x28" hidden="1">#REF!</definedName>
    <definedName name="_____________x29" hidden="1">#REF!</definedName>
    <definedName name="_____________x32" hidden="1">#REF!</definedName>
    <definedName name="_____________x4" hidden="1">#REF!</definedName>
    <definedName name="_____________x5" hidden="1">#REF!</definedName>
    <definedName name="_____________x6" hidden="1">#REF!</definedName>
    <definedName name="_____________x7" hidden="1">#REF!</definedName>
    <definedName name="_____________x8" hidden="1">#REF!</definedName>
    <definedName name="_____________x9" hidden="1">#REF!</definedName>
    <definedName name="____________INV12">#REF!</definedName>
    <definedName name="____________INV13">#REF!</definedName>
    <definedName name="____________inv2" localSheetId="1">#REF!</definedName>
    <definedName name="____________inv2" localSheetId="2">#REF!</definedName>
    <definedName name="____________inv2">#REF!</definedName>
    <definedName name="____________la29" hidden="1">#REF!</definedName>
    <definedName name="____________la3" hidden="1">#REF!</definedName>
    <definedName name="____________la31" hidden="1">#REF!</definedName>
    <definedName name="____________la32" hidden="1">#REF!</definedName>
    <definedName name="____________la4" hidden="1">#REF!</definedName>
    <definedName name="____________la5" hidden="1">#REF!</definedName>
    <definedName name="____________la6" hidden="1">#REF!</definedName>
    <definedName name="____________la7" hidden="1">#REF!</definedName>
    <definedName name="____________la8" hidden="1">#REF!</definedName>
    <definedName name="____________la9" hidden="1">#REF!</definedName>
    <definedName name="____________lb1" hidden="1">#REF!</definedName>
    <definedName name="____________lb10" hidden="1">#REF!</definedName>
    <definedName name="____________lb11" hidden="1">#REF!</definedName>
    <definedName name="____________lb12" hidden="1">#REF!</definedName>
    <definedName name="____________lb13" hidden="1">#REF!</definedName>
    <definedName name="____________lb14" hidden="1">#REF!</definedName>
    <definedName name="____________lb15" hidden="1">#REF!</definedName>
    <definedName name="____________lb16" hidden="1">#REF!</definedName>
    <definedName name="____________lb17" hidden="1">#REF!</definedName>
    <definedName name="____________lb18" hidden="1">#REF!</definedName>
    <definedName name="____________lb19" hidden="1">#REF!</definedName>
    <definedName name="____________lb2" hidden="1">#REF!</definedName>
    <definedName name="____________lb20" hidden="1">#REF!</definedName>
    <definedName name="____________lb21" hidden="1">#REF!</definedName>
    <definedName name="____________lb22" hidden="1">#REF!</definedName>
    <definedName name="____________lb23" hidden="1">#REF!</definedName>
    <definedName name="____________lb24" hidden="1">#REF!</definedName>
    <definedName name="____________lb25" hidden="1">#REF!</definedName>
    <definedName name="____________lb27" hidden="1">#REF!</definedName>
    <definedName name="____________lb28" hidden="1">#REF!</definedName>
    <definedName name="____________lb29" hidden="1">#REF!</definedName>
    <definedName name="____________lb3" hidden="1">#REF!</definedName>
    <definedName name="____________lb30" hidden="1">#REF!</definedName>
    <definedName name="____________lb31" hidden="1">#REF!</definedName>
    <definedName name="____________lb32" hidden="1">#REF!</definedName>
    <definedName name="____________lb4" hidden="1">#REF!</definedName>
    <definedName name="____________lb5" hidden="1">#REF!</definedName>
    <definedName name="____________lb6" hidden="1">#REF!</definedName>
    <definedName name="____________lb7" hidden="1">#REF!</definedName>
    <definedName name="____________lb8" hidden="1">#REF!</definedName>
    <definedName name="____________lb9" hidden="1">#REF!</definedName>
    <definedName name="____________lbc1" hidden="1">#REF!</definedName>
    <definedName name="____________lbc10" hidden="1">#REF!</definedName>
    <definedName name="____________lbc11" hidden="1">#REF!</definedName>
    <definedName name="____________lbc12" hidden="1">#REF!</definedName>
    <definedName name="____________lbc13" hidden="1">#REF!</definedName>
    <definedName name="____________lbc14" hidden="1">#REF!</definedName>
    <definedName name="____________lbc15" hidden="1">#REF!</definedName>
    <definedName name="____________lbc16" hidden="1">#REF!</definedName>
    <definedName name="____________lbc17" hidden="1">#REF!</definedName>
    <definedName name="____________lbc18" hidden="1">#REF!</definedName>
    <definedName name="____________lbc19" hidden="1">#REF!</definedName>
    <definedName name="____________lbc2" hidden="1">#REF!</definedName>
    <definedName name="____________lbc20" hidden="1">#REF!</definedName>
    <definedName name="____________lbc21" hidden="1">#REF!</definedName>
    <definedName name="____________lbc22" hidden="1">#REF!</definedName>
    <definedName name="____________lbc23" hidden="1">#REF!</definedName>
    <definedName name="____________lbc24" hidden="1">#REF!</definedName>
    <definedName name="____________lbc25" hidden="1">#REF!</definedName>
    <definedName name="____________lbc26" hidden="1">#REF!</definedName>
    <definedName name="____________lbc27" hidden="1">#REF!</definedName>
    <definedName name="____________lbc28" hidden="1">#REF!</definedName>
    <definedName name="____________lbc29" hidden="1">#REF!</definedName>
    <definedName name="____________lbc3" hidden="1">#REF!</definedName>
    <definedName name="____________lbc31" hidden="1">#REF!</definedName>
    <definedName name="____________lbc32" hidden="1">#REF!</definedName>
    <definedName name="____________lbc4" hidden="1">#REF!</definedName>
    <definedName name="____________lbc5" hidden="1">#REF!</definedName>
    <definedName name="____________lbc6" hidden="1">#REF!</definedName>
    <definedName name="____________lbc7" hidden="1">#REF!</definedName>
    <definedName name="____________lbc8" hidden="1">#REF!</definedName>
    <definedName name="____________lbc9" hidden="1">#REF!</definedName>
    <definedName name="____________ld26" hidden="1">#REF!</definedName>
    <definedName name="____________ld31" hidden="1">#REF!</definedName>
    <definedName name="____________le31" hidden="1">#REF!</definedName>
    <definedName name="____________lf31" hidden="1">#REF!</definedName>
    <definedName name="____________x10" hidden="1">#REF!</definedName>
    <definedName name="____________x11" hidden="1">#REF!</definedName>
    <definedName name="____________x12" hidden="1">#REF!</definedName>
    <definedName name="____________x13" hidden="1">#REF!</definedName>
    <definedName name="____________x14" hidden="1">#REF!</definedName>
    <definedName name="____________x15" hidden="1">#REF!</definedName>
    <definedName name="____________x16" hidden="1">#REF!</definedName>
    <definedName name="____________x17" hidden="1">#REF!</definedName>
    <definedName name="____________x18" hidden="1">#REF!</definedName>
    <definedName name="____________x19" hidden="1">#REF!</definedName>
    <definedName name="____________x20" hidden="1">#REF!</definedName>
    <definedName name="____________x21" hidden="1">#REF!</definedName>
    <definedName name="____________x22" hidden="1">#REF!</definedName>
    <definedName name="____________x23" hidden="1">#REF!</definedName>
    <definedName name="____________x24" hidden="1">#REF!</definedName>
    <definedName name="____________x25" hidden="1">#REF!</definedName>
    <definedName name="____________x28" hidden="1">#REF!</definedName>
    <definedName name="____________x29" hidden="1">#REF!</definedName>
    <definedName name="____________x32" hidden="1">#REF!</definedName>
    <definedName name="____________x4" hidden="1">#REF!</definedName>
    <definedName name="____________x5" hidden="1">#REF!</definedName>
    <definedName name="____________x6" hidden="1">#REF!</definedName>
    <definedName name="____________x7" hidden="1">#REF!</definedName>
    <definedName name="____________x8" hidden="1">#REF!</definedName>
    <definedName name="____________x9" hidden="1">#REF!</definedName>
    <definedName name="___________INV12">#REF!</definedName>
    <definedName name="___________INV13">#REF!</definedName>
    <definedName name="___________inv2" localSheetId="1">#REF!</definedName>
    <definedName name="___________inv2" localSheetId="2">#REF!</definedName>
    <definedName name="___________inv2">#REF!</definedName>
    <definedName name="___________la29" hidden="1">#REF!</definedName>
    <definedName name="___________la3" hidden="1">#REF!</definedName>
    <definedName name="___________la31" hidden="1">#REF!</definedName>
    <definedName name="___________la32" hidden="1">#REF!</definedName>
    <definedName name="___________la4" hidden="1">#REF!</definedName>
    <definedName name="___________la5" hidden="1">#REF!</definedName>
    <definedName name="___________la6" hidden="1">#REF!</definedName>
    <definedName name="___________la7" hidden="1">#REF!</definedName>
    <definedName name="___________la8" hidden="1">#REF!</definedName>
    <definedName name="___________la9" hidden="1">#REF!</definedName>
    <definedName name="___________lb1" hidden="1">#REF!</definedName>
    <definedName name="___________lb10" hidden="1">#REF!</definedName>
    <definedName name="___________lb11" hidden="1">#REF!</definedName>
    <definedName name="___________lb12" hidden="1">#REF!</definedName>
    <definedName name="___________lb13" hidden="1">#REF!</definedName>
    <definedName name="___________lb14" hidden="1">#REF!</definedName>
    <definedName name="___________lb15" hidden="1">#REF!</definedName>
    <definedName name="___________lb16" hidden="1">#REF!</definedName>
    <definedName name="___________lb17" hidden="1">#REF!</definedName>
    <definedName name="___________lb18" hidden="1">#REF!</definedName>
    <definedName name="___________lb19" hidden="1">#REF!</definedName>
    <definedName name="___________lb2" hidden="1">#REF!</definedName>
    <definedName name="___________lb20" hidden="1">#REF!</definedName>
    <definedName name="___________lb21" hidden="1">#REF!</definedName>
    <definedName name="___________lb22" hidden="1">#REF!</definedName>
    <definedName name="___________lb23" hidden="1">#REF!</definedName>
    <definedName name="___________lb24" hidden="1">#REF!</definedName>
    <definedName name="___________lb25" hidden="1">#REF!</definedName>
    <definedName name="___________lb27" hidden="1">#REF!</definedName>
    <definedName name="___________lb28" hidden="1">#REF!</definedName>
    <definedName name="___________lb29" hidden="1">#REF!</definedName>
    <definedName name="___________lb3" hidden="1">#REF!</definedName>
    <definedName name="___________lb30" hidden="1">#REF!</definedName>
    <definedName name="___________lb31" hidden="1">#REF!</definedName>
    <definedName name="___________lb32" hidden="1">#REF!</definedName>
    <definedName name="___________lb4" hidden="1">#REF!</definedName>
    <definedName name="___________lb5" hidden="1">#REF!</definedName>
    <definedName name="___________lb6" hidden="1">#REF!</definedName>
    <definedName name="___________lb7" hidden="1">#REF!</definedName>
    <definedName name="___________lb8" hidden="1">#REF!</definedName>
    <definedName name="___________lb9" hidden="1">#REF!</definedName>
    <definedName name="___________lbc1" hidden="1">#REF!</definedName>
    <definedName name="___________lbc10" hidden="1">#REF!</definedName>
    <definedName name="___________lbc11" hidden="1">#REF!</definedName>
    <definedName name="___________lbc12" hidden="1">#REF!</definedName>
    <definedName name="___________lbc13" hidden="1">#REF!</definedName>
    <definedName name="___________lbc14" hidden="1">#REF!</definedName>
    <definedName name="___________lbc15" hidden="1">#REF!</definedName>
    <definedName name="___________lbc16" hidden="1">#REF!</definedName>
    <definedName name="___________lbc17" hidden="1">#REF!</definedName>
    <definedName name="___________lbc18" hidden="1">#REF!</definedName>
    <definedName name="___________lbc19" hidden="1">#REF!</definedName>
    <definedName name="___________lbc2" hidden="1">#REF!</definedName>
    <definedName name="___________lbc20" hidden="1">#REF!</definedName>
    <definedName name="___________lbc21" hidden="1">#REF!</definedName>
    <definedName name="___________lbc22" hidden="1">#REF!</definedName>
    <definedName name="___________lbc23" hidden="1">#REF!</definedName>
    <definedName name="___________lbc24" hidden="1">#REF!</definedName>
    <definedName name="___________lbc25" hidden="1">#REF!</definedName>
    <definedName name="___________lbc26" hidden="1">#REF!</definedName>
    <definedName name="___________lbc27" hidden="1">#REF!</definedName>
    <definedName name="___________lbc28" hidden="1">#REF!</definedName>
    <definedName name="___________lbc29" hidden="1">#REF!</definedName>
    <definedName name="___________lbc3" hidden="1">#REF!</definedName>
    <definedName name="___________lbc31" hidden="1">#REF!</definedName>
    <definedName name="___________lbc32" hidden="1">#REF!</definedName>
    <definedName name="___________lbc4" hidden="1">#REF!</definedName>
    <definedName name="___________lbc5" hidden="1">#REF!</definedName>
    <definedName name="___________lbc6" hidden="1">#REF!</definedName>
    <definedName name="___________lbc7" hidden="1">#REF!</definedName>
    <definedName name="___________lbc8" hidden="1">#REF!</definedName>
    <definedName name="___________lbc9" hidden="1">#REF!</definedName>
    <definedName name="___________ld26" hidden="1">#REF!</definedName>
    <definedName name="___________ld31" hidden="1">#REF!</definedName>
    <definedName name="___________le31" hidden="1">#REF!</definedName>
    <definedName name="___________lf31" hidden="1">#REF!</definedName>
    <definedName name="___________x10" hidden="1">#REF!</definedName>
    <definedName name="___________x11" hidden="1">#REF!</definedName>
    <definedName name="___________x12" hidden="1">#REF!</definedName>
    <definedName name="___________x13" hidden="1">#REF!</definedName>
    <definedName name="___________x14" hidden="1">#REF!</definedName>
    <definedName name="___________x15" hidden="1">#REF!</definedName>
    <definedName name="___________x16" hidden="1">#REF!</definedName>
    <definedName name="___________x17" hidden="1">#REF!</definedName>
    <definedName name="___________x18" hidden="1">#REF!</definedName>
    <definedName name="___________x19" hidden="1">#REF!</definedName>
    <definedName name="___________x20" hidden="1">#REF!</definedName>
    <definedName name="___________x21" hidden="1">#REF!</definedName>
    <definedName name="___________x22" hidden="1">#REF!</definedName>
    <definedName name="___________x23" hidden="1">#REF!</definedName>
    <definedName name="___________x24" hidden="1">#REF!</definedName>
    <definedName name="___________x25" hidden="1">#REF!</definedName>
    <definedName name="___________x28" hidden="1">#REF!</definedName>
    <definedName name="___________x29" hidden="1">#REF!</definedName>
    <definedName name="___________x32" hidden="1">#REF!</definedName>
    <definedName name="___________x4" hidden="1">#REF!</definedName>
    <definedName name="___________x5" hidden="1">#REF!</definedName>
    <definedName name="___________x6" hidden="1">#REF!</definedName>
    <definedName name="___________x7" hidden="1">#REF!</definedName>
    <definedName name="___________x8" hidden="1">#REF!</definedName>
    <definedName name="___________x9" hidden="1">#REF!</definedName>
    <definedName name="__________INV12">#REF!</definedName>
    <definedName name="__________INV13">#REF!</definedName>
    <definedName name="__________inv2" localSheetId="1">#REF!</definedName>
    <definedName name="__________inv2" localSheetId="2">#REF!</definedName>
    <definedName name="__________inv2">#REF!</definedName>
    <definedName name="__________la29" hidden="1">#REF!</definedName>
    <definedName name="__________la3" hidden="1">#REF!</definedName>
    <definedName name="__________la31" hidden="1">#REF!</definedName>
    <definedName name="__________la32" hidden="1">#REF!</definedName>
    <definedName name="__________la4" hidden="1">#REF!</definedName>
    <definedName name="__________la5" hidden="1">#REF!</definedName>
    <definedName name="__________la6" hidden="1">#REF!</definedName>
    <definedName name="__________la7" hidden="1">#REF!</definedName>
    <definedName name="__________la8" hidden="1">#REF!</definedName>
    <definedName name="__________la9" hidden="1">#REF!</definedName>
    <definedName name="__________lb1" hidden="1">#REF!</definedName>
    <definedName name="__________lb10" hidden="1">#REF!</definedName>
    <definedName name="__________lb11" hidden="1">#REF!</definedName>
    <definedName name="__________lb12" hidden="1">#REF!</definedName>
    <definedName name="__________lb13" hidden="1">#REF!</definedName>
    <definedName name="__________lb14" hidden="1">#REF!</definedName>
    <definedName name="__________lb15" hidden="1">#REF!</definedName>
    <definedName name="__________lb16" hidden="1">#REF!</definedName>
    <definedName name="__________lb17" hidden="1">#REF!</definedName>
    <definedName name="__________lb18" hidden="1">#REF!</definedName>
    <definedName name="__________lb19" hidden="1">#REF!</definedName>
    <definedName name="__________lb2" hidden="1">#REF!</definedName>
    <definedName name="__________lb20" hidden="1">#REF!</definedName>
    <definedName name="__________lb21" hidden="1">#REF!</definedName>
    <definedName name="__________lb22" hidden="1">#REF!</definedName>
    <definedName name="__________lb23" hidden="1">#REF!</definedName>
    <definedName name="__________lb24" hidden="1">#REF!</definedName>
    <definedName name="__________lb25" hidden="1">#REF!</definedName>
    <definedName name="__________lb27" hidden="1">#REF!</definedName>
    <definedName name="__________lb28" hidden="1">#REF!</definedName>
    <definedName name="__________lb29" hidden="1">#REF!</definedName>
    <definedName name="__________lb3" hidden="1">#REF!</definedName>
    <definedName name="__________lb30" hidden="1">#REF!</definedName>
    <definedName name="__________lb31" hidden="1">#REF!</definedName>
    <definedName name="__________lb32" hidden="1">#REF!</definedName>
    <definedName name="__________lb4" hidden="1">#REF!</definedName>
    <definedName name="__________lb5" hidden="1">#REF!</definedName>
    <definedName name="__________lb6" hidden="1">#REF!</definedName>
    <definedName name="__________lb7" hidden="1">#REF!</definedName>
    <definedName name="__________lb8" hidden="1">#REF!</definedName>
    <definedName name="__________lb9" hidden="1">#REF!</definedName>
    <definedName name="__________lbc1" hidden="1">#REF!</definedName>
    <definedName name="__________lbc10" hidden="1">#REF!</definedName>
    <definedName name="__________lbc11" hidden="1">#REF!</definedName>
    <definedName name="__________lbc12" hidden="1">#REF!</definedName>
    <definedName name="__________lbc13" hidden="1">#REF!</definedName>
    <definedName name="__________lbc14" hidden="1">#REF!</definedName>
    <definedName name="__________lbc15" hidden="1">#REF!</definedName>
    <definedName name="__________lbc16" hidden="1">#REF!</definedName>
    <definedName name="__________lbc17" hidden="1">#REF!</definedName>
    <definedName name="__________lbc18" hidden="1">#REF!</definedName>
    <definedName name="__________lbc19" hidden="1">#REF!</definedName>
    <definedName name="__________lbc2" hidden="1">#REF!</definedName>
    <definedName name="__________lbc20" hidden="1">#REF!</definedName>
    <definedName name="__________lbc21" hidden="1">#REF!</definedName>
    <definedName name="__________lbc22" hidden="1">#REF!</definedName>
    <definedName name="__________lbc23" hidden="1">#REF!</definedName>
    <definedName name="__________lbc24" hidden="1">#REF!</definedName>
    <definedName name="__________lbc25" hidden="1">#REF!</definedName>
    <definedName name="__________lbc26" hidden="1">#REF!</definedName>
    <definedName name="__________lbc27" hidden="1">#REF!</definedName>
    <definedName name="__________lbc28" hidden="1">#REF!</definedName>
    <definedName name="__________lbc29" hidden="1">#REF!</definedName>
    <definedName name="__________lbc3" hidden="1">#REF!</definedName>
    <definedName name="__________lbc31" hidden="1">#REF!</definedName>
    <definedName name="__________lbc32" hidden="1">#REF!</definedName>
    <definedName name="__________lbc4" hidden="1">#REF!</definedName>
    <definedName name="__________lbc5" hidden="1">#REF!</definedName>
    <definedName name="__________lbc6" hidden="1">#REF!</definedName>
    <definedName name="__________lbc7" hidden="1">#REF!</definedName>
    <definedName name="__________lbc8" hidden="1">#REF!</definedName>
    <definedName name="__________lbc9" hidden="1">#REF!</definedName>
    <definedName name="__________ld26" hidden="1">#REF!</definedName>
    <definedName name="__________ld31" hidden="1">#REF!</definedName>
    <definedName name="__________le31" hidden="1">#REF!</definedName>
    <definedName name="__________lf31" hidden="1">#REF!</definedName>
    <definedName name="__________x10" hidden="1">#REF!</definedName>
    <definedName name="__________x11" hidden="1">#REF!</definedName>
    <definedName name="__________x12" hidden="1">#REF!</definedName>
    <definedName name="__________x13" hidden="1">#REF!</definedName>
    <definedName name="__________x14" hidden="1">#REF!</definedName>
    <definedName name="__________x15" hidden="1">#REF!</definedName>
    <definedName name="__________x16" hidden="1">#REF!</definedName>
    <definedName name="__________x17" hidden="1">#REF!</definedName>
    <definedName name="__________x18" hidden="1">#REF!</definedName>
    <definedName name="__________x19" hidden="1">#REF!</definedName>
    <definedName name="__________x20" hidden="1">#REF!</definedName>
    <definedName name="__________x21" hidden="1">#REF!</definedName>
    <definedName name="__________x22" hidden="1">#REF!</definedName>
    <definedName name="__________x23" hidden="1">#REF!</definedName>
    <definedName name="__________x24" hidden="1">#REF!</definedName>
    <definedName name="__________x25" hidden="1">#REF!</definedName>
    <definedName name="__________x28" hidden="1">#REF!</definedName>
    <definedName name="__________x29" hidden="1">#REF!</definedName>
    <definedName name="__________x32" hidden="1">#REF!</definedName>
    <definedName name="__________x4" hidden="1">#REF!</definedName>
    <definedName name="__________x5" hidden="1">#REF!</definedName>
    <definedName name="__________x6" hidden="1">#REF!</definedName>
    <definedName name="__________x7" hidden="1">#REF!</definedName>
    <definedName name="__________x8" hidden="1">#REF!</definedName>
    <definedName name="__________x9" hidden="1">#REF!</definedName>
    <definedName name="_________INV12">#REF!</definedName>
    <definedName name="_________INV13">#REF!</definedName>
    <definedName name="_________inv2" localSheetId="1">#REF!</definedName>
    <definedName name="_________inv2" localSheetId="2">#REF!</definedName>
    <definedName name="_________inv2">#REF!</definedName>
    <definedName name="_________la29" hidden="1">#REF!</definedName>
    <definedName name="_________la3" hidden="1">#REF!</definedName>
    <definedName name="_________la31" hidden="1">#REF!</definedName>
    <definedName name="_________la32" hidden="1">#REF!</definedName>
    <definedName name="_________la4" hidden="1">#REF!</definedName>
    <definedName name="_________la5" hidden="1">#REF!</definedName>
    <definedName name="_________la6" hidden="1">#REF!</definedName>
    <definedName name="_________la7" hidden="1">#REF!</definedName>
    <definedName name="_________la8" hidden="1">#REF!</definedName>
    <definedName name="_________la9" hidden="1">#REF!</definedName>
    <definedName name="_________lb1" hidden="1">#REF!</definedName>
    <definedName name="_________lb10" hidden="1">#REF!</definedName>
    <definedName name="_________lb11" hidden="1">#REF!</definedName>
    <definedName name="_________lb12" hidden="1">#REF!</definedName>
    <definedName name="_________lb13" hidden="1">#REF!</definedName>
    <definedName name="_________lb14" hidden="1">#REF!</definedName>
    <definedName name="_________lb15" hidden="1">#REF!</definedName>
    <definedName name="_________lb16" hidden="1">#REF!</definedName>
    <definedName name="_________lb17" hidden="1">#REF!</definedName>
    <definedName name="_________lb18" hidden="1">#REF!</definedName>
    <definedName name="_________lb19" hidden="1">#REF!</definedName>
    <definedName name="_________lb2" hidden="1">#REF!</definedName>
    <definedName name="_________lb20" hidden="1">#REF!</definedName>
    <definedName name="_________lb21" hidden="1">#REF!</definedName>
    <definedName name="_________lb22" hidden="1">#REF!</definedName>
    <definedName name="_________lb23" hidden="1">#REF!</definedName>
    <definedName name="_________lb24" hidden="1">#REF!</definedName>
    <definedName name="_________lb25" hidden="1">#REF!</definedName>
    <definedName name="_________lb27" hidden="1">#REF!</definedName>
    <definedName name="_________lb28" hidden="1">#REF!</definedName>
    <definedName name="_________lb29" hidden="1">#REF!</definedName>
    <definedName name="_________lb3" hidden="1">#REF!</definedName>
    <definedName name="_________lb30" hidden="1">#REF!</definedName>
    <definedName name="_________lb31" hidden="1">#REF!</definedName>
    <definedName name="_________lb32" hidden="1">#REF!</definedName>
    <definedName name="_________lb4" hidden="1">#REF!</definedName>
    <definedName name="_________lb5" hidden="1">#REF!</definedName>
    <definedName name="_________lb6" hidden="1">#REF!</definedName>
    <definedName name="_________lb7" hidden="1">#REF!</definedName>
    <definedName name="_________lb8" hidden="1">#REF!</definedName>
    <definedName name="_________lb9" hidden="1">#REF!</definedName>
    <definedName name="_________lbc1" hidden="1">#REF!</definedName>
    <definedName name="_________lbc10" hidden="1">#REF!</definedName>
    <definedName name="_________lbc11" hidden="1">#REF!</definedName>
    <definedName name="_________lbc12" hidden="1">#REF!</definedName>
    <definedName name="_________lbc13" hidden="1">#REF!</definedName>
    <definedName name="_________lbc14" hidden="1">#REF!</definedName>
    <definedName name="_________lbc15" hidden="1">#REF!</definedName>
    <definedName name="_________lbc16" hidden="1">#REF!</definedName>
    <definedName name="_________lbc17" hidden="1">#REF!</definedName>
    <definedName name="_________lbc18" hidden="1">#REF!</definedName>
    <definedName name="_________lbc19" hidden="1">#REF!</definedName>
    <definedName name="_________lbc2" hidden="1">#REF!</definedName>
    <definedName name="_________lbc20" hidden="1">#REF!</definedName>
    <definedName name="_________lbc21" hidden="1">#REF!</definedName>
    <definedName name="_________lbc22" hidden="1">#REF!</definedName>
    <definedName name="_________lbc23" hidden="1">#REF!</definedName>
    <definedName name="_________lbc24" hidden="1">#REF!</definedName>
    <definedName name="_________lbc25" hidden="1">#REF!</definedName>
    <definedName name="_________lbc26" hidden="1">#REF!</definedName>
    <definedName name="_________lbc27" hidden="1">#REF!</definedName>
    <definedName name="_________lbc28" hidden="1">#REF!</definedName>
    <definedName name="_________lbc29" hidden="1">#REF!</definedName>
    <definedName name="_________lbc3" hidden="1">#REF!</definedName>
    <definedName name="_________lbc31" hidden="1">#REF!</definedName>
    <definedName name="_________lbc32" hidden="1">#REF!</definedName>
    <definedName name="_________lbc4" hidden="1">#REF!</definedName>
    <definedName name="_________lbc5" hidden="1">#REF!</definedName>
    <definedName name="_________lbc6" hidden="1">#REF!</definedName>
    <definedName name="_________lbc7" hidden="1">#REF!</definedName>
    <definedName name="_________lbc8" hidden="1">#REF!</definedName>
    <definedName name="_________lbc9" hidden="1">#REF!</definedName>
    <definedName name="_________ld26" hidden="1">#REF!</definedName>
    <definedName name="_________ld31" hidden="1">#REF!</definedName>
    <definedName name="_________le31" hidden="1">#REF!</definedName>
    <definedName name="_________lf31" hidden="1">#REF!</definedName>
    <definedName name="_________x10" hidden="1">#REF!</definedName>
    <definedName name="_________x11" hidden="1">#REF!</definedName>
    <definedName name="_________x12" hidden="1">#REF!</definedName>
    <definedName name="_________x13" hidden="1">#REF!</definedName>
    <definedName name="_________x14" hidden="1">#REF!</definedName>
    <definedName name="_________x15" hidden="1">#REF!</definedName>
    <definedName name="_________x16" hidden="1">#REF!</definedName>
    <definedName name="_________x17" hidden="1">#REF!</definedName>
    <definedName name="_________x18" hidden="1">#REF!</definedName>
    <definedName name="_________x19" hidden="1">#REF!</definedName>
    <definedName name="_________x20" hidden="1">#REF!</definedName>
    <definedName name="_________x21" hidden="1">#REF!</definedName>
    <definedName name="_________x22" hidden="1">#REF!</definedName>
    <definedName name="_________x23" hidden="1">#REF!</definedName>
    <definedName name="_________x24" hidden="1">#REF!</definedName>
    <definedName name="_________x25" hidden="1">#REF!</definedName>
    <definedName name="_________x28" hidden="1">#REF!</definedName>
    <definedName name="_________x29" hidden="1">#REF!</definedName>
    <definedName name="_________x32" hidden="1">#REF!</definedName>
    <definedName name="_________x4" hidden="1">#REF!</definedName>
    <definedName name="_________x5" hidden="1">#REF!</definedName>
    <definedName name="_________x6" hidden="1">#REF!</definedName>
    <definedName name="_________x7" hidden="1">#REF!</definedName>
    <definedName name="_________x8" hidden="1">#REF!</definedName>
    <definedName name="_________x9" hidden="1">#REF!</definedName>
    <definedName name="________INV12">#REF!</definedName>
    <definedName name="________INV13">#REF!</definedName>
    <definedName name="________inv2" localSheetId="1">#REF!</definedName>
    <definedName name="________inv2" localSheetId="2">#REF!</definedName>
    <definedName name="________inv2">#REF!</definedName>
    <definedName name="________la29" hidden="1">#REF!</definedName>
    <definedName name="________la3" hidden="1">#REF!</definedName>
    <definedName name="________la31" hidden="1">#REF!</definedName>
    <definedName name="________la32" hidden="1">#REF!</definedName>
    <definedName name="________la4" hidden="1">#REF!</definedName>
    <definedName name="________la5" hidden="1">#REF!</definedName>
    <definedName name="________la6" hidden="1">#REF!</definedName>
    <definedName name="________la7" hidden="1">#REF!</definedName>
    <definedName name="________la8" hidden="1">#REF!</definedName>
    <definedName name="________la9" hidden="1">#REF!</definedName>
    <definedName name="________lb1" hidden="1">#REF!</definedName>
    <definedName name="________lb10" hidden="1">#REF!</definedName>
    <definedName name="________lb11" hidden="1">#REF!</definedName>
    <definedName name="________lb12" hidden="1">#REF!</definedName>
    <definedName name="________lb13" hidden="1">#REF!</definedName>
    <definedName name="________lb14" hidden="1">#REF!</definedName>
    <definedName name="________lb15" hidden="1">#REF!</definedName>
    <definedName name="________lb16" hidden="1">#REF!</definedName>
    <definedName name="________lb17" hidden="1">#REF!</definedName>
    <definedName name="________lb18" hidden="1">#REF!</definedName>
    <definedName name="________lb19" hidden="1">#REF!</definedName>
    <definedName name="________lb2" hidden="1">#REF!</definedName>
    <definedName name="________lb20" hidden="1">#REF!</definedName>
    <definedName name="________lb21" hidden="1">#REF!</definedName>
    <definedName name="________lb22" hidden="1">#REF!</definedName>
    <definedName name="________lb23" hidden="1">#REF!</definedName>
    <definedName name="________lb24" hidden="1">#REF!</definedName>
    <definedName name="________lb25" hidden="1">#REF!</definedName>
    <definedName name="________lb27" hidden="1">#REF!</definedName>
    <definedName name="________lb28" hidden="1">#REF!</definedName>
    <definedName name="________lb29" hidden="1">#REF!</definedName>
    <definedName name="________lb3" hidden="1">#REF!</definedName>
    <definedName name="________lb30" hidden="1">#REF!</definedName>
    <definedName name="________lb31" hidden="1">#REF!</definedName>
    <definedName name="________lb32" hidden="1">#REF!</definedName>
    <definedName name="________lb4" hidden="1">#REF!</definedName>
    <definedName name="________lb5" hidden="1">#REF!</definedName>
    <definedName name="________lb6" hidden="1">#REF!</definedName>
    <definedName name="________lb7" hidden="1">#REF!</definedName>
    <definedName name="________lb8" hidden="1">#REF!</definedName>
    <definedName name="________lb9" hidden="1">#REF!</definedName>
    <definedName name="________lbc1" hidden="1">#REF!</definedName>
    <definedName name="________lbc10" hidden="1">#REF!</definedName>
    <definedName name="________lbc11" hidden="1">#REF!</definedName>
    <definedName name="________lbc12" hidden="1">#REF!</definedName>
    <definedName name="________lbc13" hidden="1">#REF!</definedName>
    <definedName name="________lbc14" hidden="1">#REF!</definedName>
    <definedName name="________lbc15" hidden="1">#REF!</definedName>
    <definedName name="________lbc16" hidden="1">#REF!</definedName>
    <definedName name="________lbc17" hidden="1">#REF!</definedName>
    <definedName name="________lbc18" hidden="1">#REF!</definedName>
    <definedName name="________lbc19" hidden="1">#REF!</definedName>
    <definedName name="________lbc2" hidden="1">#REF!</definedName>
    <definedName name="________lbc20" hidden="1">#REF!</definedName>
    <definedName name="________lbc21" hidden="1">#REF!</definedName>
    <definedName name="________lbc22" hidden="1">#REF!</definedName>
    <definedName name="________lbc23" hidden="1">#REF!</definedName>
    <definedName name="________lbc24" hidden="1">#REF!</definedName>
    <definedName name="________lbc25" hidden="1">#REF!</definedName>
    <definedName name="________lbc26" hidden="1">#REF!</definedName>
    <definedName name="________lbc27" hidden="1">#REF!</definedName>
    <definedName name="________lbc28" hidden="1">#REF!</definedName>
    <definedName name="________lbc29" hidden="1">#REF!</definedName>
    <definedName name="________lbc3" hidden="1">#REF!</definedName>
    <definedName name="________lbc31" hidden="1">#REF!</definedName>
    <definedName name="________lbc32" hidden="1">#REF!</definedName>
    <definedName name="________lbc4" hidden="1">#REF!</definedName>
    <definedName name="________lbc5" hidden="1">#REF!</definedName>
    <definedName name="________lbc6" hidden="1">#REF!</definedName>
    <definedName name="________lbc7" hidden="1">#REF!</definedName>
    <definedName name="________lbc8" hidden="1">#REF!</definedName>
    <definedName name="________lbc9" hidden="1">#REF!</definedName>
    <definedName name="________ld26" hidden="1">#REF!</definedName>
    <definedName name="________ld31" hidden="1">#REF!</definedName>
    <definedName name="________le31" hidden="1">#REF!</definedName>
    <definedName name="________lf31" hidden="1">#REF!</definedName>
    <definedName name="________x10" hidden="1">#REF!</definedName>
    <definedName name="________x11" hidden="1">#REF!</definedName>
    <definedName name="________x12" hidden="1">#REF!</definedName>
    <definedName name="________x13" hidden="1">#REF!</definedName>
    <definedName name="________x14" hidden="1">#REF!</definedName>
    <definedName name="________x15" hidden="1">#REF!</definedName>
    <definedName name="________x16" hidden="1">#REF!</definedName>
    <definedName name="________x17" hidden="1">#REF!</definedName>
    <definedName name="________x18" hidden="1">#REF!</definedName>
    <definedName name="________x19" hidden="1">#REF!</definedName>
    <definedName name="________x20" hidden="1">#REF!</definedName>
    <definedName name="________x21" hidden="1">#REF!</definedName>
    <definedName name="________x22" hidden="1">#REF!</definedName>
    <definedName name="________x23" hidden="1">#REF!</definedName>
    <definedName name="________x24" hidden="1">#REF!</definedName>
    <definedName name="________x25" hidden="1">#REF!</definedName>
    <definedName name="________x28" hidden="1">#REF!</definedName>
    <definedName name="________x29" hidden="1">#REF!</definedName>
    <definedName name="________x32" hidden="1">#REF!</definedName>
    <definedName name="________x4" hidden="1">#REF!</definedName>
    <definedName name="________x5" hidden="1">#REF!</definedName>
    <definedName name="________x6" hidden="1">#REF!</definedName>
    <definedName name="________x7" hidden="1">#REF!</definedName>
    <definedName name="________x8" hidden="1">#REF!</definedName>
    <definedName name="________x9" hidden="1">#REF!</definedName>
    <definedName name="_______INV12">#REF!</definedName>
    <definedName name="_______INV13">#REF!</definedName>
    <definedName name="_______inv2" localSheetId="1">#REF!</definedName>
    <definedName name="_______inv2" localSheetId="2">#REF!</definedName>
    <definedName name="_______inv2">#REF!</definedName>
    <definedName name="_______la29" hidden="1">#REF!</definedName>
    <definedName name="_______la3" hidden="1">#REF!</definedName>
    <definedName name="_______la31" hidden="1">#REF!</definedName>
    <definedName name="_______la32" hidden="1">#REF!</definedName>
    <definedName name="_______la4" hidden="1">#REF!</definedName>
    <definedName name="_______la5" hidden="1">#REF!</definedName>
    <definedName name="_______la6" hidden="1">#REF!</definedName>
    <definedName name="_______la7" hidden="1">#REF!</definedName>
    <definedName name="_______la8" hidden="1">#REF!</definedName>
    <definedName name="_______la9" hidden="1">#REF!</definedName>
    <definedName name="_______lb1" hidden="1">#REF!</definedName>
    <definedName name="_______lb10" hidden="1">#REF!</definedName>
    <definedName name="_______lb11" hidden="1">#REF!</definedName>
    <definedName name="_______lb12" hidden="1">#REF!</definedName>
    <definedName name="_______lb13" hidden="1">#REF!</definedName>
    <definedName name="_______lb14" hidden="1">#REF!</definedName>
    <definedName name="_______lb15" hidden="1">#REF!</definedName>
    <definedName name="_______lb16" hidden="1">#REF!</definedName>
    <definedName name="_______lb17" hidden="1">#REF!</definedName>
    <definedName name="_______lb18" hidden="1">#REF!</definedName>
    <definedName name="_______lb19" hidden="1">#REF!</definedName>
    <definedName name="_______lb2" hidden="1">#REF!</definedName>
    <definedName name="_______lb20" hidden="1">#REF!</definedName>
    <definedName name="_______lb21" hidden="1">#REF!</definedName>
    <definedName name="_______lb22" hidden="1">#REF!</definedName>
    <definedName name="_______lb23" hidden="1">#REF!</definedName>
    <definedName name="_______lb24" hidden="1">#REF!</definedName>
    <definedName name="_______lb25" hidden="1">#REF!</definedName>
    <definedName name="_______lb27" hidden="1">#REF!</definedName>
    <definedName name="_______lb28" hidden="1">#REF!</definedName>
    <definedName name="_______lb29" hidden="1">#REF!</definedName>
    <definedName name="_______lb3" hidden="1">#REF!</definedName>
    <definedName name="_______lb30" hidden="1">#REF!</definedName>
    <definedName name="_______lb31" hidden="1">#REF!</definedName>
    <definedName name="_______lb32" hidden="1">#REF!</definedName>
    <definedName name="_______lb4" hidden="1">#REF!</definedName>
    <definedName name="_______lb5" hidden="1">#REF!</definedName>
    <definedName name="_______lb6" hidden="1">#REF!</definedName>
    <definedName name="_______lb7" hidden="1">#REF!</definedName>
    <definedName name="_______lb8" hidden="1">#REF!</definedName>
    <definedName name="_______lb9" hidden="1">#REF!</definedName>
    <definedName name="_______lbc1" hidden="1">#REF!</definedName>
    <definedName name="_______lbc10" hidden="1">#REF!</definedName>
    <definedName name="_______lbc11" hidden="1">#REF!</definedName>
    <definedName name="_______lbc12" hidden="1">#REF!</definedName>
    <definedName name="_______lbc13" hidden="1">#REF!</definedName>
    <definedName name="_______lbc14" hidden="1">#REF!</definedName>
    <definedName name="_______lbc15" hidden="1">#REF!</definedName>
    <definedName name="_______lbc16" hidden="1">#REF!</definedName>
    <definedName name="_______lbc17" hidden="1">#REF!</definedName>
    <definedName name="_______lbc18" hidden="1">#REF!</definedName>
    <definedName name="_______lbc19" hidden="1">#REF!</definedName>
    <definedName name="_______lbc2" hidden="1">#REF!</definedName>
    <definedName name="_______lbc20" hidden="1">#REF!</definedName>
    <definedName name="_______lbc21" hidden="1">#REF!</definedName>
    <definedName name="_______lbc22" hidden="1">#REF!</definedName>
    <definedName name="_______lbc23" hidden="1">#REF!</definedName>
    <definedName name="_______lbc24" hidden="1">#REF!</definedName>
    <definedName name="_______lbc25" hidden="1">#REF!</definedName>
    <definedName name="_______lbc26" hidden="1">#REF!</definedName>
    <definedName name="_______lbc27" hidden="1">#REF!</definedName>
    <definedName name="_______lbc28" hidden="1">#REF!</definedName>
    <definedName name="_______lbc29" hidden="1">#REF!</definedName>
    <definedName name="_______lbc3" hidden="1">#REF!</definedName>
    <definedName name="_______lbc31" hidden="1">#REF!</definedName>
    <definedName name="_______lbc32" hidden="1">#REF!</definedName>
    <definedName name="_______lbc4" hidden="1">#REF!</definedName>
    <definedName name="_______lbc5" hidden="1">#REF!</definedName>
    <definedName name="_______lbc6" hidden="1">#REF!</definedName>
    <definedName name="_______lbc7" hidden="1">#REF!</definedName>
    <definedName name="_______lbc8" hidden="1">#REF!</definedName>
    <definedName name="_______lbc9" hidden="1">#REF!</definedName>
    <definedName name="_______ld26" hidden="1">#REF!</definedName>
    <definedName name="_______ld31" hidden="1">#REF!</definedName>
    <definedName name="_______le31" hidden="1">#REF!</definedName>
    <definedName name="_______lf31" hidden="1">#REF!</definedName>
    <definedName name="_______x10" hidden="1">#REF!</definedName>
    <definedName name="_______x11" hidden="1">#REF!</definedName>
    <definedName name="_______x12" hidden="1">#REF!</definedName>
    <definedName name="_______x13" hidden="1">#REF!</definedName>
    <definedName name="_______x14" hidden="1">#REF!</definedName>
    <definedName name="_______x15" hidden="1">#REF!</definedName>
    <definedName name="_______x16" hidden="1">#REF!</definedName>
    <definedName name="_______x17" hidden="1">#REF!</definedName>
    <definedName name="_______x18" hidden="1">#REF!</definedName>
    <definedName name="_______x19" hidden="1">#REF!</definedName>
    <definedName name="_______x20" hidden="1">#REF!</definedName>
    <definedName name="_______x21" hidden="1">#REF!</definedName>
    <definedName name="_______x22" hidden="1">#REF!</definedName>
    <definedName name="_______x23" hidden="1">#REF!</definedName>
    <definedName name="_______x24" hidden="1">#REF!</definedName>
    <definedName name="_______x25" hidden="1">#REF!</definedName>
    <definedName name="_______x28" hidden="1">#REF!</definedName>
    <definedName name="_______x29" hidden="1">#REF!</definedName>
    <definedName name="_______x32" hidden="1">#REF!</definedName>
    <definedName name="_______x4" hidden="1">#REF!</definedName>
    <definedName name="_______x5" hidden="1">#REF!</definedName>
    <definedName name="_______x6" hidden="1">#REF!</definedName>
    <definedName name="_______x7" hidden="1">#REF!</definedName>
    <definedName name="_______x8" hidden="1">#REF!</definedName>
    <definedName name="_______x9" hidden="1">#REF!</definedName>
    <definedName name="______INV12">#REF!</definedName>
    <definedName name="______INV13">#REF!</definedName>
    <definedName name="______inv2" localSheetId="1">#REF!</definedName>
    <definedName name="______inv2" localSheetId="2">#REF!</definedName>
    <definedName name="______inv2">#REF!</definedName>
    <definedName name="______la29" hidden="1">#REF!</definedName>
    <definedName name="______la3" hidden="1">#REF!</definedName>
    <definedName name="______la31" hidden="1">#REF!</definedName>
    <definedName name="______la32" hidden="1">#REF!</definedName>
    <definedName name="______la4" hidden="1">#REF!</definedName>
    <definedName name="______la5" hidden="1">#REF!</definedName>
    <definedName name="______la6" hidden="1">#REF!</definedName>
    <definedName name="______la7" hidden="1">#REF!</definedName>
    <definedName name="______la8" hidden="1">#REF!</definedName>
    <definedName name="______la9" hidden="1">#REF!</definedName>
    <definedName name="______lb1" hidden="1">#REF!</definedName>
    <definedName name="______lb10" hidden="1">#REF!</definedName>
    <definedName name="______lb11" hidden="1">#REF!</definedName>
    <definedName name="______lb12" hidden="1">#REF!</definedName>
    <definedName name="______lb13" hidden="1">#REF!</definedName>
    <definedName name="______lb14" hidden="1">#REF!</definedName>
    <definedName name="______lb15" hidden="1">#REF!</definedName>
    <definedName name="______lb16" hidden="1">#REF!</definedName>
    <definedName name="______lb17" hidden="1">#REF!</definedName>
    <definedName name="______lb18" hidden="1">#REF!</definedName>
    <definedName name="______lb19" hidden="1">#REF!</definedName>
    <definedName name="______lb2" hidden="1">#REF!</definedName>
    <definedName name="______lb20" hidden="1">#REF!</definedName>
    <definedName name="______lb21" hidden="1">#REF!</definedName>
    <definedName name="______lb22" hidden="1">#REF!</definedName>
    <definedName name="______lb23" hidden="1">#REF!</definedName>
    <definedName name="______lb24" hidden="1">#REF!</definedName>
    <definedName name="______lb25" hidden="1">#REF!</definedName>
    <definedName name="______lb27" hidden="1">#REF!</definedName>
    <definedName name="______lb28" hidden="1">#REF!</definedName>
    <definedName name="______lb29" hidden="1">#REF!</definedName>
    <definedName name="______lb3" hidden="1">#REF!</definedName>
    <definedName name="______lb30" hidden="1">#REF!</definedName>
    <definedName name="______lb31" hidden="1">#REF!</definedName>
    <definedName name="______lb32" hidden="1">#REF!</definedName>
    <definedName name="______lb4" hidden="1">#REF!</definedName>
    <definedName name="______lb5" hidden="1">#REF!</definedName>
    <definedName name="______lb6" hidden="1">#REF!</definedName>
    <definedName name="______lb7" hidden="1">#REF!</definedName>
    <definedName name="______lb8" hidden="1">#REF!</definedName>
    <definedName name="______lb9" hidden="1">#REF!</definedName>
    <definedName name="______lbc1" hidden="1">#REF!</definedName>
    <definedName name="______lbc10" hidden="1">#REF!</definedName>
    <definedName name="______lbc11" hidden="1">#REF!</definedName>
    <definedName name="______lbc12" hidden="1">#REF!</definedName>
    <definedName name="______lbc13" hidden="1">#REF!</definedName>
    <definedName name="______lbc14" hidden="1">#REF!</definedName>
    <definedName name="______lbc15" hidden="1">#REF!</definedName>
    <definedName name="______lbc16" hidden="1">#REF!</definedName>
    <definedName name="______lbc17" hidden="1">#REF!</definedName>
    <definedName name="______lbc18" hidden="1">#REF!</definedName>
    <definedName name="______lbc19" hidden="1">#REF!</definedName>
    <definedName name="______lbc2" hidden="1">#REF!</definedName>
    <definedName name="______lbc20" hidden="1">#REF!</definedName>
    <definedName name="______lbc21" hidden="1">#REF!</definedName>
    <definedName name="______lbc22" hidden="1">#REF!</definedName>
    <definedName name="______lbc23" hidden="1">#REF!</definedName>
    <definedName name="______lbc24" hidden="1">#REF!</definedName>
    <definedName name="______lbc25" hidden="1">#REF!</definedName>
    <definedName name="______lbc26" hidden="1">#REF!</definedName>
    <definedName name="______lbc27" hidden="1">#REF!</definedName>
    <definedName name="______lbc28" hidden="1">#REF!</definedName>
    <definedName name="______lbc29" hidden="1">#REF!</definedName>
    <definedName name="______lbc3" hidden="1">#REF!</definedName>
    <definedName name="______lbc31" hidden="1">#REF!</definedName>
    <definedName name="______lbc32" hidden="1">#REF!</definedName>
    <definedName name="______lbc4" hidden="1">#REF!</definedName>
    <definedName name="______lbc5" hidden="1">#REF!</definedName>
    <definedName name="______lbc6" hidden="1">#REF!</definedName>
    <definedName name="______lbc7" hidden="1">#REF!</definedName>
    <definedName name="______lbc8" hidden="1">#REF!</definedName>
    <definedName name="______lbc9" hidden="1">#REF!</definedName>
    <definedName name="______ld26" hidden="1">#REF!</definedName>
    <definedName name="______ld31" hidden="1">#REF!</definedName>
    <definedName name="______le31" hidden="1">#REF!</definedName>
    <definedName name="______lf31" hidden="1">#REF!</definedName>
    <definedName name="______x10" hidden="1">#REF!</definedName>
    <definedName name="______x11" hidden="1">#REF!</definedName>
    <definedName name="______x12" hidden="1">#REF!</definedName>
    <definedName name="______x13" hidden="1">#REF!</definedName>
    <definedName name="______x14" hidden="1">#REF!</definedName>
    <definedName name="______x15" hidden="1">#REF!</definedName>
    <definedName name="______x16" hidden="1">#REF!</definedName>
    <definedName name="______x17" hidden="1">#REF!</definedName>
    <definedName name="______x18" hidden="1">#REF!</definedName>
    <definedName name="______x19" hidden="1">#REF!</definedName>
    <definedName name="______x20" hidden="1">#REF!</definedName>
    <definedName name="______x21" hidden="1">#REF!</definedName>
    <definedName name="______x22" hidden="1">#REF!</definedName>
    <definedName name="______x23" hidden="1">#REF!</definedName>
    <definedName name="______x24" hidden="1">#REF!</definedName>
    <definedName name="______x25" hidden="1">#REF!</definedName>
    <definedName name="______x28" hidden="1">#REF!</definedName>
    <definedName name="______x29" hidden="1">#REF!</definedName>
    <definedName name="______x32" hidden="1">#REF!</definedName>
    <definedName name="______x4" hidden="1">#REF!</definedName>
    <definedName name="______x5" hidden="1">#REF!</definedName>
    <definedName name="______x6" hidden="1">#REF!</definedName>
    <definedName name="______x7" hidden="1">#REF!</definedName>
    <definedName name="______x8" hidden="1">#REF!</definedName>
    <definedName name="______x9" hidden="1">#REF!</definedName>
    <definedName name="_____INV12">#REF!</definedName>
    <definedName name="_____INV13">#REF!</definedName>
    <definedName name="_____inv2" localSheetId="1">#REF!</definedName>
    <definedName name="_____inv2" localSheetId="2">#REF!</definedName>
    <definedName name="_____inv2">#REF!</definedName>
    <definedName name="_____la29" hidden="1">#REF!</definedName>
    <definedName name="_____la3" hidden="1">#REF!</definedName>
    <definedName name="_____la31" hidden="1">#REF!</definedName>
    <definedName name="_____la32" hidden="1">#REF!</definedName>
    <definedName name="_____la4" hidden="1">#REF!</definedName>
    <definedName name="_____la5" hidden="1">#REF!</definedName>
    <definedName name="_____la6" hidden="1">#REF!</definedName>
    <definedName name="_____la7" hidden="1">#REF!</definedName>
    <definedName name="_____la8" hidden="1">#REF!</definedName>
    <definedName name="_____la9" hidden="1">#REF!</definedName>
    <definedName name="_____lb1" hidden="1">#REF!</definedName>
    <definedName name="_____lb10" hidden="1">#REF!</definedName>
    <definedName name="_____lb11" hidden="1">#REF!</definedName>
    <definedName name="_____lb12" hidden="1">#REF!</definedName>
    <definedName name="_____lb13" hidden="1">#REF!</definedName>
    <definedName name="_____lb14" hidden="1">#REF!</definedName>
    <definedName name="_____lb15" hidden="1">#REF!</definedName>
    <definedName name="_____lb16" hidden="1">#REF!</definedName>
    <definedName name="_____lb17" hidden="1">#REF!</definedName>
    <definedName name="_____lb18" hidden="1">#REF!</definedName>
    <definedName name="_____lb19" hidden="1">#REF!</definedName>
    <definedName name="_____lb2" hidden="1">#REF!</definedName>
    <definedName name="_____lb20" hidden="1">#REF!</definedName>
    <definedName name="_____lb21" hidden="1">#REF!</definedName>
    <definedName name="_____lb22" hidden="1">#REF!</definedName>
    <definedName name="_____lb23" hidden="1">#REF!</definedName>
    <definedName name="_____lb24" hidden="1">#REF!</definedName>
    <definedName name="_____lb25" hidden="1">#REF!</definedName>
    <definedName name="_____lb27" hidden="1">#REF!</definedName>
    <definedName name="_____lb28" hidden="1">#REF!</definedName>
    <definedName name="_____lb29" hidden="1">#REF!</definedName>
    <definedName name="_____lb3" hidden="1">#REF!</definedName>
    <definedName name="_____lb30" hidden="1">#REF!</definedName>
    <definedName name="_____lb31" hidden="1">#REF!</definedName>
    <definedName name="_____lb32" hidden="1">#REF!</definedName>
    <definedName name="_____lb4" hidden="1">#REF!</definedName>
    <definedName name="_____lb5" hidden="1">#REF!</definedName>
    <definedName name="_____lb6" hidden="1">#REF!</definedName>
    <definedName name="_____lb7" hidden="1">#REF!</definedName>
    <definedName name="_____lb8" hidden="1">#REF!</definedName>
    <definedName name="_____lb9" hidden="1">#REF!</definedName>
    <definedName name="_____lbc1" hidden="1">#REF!</definedName>
    <definedName name="_____lbc10" hidden="1">#REF!</definedName>
    <definedName name="_____lbc11" hidden="1">#REF!</definedName>
    <definedName name="_____lbc12" hidden="1">#REF!</definedName>
    <definedName name="_____lbc13" hidden="1">#REF!</definedName>
    <definedName name="_____lbc14" hidden="1">#REF!</definedName>
    <definedName name="_____lbc15" hidden="1">#REF!</definedName>
    <definedName name="_____lbc16" hidden="1">#REF!</definedName>
    <definedName name="_____lbc17" hidden="1">#REF!</definedName>
    <definedName name="_____lbc18" hidden="1">#REF!</definedName>
    <definedName name="_____lbc19" hidden="1">#REF!</definedName>
    <definedName name="_____lbc2" hidden="1">#REF!</definedName>
    <definedName name="_____lbc20" hidden="1">#REF!</definedName>
    <definedName name="_____lbc21" hidden="1">#REF!</definedName>
    <definedName name="_____lbc22" hidden="1">#REF!</definedName>
    <definedName name="_____lbc23" hidden="1">#REF!</definedName>
    <definedName name="_____lbc24" hidden="1">#REF!</definedName>
    <definedName name="_____lbc25" hidden="1">#REF!</definedName>
    <definedName name="_____lbc26" hidden="1">#REF!</definedName>
    <definedName name="_____lbc27" hidden="1">#REF!</definedName>
    <definedName name="_____lbc28" hidden="1">#REF!</definedName>
    <definedName name="_____lbc29" hidden="1">#REF!</definedName>
    <definedName name="_____lbc3" hidden="1">#REF!</definedName>
    <definedName name="_____lbc31" hidden="1">#REF!</definedName>
    <definedName name="_____lbc32" hidden="1">#REF!</definedName>
    <definedName name="_____lbc4" hidden="1">#REF!</definedName>
    <definedName name="_____lbc5" hidden="1">#REF!</definedName>
    <definedName name="_____lbc6" hidden="1">#REF!</definedName>
    <definedName name="_____lbc7" hidden="1">#REF!</definedName>
    <definedName name="_____lbc8" hidden="1">#REF!</definedName>
    <definedName name="_____lbc9" hidden="1">#REF!</definedName>
    <definedName name="_____ld26" hidden="1">#REF!</definedName>
    <definedName name="_____ld31" hidden="1">#REF!</definedName>
    <definedName name="_____le31" hidden="1">#REF!</definedName>
    <definedName name="_____lf31" hidden="1">#REF!</definedName>
    <definedName name="_____x10" hidden="1">#REF!</definedName>
    <definedName name="_____x11" hidden="1">#REF!</definedName>
    <definedName name="_____x12" hidden="1">#REF!</definedName>
    <definedName name="_____x13" hidden="1">#REF!</definedName>
    <definedName name="_____x14" hidden="1">#REF!</definedName>
    <definedName name="_____x15" hidden="1">#REF!</definedName>
    <definedName name="_____x16" hidden="1">#REF!</definedName>
    <definedName name="_____x17" hidden="1">#REF!</definedName>
    <definedName name="_____x18" hidden="1">#REF!</definedName>
    <definedName name="_____x19" hidden="1">#REF!</definedName>
    <definedName name="_____x20" hidden="1">#REF!</definedName>
    <definedName name="_____x21" hidden="1">#REF!</definedName>
    <definedName name="_____x22" hidden="1">#REF!</definedName>
    <definedName name="_____x23" hidden="1">#REF!</definedName>
    <definedName name="_____x24" hidden="1">#REF!</definedName>
    <definedName name="_____x25" hidden="1">#REF!</definedName>
    <definedName name="_____x28" hidden="1">#REF!</definedName>
    <definedName name="_____x29" hidden="1">#REF!</definedName>
    <definedName name="_____x32" hidden="1">#REF!</definedName>
    <definedName name="_____x4" hidden="1">#REF!</definedName>
    <definedName name="_____x5" hidden="1">#REF!</definedName>
    <definedName name="_____x6" hidden="1">#REF!</definedName>
    <definedName name="_____x7" hidden="1">#REF!</definedName>
    <definedName name="_____x8" hidden="1">#REF!</definedName>
    <definedName name="_____x9" hidden="1">#REF!</definedName>
    <definedName name="____INV12">#REF!</definedName>
    <definedName name="____INV13">#REF!</definedName>
    <definedName name="____inv2" localSheetId="1">#REF!</definedName>
    <definedName name="____inv2" localSheetId="2">#REF!</definedName>
    <definedName name="____inv2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INV12">#REF!</definedName>
    <definedName name="___INV13">#REF!</definedName>
    <definedName name="___inv2" localSheetId="1">#REF!</definedName>
    <definedName name="___inv2" localSheetId="2">#REF!</definedName>
    <definedName name="___inv2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R">#REF!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BENZENE" localSheetId="1" hidden="1">#REF!</definedName>
    <definedName name="__123Graph_ABENZENE" localSheetId="2" hidden="1">#REF!</definedName>
    <definedName name="__123Graph_ABENZENE" hidden="1">#REF!</definedName>
    <definedName name="__123Graph_ABUTADIENE" localSheetId="1" hidden="1">#REF!</definedName>
    <definedName name="__123Graph_ABUTADIENE" localSheetId="2" hidden="1">#REF!</definedName>
    <definedName name="__123Graph_ABUTADIENE" hidden="1">#REF!</definedName>
    <definedName name="__123Graph_ACAPRO" localSheetId="1" hidden="1">#REF!</definedName>
    <definedName name="__123Graph_ACAPRO" localSheetId="2" hidden="1">#REF!</definedName>
    <definedName name="__123Graph_ACAPRO" hidden="1">#REF!</definedName>
    <definedName name="__123Graph_AETHYLENE" localSheetId="1" hidden="1">#REF!</definedName>
    <definedName name="__123Graph_AETHYLENE" localSheetId="2" hidden="1">#REF!</definedName>
    <definedName name="__123Graph_AETHYLENE" hidden="1">#REF!</definedName>
    <definedName name="__123Graph_AEVAC" localSheetId="1" hidden="1">#REF!</definedName>
    <definedName name="__123Graph_AEVAC" localSheetId="2" hidden="1">#REF!</definedName>
    <definedName name="__123Graph_AEVAC" hidden="1">#REF!</definedName>
    <definedName name="__123Graph_AHDPE" localSheetId="1" hidden="1">#REF!</definedName>
    <definedName name="__123Graph_AHDPE" localSheetId="2" hidden="1">#REF!</definedName>
    <definedName name="__123Graph_AHDPE" hidden="1">#REF!</definedName>
    <definedName name="__123Graph_ALDPE" localSheetId="1" hidden="1">#REF!</definedName>
    <definedName name="__123Graph_ALDPE" localSheetId="2" hidden="1">#REF!</definedName>
    <definedName name="__123Graph_ALDPE" hidden="1">#REF!</definedName>
    <definedName name="__123Graph_ALLDPE" localSheetId="1" hidden="1">#REF!</definedName>
    <definedName name="__123Graph_ALLDPE" localSheetId="2" hidden="1">#REF!</definedName>
    <definedName name="__123Graph_ALLDPE" hidden="1">#REF!</definedName>
    <definedName name="__123Graph_AMTBE" localSheetId="1" hidden="1">#REF!</definedName>
    <definedName name="__123Graph_AMTBE" localSheetId="2" hidden="1">#REF!</definedName>
    <definedName name="__123Graph_AMTBE" hidden="1">#REF!</definedName>
    <definedName name="__123Graph_ANAPHTHA" localSheetId="1" hidden="1">#REF!</definedName>
    <definedName name="__123Graph_ANAPHTHA" localSheetId="2" hidden="1">#REF!</definedName>
    <definedName name="__123Graph_ANAPHTHA" hidden="1">#REF!</definedName>
    <definedName name="__123Graph_APET" localSheetId="1" hidden="1">#REF!</definedName>
    <definedName name="__123Graph_APET" localSheetId="2" hidden="1">#REF!</definedName>
    <definedName name="__123Graph_APET" hidden="1">#REF!</definedName>
    <definedName name="__123Graph_APP" localSheetId="1" hidden="1">#REF!</definedName>
    <definedName name="__123Graph_APP" localSheetId="2" hidden="1">#REF!</definedName>
    <definedName name="__123Graph_APP" hidden="1">#REF!</definedName>
    <definedName name="__123Graph_APROPYLENE" localSheetId="1" hidden="1">#REF!</definedName>
    <definedName name="__123Graph_APROPYLENE" localSheetId="2" hidden="1">#REF!</definedName>
    <definedName name="__123Graph_APROPYLENE" hidden="1">#REF!</definedName>
    <definedName name="__123Graph_APVC" localSheetId="1" hidden="1">#REF!</definedName>
    <definedName name="__123Graph_APVC" localSheetId="2" hidden="1">#REF!</definedName>
    <definedName name="__123Graph_APVC" hidden="1">#REF!</definedName>
    <definedName name="__123Graph_APX" localSheetId="1" hidden="1">#REF!</definedName>
    <definedName name="__123Graph_APX" localSheetId="2" hidden="1">#REF!</definedName>
    <definedName name="__123Graph_APX" hidden="1">#REF!</definedName>
    <definedName name="__123Graph_ASIDECO" hidden="1">#REF!</definedName>
    <definedName name="__123Graph_ATOL" localSheetId="1" hidden="1">#REF!</definedName>
    <definedName name="__123Graph_ATOL" localSheetId="2" hidden="1">#REF!</definedName>
    <definedName name="__123Graph_ATOL" hidden="1">#REF!</definedName>
    <definedName name="__123Graph_B" localSheetId="1" hidden="1">#REF!</definedName>
    <definedName name="__123Graph_B" localSheetId="2" hidden="1">#REF!</definedName>
    <definedName name="__123Graph_B" hidden="1">#REF!</definedName>
    <definedName name="__123Graph_BBENZENE" localSheetId="1" hidden="1">#REF!</definedName>
    <definedName name="__123Graph_BBENZENE" localSheetId="2" hidden="1">#REF!</definedName>
    <definedName name="__123Graph_BBENZENE" hidden="1">#REF!</definedName>
    <definedName name="__123Graph_BBUTADIENE" localSheetId="1" hidden="1">#REF!</definedName>
    <definedName name="__123Graph_BBUTADIENE" localSheetId="2" hidden="1">#REF!</definedName>
    <definedName name="__123Graph_BBUTADIENE" hidden="1">#REF!</definedName>
    <definedName name="__123Graph_BCAPRO" localSheetId="1" hidden="1">#REF!</definedName>
    <definedName name="__123Graph_BCAPRO" localSheetId="2" hidden="1">#REF!</definedName>
    <definedName name="__123Graph_BCAPRO" hidden="1">#REF!</definedName>
    <definedName name="__123Graph_BETHYLENE" localSheetId="1" hidden="1">#REF!</definedName>
    <definedName name="__123Graph_BETHYLENE" localSheetId="2" hidden="1">#REF!</definedName>
    <definedName name="__123Graph_BETHYLENE" hidden="1">#REF!</definedName>
    <definedName name="__123Graph_BHDPE" localSheetId="1" hidden="1">#REF!</definedName>
    <definedName name="__123Graph_BHDPE" localSheetId="2" hidden="1">#REF!</definedName>
    <definedName name="__123Graph_BHDPE" hidden="1">#REF!</definedName>
    <definedName name="__123Graph_BLDPE" localSheetId="1" hidden="1">#REF!</definedName>
    <definedName name="__123Graph_BLDPE" localSheetId="2" hidden="1">#REF!</definedName>
    <definedName name="__123Graph_BLDPE" hidden="1">#REF!</definedName>
    <definedName name="__123Graph_BLLDPE" localSheetId="1" hidden="1">#REF!</definedName>
    <definedName name="__123Graph_BLLDPE" localSheetId="2" hidden="1">#REF!</definedName>
    <definedName name="__123Graph_BLLDPE" hidden="1">#REF!</definedName>
    <definedName name="__123Graph_BMTBE" localSheetId="1" hidden="1">#REF!</definedName>
    <definedName name="__123Graph_BMTBE" localSheetId="2" hidden="1">#REF!</definedName>
    <definedName name="__123Graph_BMTBE" hidden="1">#REF!</definedName>
    <definedName name="__123Graph_BNAPHTHA" localSheetId="1" hidden="1">#REF!</definedName>
    <definedName name="__123Graph_BNAPHTHA" localSheetId="2" hidden="1">#REF!</definedName>
    <definedName name="__123Graph_BNAPHTHA" hidden="1">#REF!</definedName>
    <definedName name="__123Graph_BPET" localSheetId="1" hidden="1">#REF!</definedName>
    <definedName name="__123Graph_BPET" localSheetId="2" hidden="1">#REF!</definedName>
    <definedName name="__123Graph_BPET" hidden="1">#REF!</definedName>
    <definedName name="__123Graph_BPP" localSheetId="1" hidden="1">#REF!</definedName>
    <definedName name="__123Graph_BPP" localSheetId="2" hidden="1">#REF!</definedName>
    <definedName name="__123Graph_BPP" hidden="1">#REF!</definedName>
    <definedName name="__123Graph_BPROPYLENE" localSheetId="1" hidden="1">#REF!</definedName>
    <definedName name="__123Graph_BPROPYLENE" localSheetId="2" hidden="1">#REF!</definedName>
    <definedName name="__123Graph_BPROPYLENE" hidden="1">#REF!</definedName>
    <definedName name="__123Graph_BPVC" localSheetId="1" hidden="1">#REF!</definedName>
    <definedName name="__123Graph_BPVC" localSheetId="2" hidden="1">#REF!</definedName>
    <definedName name="__123Graph_BPVC" hidden="1">#REF!</definedName>
    <definedName name="__123Graph_BPX" localSheetId="1" hidden="1">#REF!</definedName>
    <definedName name="__123Graph_BPX" localSheetId="2" hidden="1">#REF!</definedName>
    <definedName name="__123Graph_BPX" hidden="1">#REF!</definedName>
    <definedName name="__123Graph_BSIDECO" hidden="1">#REF!</definedName>
    <definedName name="__123Graph_BTOL" localSheetId="1" hidden="1">#REF!</definedName>
    <definedName name="__123Graph_BTOL" localSheetId="2" hidden="1">#REF!</definedName>
    <definedName name="__123Graph_BTOL" hidden="1">#REF!</definedName>
    <definedName name="__123Graph_C" localSheetId="1" hidden="1">#REF!</definedName>
    <definedName name="__123Graph_C" localSheetId="2" hidden="1">#REF!</definedName>
    <definedName name="__123Graph_C" hidden="1">#REF!</definedName>
    <definedName name="__123Graph_CBENZENE" localSheetId="1" hidden="1">#REF!</definedName>
    <definedName name="__123Graph_CBENZENE" localSheetId="2" hidden="1">#REF!</definedName>
    <definedName name="__123Graph_CBENZENE" hidden="1">#REF!</definedName>
    <definedName name="__123Graph_CBUTADIENE" localSheetId="1" hidden="1">#REF!</definedName>
    <definedName name="__123Graph_CBUTADIENE" localSheetId="2" hidden="1">#REF!</definedName>
    <definedName name="__123Graph_CBUTADIENE" hidden="1">#REF!</definedName>
    <definedName name="__123Graph_CCAPRO" localSheetId="1" hidden="1">#REF!</definedName>
    <definedName name="__123Graph_CCAPRO" localSheetId="2" hidden="1">#REF!</definedName>
    <definedName name="__123Graph_CCAPRO" hidden="1">#REF!</definedName>
    <definedName name="__123Graph_CETHYLENE" localSheetId="1" hidden="1">#REF!</definedName>
    <definedName name="__123Graph_CETHYLENE" localSheetId="2" hidden="1">#REF!</definedName>
    <definedName name="__123Graph_CETHYLENE" hidden="1">#REF!</definedName>
    <definedName name="__123Graph_CEVAC" localSheetId="1" hidden="1">#REF!</definedName>
    <definedName name="__123Graph_CEVAC" localSheetId="2" hidden="1">#REF!</definedName>
    <definedName name="__123Graph_CEVAC" hidden="1">#REF!</definedName>
    <definedName name="__123Graph_CHDPE" localSheetId="1" hidden="1">#REF!</definedName>
    <definedName name="__123Graph_CHDPE" localSheetId="2" hidden="1">#REF!</definedName>
    <definedName name="__123Graph_CHDPE" hidden="1">#REF!</definedName>
    <definedName name="__123Graph_CLDPE" localSheetId="1" hidden="1">#REF!</definedName>
    <definedName name="__123Graph_CLDPE" localSheetId="2" hidden="1">#REF!</definedName>
    <definedName name="__123Graph_CLDPE" hidden="1">#REF!</definedName>
    <definedName name="__123Graph_CLLDPE" localSheetId="1" hidden="1">#REF!</definedName>
    <definedName name="__123Graph_CLLDPE" localSheetId="2" hidden="1">#REF!</definedName>
    <definedName name="__123Graph_CLLDPE" hidden="1">#REF!</definedName>
    <definedName name="__123Graph_CMTBE" localSheetId="1" hidden="1">#REF!</definedName>
    <definedName name="__123Graph_CMTBE" localSheetId="2" hidden="1">#REF!</definedName>
    <definedName name="__123Graph_CMTBE" hidden="1">#REF!</definedName>
    <definedName name="__123Graph_CNAPHTHA" localSheetId="1" hidden="1">#REF!</definedName>
    <definedName name="__123Graph_CNAPHTHA" localSheetId="2" hidden="1">#REF!</definedName>
    <definedName name="__123Graph_CNAPHTHA" hidden="1">#REF!</definedName>
    <definedName name="__123Graph_CPET" localSheetId="1" hidden="1">#REF!</definedName>
    <definedName name="__123Graph_CPET" localSheetId="2" hidden="1">#REF!</definedName>
    <definedName name="__123Graph_CPET" hidden="1">#REF!</definedName>
    <definedName name="__123Graph_CPP" localSheetId="1" hidden="1">#REF!</definedName>
    <definedName name="__123Graph_CPP" localSheetId="2" hidden="1">#REF!</definedName>
    <definedName name="__123Graph_CPP" hidden="1">#REF!</definedName>
    <definedName name="__123Graph_CPROPYLENE" localSheetId="1" hidden="1">#REF!</definedName>
    <definedName name="__123Graph_CPROPYLENE" localSheetId="2" hidden="1">#REF!</definedName>
    <definedName name="__123Graph_CPROPYLENE" hidden="1">#REF!</definedName>
    <definedName name="__123Graph_CPVC" localSheetId="1" hidden="1">#REF!</definedName>
    <definedName name="__123Graph_CPVC" localSheetId="2" hidden="1">#REF!</definedName>
    <definedName name="__123Graph_CPVC" hidden="1">#REF!</definedName>
    <definedName name="__123Graph_CPX" localSheetId="1" hidden="1">#REF!</definedName>
    <definedName name="__123Graph_CPX" localSheetId="2" hidden="1">#REF!</definedName>
    <definedName name="__123Graph_CPX" hidden="1">#REF!</definedName>
    <definedName name="__123Graph_CSIDECO" hidden="1">#REF!</definedName>
    <definedName name="__123Graph_CTOL" localSheetId="1" hidden="1">#REF!</definedName>
    <definedName name="__123Graph_CTOL" localSheetId="2" hidden="1">#REF!</definedName>
    <definedName name="__123Graph_CTOL" hidden="1">#REF!</definedName>
    <definedName name="__123Graph_D" localSheetId="1" hidden="1">#REF!</definedName>
    <definedName name="__123Graph_D" localSheetId="2" hidden="1">#REF!</definedName>
    <definedName name="__123Graph_D" hidden="1">#REF!</definedName>
    <definedName name="__123Graph_DBENZENE" localSheetId="1" hidden="1">#REF!</definedName>
    <definedName name="__123Graph_DBENZENE" localSheetId="2" hidden="1">#REF!</definedName>
    <definedName name="__123Graph_DBENZENE" hidden="1">#REF!</definedName>
    <definedName name="__123Graph_DBUTADIENE" localSheetId="1" hidden="1">#REF!</definedName>
    <definedName name="__123Graph_DBUTADIENE" localSheetId="2" hidden="1">#REF!</definedName>
    <definedName name="__123Graph_DBUTADIENE" hidden="1">#REF!</definedName>
    <definedName name="__123Graph_DCAPRO" localSheetId="1" hidden="1">#REF!</definedName>
    <definedName name="__123Graph_DCAPRO" localSheetId="2" hidden="1">#REF!</definedName>
    <definedName name="__123Graph_DCAPRO" hidden="1">#REF!</definedName>
    <definedName name="__123Graph_DETHYLENE" localSheetId="1" hidden="1">#REF!</definedName>
    <definedName name="__123Graph_DETHYLENE" localSheetId="2" hidden="1">#REF!</definedName>
    <definedName name="__123Graph_DETHYLENE" hidden="1">#REF!</definedName>
    <definedName name="__123Graph_DEVAC" localSheetId="1" hidden="1">#REF!</definedName>
    <definedName name="__123Graph_DEVAC" localSheetId="2" hidden="1">#REF!</definedName>
    <definedName name="__123Graph_DEVAC" hidden="1">#REF!</definedName>
    <definedName name="__123Graph_DHDPE" localSheetId="1" hidden="1">#REF!</definedName>
    <definedName name="__123Graph_DHDPE" localSheetId="2" hidden="1">#REF!</definedName>
    <definedName name="__123Graph_DHDPE" hidden="1">#REF!</definedName>
    <definedName name="__123Graph_DLDPE" localSheetId="1" hidden="1">#REF!</definedName>
    <definedName name="__123Graph_DLDPE" localSheetId="2" hidden="1">#REF!</definedName>
    <definedName name="__123Graph_DLDPE" hidden="1">#REF!</definedName>
    <definedName name="__123Graph_DLLDPE" localSheetId="1" hidden="1">#REF!</definedName>
    <definedName name="__123Graph_DLLDPE" localSheetId="2" hidden="1">#REF!</definedName>
    <definedName name="__123Graph_DLLDPE" hidden="1">#REF!</definedName>
    <definedName name="__123Graph_DMTBE" localSheetId="1" hidden="1">#REF!</definedName>
    <definedName name="__123Graph_DMTBE" localSheetId="2" hidden="1">#REF!</definedName>
    <definedName name="__123Graph_DMTBE" hidden="1">#REF!</definedName>
    <definedName name="__123Graph_DNAPHTHA" localSheetId="1" hidden="1">#REF!</definedName>
    <definedName name="__123Graph_DNAPHTHA" localSheetId="2" hidden="1">#REF!</definedName>
    <definedName name="__123Graph_DNAPHTHA" hidden="1">#REF!</definedName>
    <definedName name="__123Graph_DPET" localSheetId="1" hidden="1">#REF!</definedName>
    <definedName name="__123Graph_DPET" localSheetId="2" hidden="1">#REF!</definedName>
    <definedName name="__123Graph_DPET" hidden="1">#REF!</definedName>
    <definedName name="__123Graph_DPP" localSheetId="1" hidden="1">#REF!</definedName>
    <definedName name="__123Graph_DPP" localSheetId="2" hidden="1">#REF!</definedName>
    <definedName name="__123Graph_DPP" hidden="1">#REF!</definedName>
    <definedName name="__123Graph_DPROPYLENE" localSheetId="1" hidden="1">#REF!</definedName>
    <definedName name="__123Graph_DPROPYLENE" localSheetId="2" hidden="1">#REF!</definedName>
    <definedName name="__123Graph_DPROPYLENE" hidden="1">#REF!</definedName>
    <definedName name="__123Graph_DPVC" localSheetId="1" hidden="1">#REF!</definedName>
    <definedName name="__123Graph_DPVC" localSheetId="2" hidden="1">#REF!</definedName>
    <definedName name="__123Graph_DPVC" hidden="1">#REF!</definedName>
    <definedName name="__123Graph_DPX" localSheetId="1" hidden="1">#REF!</definedName>
    <definedName name="__123Graph_DPX" localSheetId="2" hidden="1">#REF!</definedName>
    <definedName name="__123Graph_DPX" hidden="1">#REF!</definedName>
    <definedName name="__123Graph_DTOL" localSheetId="1" hidden="1">#REF!</definedName>
    <definedName name="__123Graph_DTOL" localSheetId="2" hidden="1">#REF!</definedName>
    <definedName name="__123Graph_DTOL" hidden="1">#REF!</definedName>
    <definedName name="__123Graph_E" localSheetId="1" hidden="1">#REF!</definedName>
    <definedName name="__123Graph_E" localSheetId="2" hidden="1">#REF!</definedName>
    <definedName name="__123Graph_E" hidden="1">#REF!</definedName>
    <definedName name="__123Graph_EBENZENE" localSheetId="1" hidden="1">#REF!</definedName>
    <definedName name="__123Graph_EBENZENE" localSheetId="2" hidden="1">#REF!</definedName>
    <definedName name="__123Graph_EBENZENE" hidden="1">#REF!</definedName>
    <definedName name="__123Graph_EBUTADIENE" localSheetId="1" hidden="1">#REF!</definedName>
    <definedName name="__123Graph_EBUTADIENE" localSheetId="2" hidden="1">#REF!</definedName>
    <definedName name="__123Graph_EBUTADIENE" hidden="1">#REF!</definedName>
    <definedName name="__123Graph_ECAPRO" localSheetId="1" hidden="1">#REF!</definedName>
    <definedName name="__123Graph_ECAPRO" localSheetId="2" hidden="1">#REF!</definedName>
    <definedName name="__123Graph_ECAPRO" hidden="1">#REF!</definedName>
    <definedName name="__123Graph_EETHYLENE" localSheetId="1" hidden="1">#REF!</definedName>
    <definedName name="__123Graph_EETHYLENE" localSheetId="2" hidden="1">#REF!</definedName>
    <definedName name="__123Graph_EETHYLENE" hidden="1">#REF!</definedName>
    <definedName name="__123Graph_EHDPE" localSheetId="1" hidden="1">#REF!</definedName>
    <definedName name="__123Graph_EHDPE" localSheetId="2" hidden="1">#REF!</definedName>
    <definedName name="__123Graph_EHDPE" hidden="1">#REF!</definedName>
    <definedName name="__123Graph_ELDPE" localSheetId="1" hidden="1">#REF!</definedName>
    <definedName name="__123Graph_ELDPE" localSheetId="2" hidden="1">#REF!</definedName>
    <definedName name="__123Graph_ELDPE" hidden="1">#REF!</definedName>
    <definedName name="__123Graph_ELLDPE" localSheetId="1" hidden="1">#REF!</definedName>
    <definedName name="__123Graph_ELLDPE" localSheetId="2" hidden="1">#REF!</definedName>
    <definedName name="__123Graph_ELLDPE" hidden="1">#REF!</definedName>
    <definedName name="__123Graph_EMTBE" localSheetId="1" hidden="1">#REF!</definedName>
    <definedName name="__123Graph_EMTBE" localSheetId="2" hidden="1">#REF!</definedName>
    <definedName name="__123Graph_EMTBE" hidden="1">#REF!</definedName>
    <definedName name="__123Graph_ENAPHTHA" localSheetId="1" hidden="1">#REF!</definedName>
    <definedName name="__123Graph_ENAPHTHA" localSheetId="2" hidden="1">#REF!</definedName>
    <definedName name="__123Graph_ENAPHTHA" hidden="1">#REF!</definedName>
    <definedName name="__123Graph_EPET" localSheetId="1" hidden="1">#REF!</definedName>
    <definedName name="__123Graph_EPET" localSheetId="2" hidden="1">#REF!</definedName>
    <definedName name="__123Graph_EPET" hidden="1">#REF!</definedName>
    <definedName name="__123Graph_EPP" localSheetId="1" hidden="1">#REF!</definedName>
    <definedName name="__123Graph_EPP" localSheetId="2" hidden="1">#REF!</definedName>
    <definedName name="__123Graph_EPP" hidden="1">#REF!</definedName>
    <definedName name="__123Graph_EPROPYLENE" localSheetId="1" hidden="1">#REF!</definedName>
    <definedName name="__123Graph_EPROPYLENE" localSheetId="2" hidden="1">#REF!</definedName>
    <definedName name="__123Graph_EPROPYLENE" hidden="1">#REF!</definedName>
    <definedName name="__123Graph_EPVC" localSheetId="1" hidden="1">#REF!</definedName>
    <definedName name="__123Graph_EPVC" localSheetId="2" hidden="1">#REF!</definedName>
    <definedName name="__123Graph_EPVC" hidden="1">#REF!</definedName>
    <definedName name="__123Graph_EPX" localSheetId="1" hidden="1">#REF!</definedName>
    <definedName name="__123Graph_EPX" localSheetId="2" hidden="1">#REF!</definedName>
    <definedName name="__123Graph_EPX" hidden="1">#REF!</definedName>
    <definedName name="__123Graph_ETOL" localSheetId="1" hidden="1">#REF!</definedName>
    <definedName name="__123Graph_ETOL" localSheetId="2" hidden="1">#REF!</definedName>
    <definedName name="__123Graph_ETOL" hidden="1">#REF!</definedName>
    <definedName name="__123Graph_F" localSheetId="1" hidden="1">#REF!</definedName>
    <definedName name="__123Graph_F" localSheetId="2" hidden="1">#REF!</definedName>
    <definedName name="__123Graph_F" hidden="1">#REF!</definedName>
    <definedName name="__123Graph_FBENZENE" localSheetId="1" hidden="1">#REF!</definedName>
    <definedName name="__123Graph_FBENZENE" localSheetId="2" hidden="1">#REF!</definedName>
    <definedName name="__123Graph_FBENZENE" hidden="1">#REF!</definedName>
    <definedName name="__123Graph_FBUTADIENE" localSheetId="1" hidden="1">#REF!</definedName>
    <definedName name="__123Graph_FBUTADIENE" localSheetId="2" hidden="1">#REF!</definedName>
    <definedName name="__123Graph_FBUTADIENE" hidden="1">#REF!</definedName>
    <definedName name="__123Graph_FCAPRO" localSheetId="1" hidden="1">#REF!</definedName>
    <definedName name="__123Graph_FCAPRO" localSheetId="2" hidden="1">#REF!</definedName>
    <definedName name="__123Graph_FCAPRO" hidden="1">#REF!</definedName>
    <definedName name="__123Graph_FETHYLENE" localSheetId="1" hidden="1">#REF!</definedName>
    <definedName name="__123Graph_FETHYLENE" localSheetId="2" hidden="1">#REF!</definedName>
    <definedName name="__123Graph_FETHYLENE" hidden="1">#REF!</definedName>
    <definedName name="__123Graph_FEVAC" localSheetId="1" hidden="1">#REF!</definedName>
    <definedName name="__123Graph_FEVAC" localSheetId="2" hidden="1">#REF!</definedName>
    <definedName name="__123Graph_FEVAC" hidden="1">#REF!</definedName>
    <definedName name="__123Graph_FHDPE" localSheetId="1" hidden="1">#REF!</definedName>
    <definedName name="__123Graph_FHDPE" localSheetId="2" hidden="1">#REF!</definedName>
    <definedName name="__123Graph_FHDPE" hidden="1">#REF!</definedName>
    <definedName name="__123Graph_FLDPE" localSheetId="1" hidden="1">#REF!</definedName>
    <definedName name="__123Graph_FLDPE" localSheetId="2" hidden="1">#REF!</definedName>
    <definedName name="__123Graph_FLDPE" hidden="1">#REF!</definedName>
    <definedName name="__123Graph_FLLDPE" localSheetId="1" hidden="1">#REF!</definedName>
    <definedName name="__123Graph_FLLDPE" localSheetId="2" hidden="1">#REF!</definedName>
    <definedName name="__123Graph_FLLDPE" hidden="1">#REF!</definedName>
    <definedName name="__123Graph_FMTBE" localSheetId="1" hidden="1">#REF!</definedName>
    <definedName name="__123Graph_FMTBE" localSheetId="2" hidden="1">#REF!</definedName>
    <definedName name="__123Graph_FMTBE" hidden="1">#REF!</definedName>
    <definedName name="__123Graph_FNAPHTHA" localSheetId="1" hidden="1">#REF!</definedName>
    <definedName name="__123Graph_FNAPHTHA" localSheetId="2" hidden="1">#REF!</definedName>
    <definedName name="__123Graph_FNAPHTHA" hidden="1">#REF!</definedName>
    <definedName name="__123Graph_FPET" localSheetId="1" hidden="1">#REF!</definedName>
    <definedName name="__123Graph_FPET" localSheetId="2" hidden="1">#REF!</definedName>
    <definedName name="__123Graph_FPET" hidden="1">#REF!</definedName>
    <definedName name="__123Graph_FPP" localSheetId="1" hidden="1">#REF!</definedName>
    <definedName name="__123Graph_FPP" localSheetId="2" hidden="1">#REF!</definedName>
    <definedName name="__123Graph_FPP" hidden="1">#REF!</definedName>
    <definedName name="__123Graph_FPROPYLENE" localSheetId="1" hidden="1">#REF!</definedName>
    <definedName name="__123Graph_FPROPYLENE" localSheetId="2" hidden="1">#REF!</definedName>
    <definedName name="__123Graph_FPROPYLENE" hidden="1">#REF!</definedName>
    <definedName name="__123Graph_FPVC" localSheetId="1" hidden="1">#REF!</definedName>
    <definedName name="__123Graph_FPVC" localSheetId="2" hidden="1">#REF!</definedName>
    <definedName name="__123Graph_FPVC" hidden="1">#REF!</definedName>
    <definedName name="__123Graph_FPX" localSheetId="1" hidden="1">#REF!</definedName>
    <definedName name="__123Graph_FPX" localSheetId="2" hidden="1">#REF!</definedName>
    <definedName name="__123Graph_FPX" hidden="1">#REF!</definedName>
    <definedName name="__123Graph_FTOL" localSheetId="1" hidden="1">#REF!</definedName>
    <definedName name="__123Graph_FTOL" localSheetId="2" hidden="1">#REF!</definedName>
    <definedName name="__123Graph_FTOL" hidden="1">#REF!</definedName>
    <definedName name="__123Graph_X" localSheetId="1" hidden="1">#REF!</definedName>
    <definedName name="__123Graph_X" localSheetId="2" hidden="1">#REF!</definedName>
    <definedName name="__123Graph_X" hidden="1">#REF!</definedName>
    <definedName name="__123Graph_XBENZENE" localSheetId="1" hidden="1">#REF!</definedName>
    <definedName name="__123Graph_XBENZENE" localSheetId="2" hidden="1">#REF!</definedName>
    <definedName name="__123Graph_XBENZENE" hidden="1">#REF!</definedName>
    <definedName name="__123Graph_XBUTADIENE" localSheetId="1" hidden="1">#REF!</definedName>
    <definedName name="__123Graph_XBUTADIENE" localSheetId="2" hidden="1">#REF!</definedName>
    <definedName name="__123Graph_XBUTADIENE" hidden="1">#REF!</definedName>
    <definedName name="__123Graph_XCAPRO" localSheetId="1" hidden="1">#REF!</definedName>
    <definedName name="__123Graph_XCAPRO" localSheetId="2" hidden="1">#REF!</definedName>
    <definedName name="__123Graph_XCAPRO" hidden="1">#REF!</definedName>
    <definedName name="__123Graph_XETHYLENE" localSheetId="1" hidden="1">#REF!</definedName>
    <definedName name="__123Graph_XETHYLENE" localSheetId="2" hidden="1">#REF!</definedName>
    <definedName name="__123Graph_XETHYLENE" hidden="1">#REF!</definedName>
    <definedName name="__123Graph_XEVAC" localSheetId="1" hidden="1">#REF!</definedName>
    <definedName name="__123Graph_XEVAC" localSheetId="2" hidden="1">#REF!</definedName>
    <definedName name="__123Graph_XEVAC" hidden="1">#REF!</definedName>
    <definedName name="__123Graph_XHDPE" localSheetId="1" hidden="1">#REF!</definedName>
    <definedName name="__123Graph_XHDPE" localSheetId="2" hidden="1">#REF!</definedName>
    <definedName name="__123Graph_XHDPE" hidden="1">#REF!</definedName>
    <definedName name="__123Graph_XLDPE" localSheetId="1" hidden="1">#REF!</definedName>
    <definedName name="__123Graph_XLDPE" localSheetId="2" hidden="1">#REF!</definedName>
    <definedName name="__123Graph_XLDPE" hidden="1">#REF!</definedName>
    <definedName name="__123Graph_XLLDPE" localSheetId="1" hidden="1">#REF!</definedName>
    <definedName name="__123Graph_XLLDPE" localSheetId="2" hidden="1">#REF!</definedName>
    <definedName name="__123Graph_XLLDPE" hidden="1">#REF!</definedName>
    <definedName name="__123Graph_XMTBE" localSheetId="1" hidden="1">#REF!</definedName>
    <definedName name="__123Graph_XMTBE" localSheetId="2" hidden="1">#REF!</definedName>
    <definedName name="__123Graph_XMTBE" hidden="1">#REF!</definedName>
    <definedName name="__123Graph_XNAPHTHA" localSheetId="1" hidden="1">#REF!</definedName>
    <definedName name="__123Graph_XNAPHTHA" localSheetId="2" hidden="1">#REF!</definedName>
    <definedName name="__123Graph_XNAPHTHA" hidden="1">#REF!</definedName>
    <definedName name="__123Graph_XPET" localSheetId="1" hidden="1">#REF!</definedName>
    <definedName name="__123Graph_XPET" localSheetId="2" hidden="1">#REF!</definedName>
    <definedName name="__123Graph_XPET" hidden="1">#REF!</definedName>
    <definedName name="__123Graph_XPP" localSheetId="1" hidden="1">#REF!</definedName>
    <definedName name="__123Graph_XPP" localSheetId="2" hidden="1">#REF!</definedName>
    <definedName name="__123Graph_XPP" hidden="1">#REF!</definedName>
    <definedName name="__123Graph_XPROPYLENE" localSheetId="1" hidden="1">#REF!</definedName>
    <definedName name="__123Graph_XPROPYLENE" localSheetId="2" hidden="1">#REF!</definedName>
    <definedName name="__123Graph_XPROPYLENE" hidden="1">#REF!</definedName>
    <definedName name="__123Graph_XPVC" localSheetId="1" hidden="1">#REF!</definedName>
    <definedName name="__123Graph_XPVC" localSheetId="2" hidden="1">#REF!</definedName>
    <definedName name="__123Graph_XPVC" hidden="1">#REF!</definedName>
    <definedName name="__123Graph_XPX" localSheetId="1" hidden="1">#REF!</definedName>
    <definedName name="__123Graph_XPX" localSheetId="2" hidden="1">#REF!</definedName>
    <definedName name="__123Graph_XPX" hidden="1">#REF!</definedName>
    <definedName name="__123Graph_XSIDECO" hidden="1">#REF!</definedName>
    <definedName name="__123Graph_XTOL" localSheetId="1" hidden="1">#REF!</definedName>
    <definedName name="__123Graph_XTOL" localSheetId="2" hidden="1">#REF!</definedName>
    <definedName name="__123Graph_XTOL" hidden="1">#REF!</definedName>
    <definedName name="__3__123Graph_XCHART_1" localSheetId="1" hidden="1">#REF!</definedName>
    <definedName name="__3__123Graph_XCHART_1" localSheetId="2" hidden="1">#REF!</definedName>
    <definedName name="__3__123Graph_XCHART_1" hidden="1">#REF!</definedName>
    <definedName name="__4RiskStatFunctionsUpdateFr_q">1</definedName>
    <definedName name="__INV12">#REF!</definedName>
    <definedName name="__INV13">#REF!</definedName>
    <definedName name="__inv2" localSheetId="1">#REF!</definedName>
    <definedName name="__inv2" localSheetId="2">#REF!</definedName>
    <definedName name="__inv2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R">#REF!</definedName>
    <definedName name="__TitleTemp">#NAME?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_" localSheetId="1">#REF!</definedName>
    <definedName name="_1_" localSheetId="2">#REF!</definedName>
    <definedName name="_1_">#REF!</definedName>
    <definedName name="_1____MÃO_DE_OBRA_DIRETA">#REF!</definedName>
    <definedName name="_1__123Graph_ACHART_1" localSheetId="1" hidden="1">#REF!</definedName>
    <definedName name="_1__123Graph_ACHART_1" localSheetId="2" hidden="1">#REF!</definedName>
    <definedName name="_1__123Graph_ACHART_1" hidden="1">#REF!</definedName>
    <definedName name="_101001">"sfev"</definedName>
    <definedName name="_10el" localSheetId="1">#REF!</definedName>
    <definedName name="_10el" localSheetId="2">#REF!</definedName>
    <definedName name="_10el">#REF!</definedName>
    <definedName name="_11.SERV.TECNIC">#REF!</definedName>
    <definedName name="_11_A">#REF!</definedName>
    <definedName name="_11f" localSheetId="1">#REF!</definedName>
    <definedName name="_11f" localSheetId="2">#REF!</definedName>
    <definedName name="_11f">#REF!</definedName>
    <definedName name="_12.GAST_GERAIS">#REF!</definedName>
    <definedName name="_12_A">#REF!</definedName>
    <definedName name="_12fe" localSheetId="1">#REF!</definedName>
    <definedName name="_12fe" localSheetId="2">#REF!</definedName>
    <definedName name="_12fe">#REF!</definedName>
    <definedName name="_13.1___MATERIAL_CONSUMO">#REF!</definedName>
    <definedName name="_13.2___MATERIAL_APLICAÇÃO">#REF!</definedName>
    <definedName name="_13.3__FERRAMENTAS">#REF!</definedName>
    <definedName name="_13.P._PERMAN.">#REF!</definedName>
    <definedName name="_13____MATERIAIS_E_FERRAMENTAS">#REF!</definedName>
    <definedName name="_13_A">#REF!</definedName>
    <definedName name="_13five" localSheetId="1">#REF!</definedName>
    <definedName name="_13five" localSheetId="2">#REF!</definedName>
    <definedName name="_13five">#REF!</definedName>
    <definedName name="_14_">#REF!</definedName>
    <definedName name="_14____MATERIAL_DE_SEGURANÇA">#REF!</definedName>
    <definedName name="_14_A">#REF!</definedName>
    <definedName name="_14fivez" localSheetId="1">#REF!</definedName>
    <definedName name="_14fivez" localSheetId="2">#REF!</definedName>
    <definedName name="_14fivez">#REF!</definedName>
    <definedName name="_15.IMPL._CANT">#REF!</definedName>
    <definedName name="_15____DIVERSOS">#REF!</definedName>
    <definedName name="_15h" localSheetId="1">#REF!</definedName>
    <definedName name="_15h" localSheetId="2">#REF!</definedName>
    <definedName name="_15h">#REF!</definedName>
    <definedName name="_16.1___EQUIPAMENTOS_MAIORES">#REF!</definedName>
    <definedName name="_16.2___EQUIPAMENTOS_MENORES">#REF!</definedName>
    <definedName name="_16.3___VEÍCULOS" localSheetId="1">#REF!</definedName>
    <definedName name="_16.3___VEÍCULOS" localSheetId="2">#REF!</definedName>
    <definedName name="_16.3___VEÍCULOS">#REF!</definedName>
    <definedName name="_16.4___COMBÚSTIVEL" localSheetId="1">#REF!</definedName>
    <definedName name="_16.4___COMBÚSTIVEL" localSheetId="2">#REF!</definedName>
    <definedName name="_16.4___COMBÚSTIVEL">#REF!</definedName>
    <definedName name="_16.5___EQUIPAMENTOS_DE_ESCRITÓRIO" localSheetId="1">#REF!</definedName>
    <definedName name="_16.5___EQUIPAMENTOS_DE_ESCRITÓRIO" localSheetId="2">#REF!</definedName>
    <definedName name="_16.5___EQUIPAMENTOS_DE_ESCRITÓRIO">#REF!</definedName>
    <definedName name="_16.EQUIPAM.">#REF!</definedName>
    <definedName name="_16___EQUIPAMENTOS">#REF!</definedName>
    <definedName name="_16in" localSheetId="1">#REF!</definedName>
    <definedName name="_16in" localSheetId="2">#REF!</definedName>
    <definedName name="_16in">#REF!</definedName>
    <definedName name="_17.1_MENSALISTA">#REF!</definedName>
    <definedName name="_17.2___HORISTA">#REF!</definedName>
    <definedName name="_17.OPER._CANT.">#REF!</definedName>
    <definedName name="_17___DIREÇÃO_TÉCNICA_ADMINISTRATIVA">#REF!</definedName>
    <definedName name="_17land" localSheetId="1">#REF!</definedName>
    <definedName name="_17land" localSheetId="2">#REF!</definedName>
    <definedName name="_17land">#REF!</definedName>
    <definedName name="_18___CANTEIRO___INSTALAÇÃO___MANUTENÇÃO">#REF!</definedName>
    <definedName name="_18_A">#REF!</definedName>
    <definedName name="_18li" localSheetId="1">#REF!</definedName>
    <definedName name="_18li" localSheetId="2">#REF!</definedName>
    <definedName name="_18li">#REF!</definedName>
    <definedName name="_19.TRANC_LIMP.">#REF!</definedName>
    <definedName name="_19___TRANSPORTE_DE_PESSOAL">#REF!</definedName>
    <definedName name="_19mo" localSheetId="1">#REF!</definedName>
    <definedName name="_19mo" localSheetId="2">#REF!</definedName>
    <definedName name="_19mo">#REF!</definedName>
    <definedName name="_2__123Graph_ACHART_1" localSheetId="1" hidden="1">#REF!</definedName>
    <definedName name="_2__123Graph_ACHART_1" localSheetId="2" hidden="1">#REF!</definedName>
    <definedName name="_2__123Graph_ACHART_1" hidden="1">#REF!</definedName>
    <definedName name="_2__123Graph_BCHART_1" localSheetId="1" hidden="1">#REF!</definedName>
    <definedName name="_2__123Graph_BCHART_1" localSheetId="2" hidden="1">#REF!</definedName>
    <definedName name="_2__123Graph_BCHART_1" hidden="1">#REF!</definedName>
    <definedName name="_20___MOBILIZAÇÃO___DESMOBILIZAÇÃO">#REF!</definedName>
    <definedName name="_20nine" localSheetId="1">#REF!</definedName>
    <definedName name="_20nine" localSheetId="2">#REF!</definedName>
    <definedName name="_20nine">#REF!</definedName>
    <definedName name="_21_">#REF!</definedName>
    <definedName name="_21___REFEIÇÃO_REFEITÓRIO">#REF!</definedName>
    <definedName name="_21_A">#REF!</definedName>
    <definedName name="_21ninef" localSheetId="1">#REF!</definedName>
    <definedName name="_21ninef" localSheetId="2">#REF!</definedName>
    <definedName name="_21ninef">#REF!</definedName>
    <definedName name="_22___VÁRIOS">#REF!</definedName>
    <definedName name="_22ninen" localSheetId="1">#REF!</definedName>
    <definedName name="_22ninen" localSheetId="2">#REF!</definedName>
    <definedName name="_22ninen">#REF!</definedName>
    <definedName name="_23_">#REF!</definedName>
    <definedName name="_23___SERVIÇOS_DE_TERCEIROS">#REF!</definedName>
    <definedName name="_23_A">#REF!</definedName>
    <definedName name="_23ninese" localSheetId="1">#REF!</definedName>
    <definedName name="_23ninese" localSheetId="2">#REF!</definedName>
    <definedName name="_23ninese">#REF!</definedName>
    <definedName name="_24nineth" localSheetId="1">#REF!</definedName>
    <definedName name="_24nineth" localSheetId="2">#REF!</definedName>
    <definedName name="_24nineth">#REF!</definedName>
    <definedName name="_25.PREP.TERREN">#REF!</definedName>
    <definedName name="_25one" localSheetId="1">#REF!</definedName>
    <definedName name="_25one" localSheetId="2">#REF!</definedName>
    <definedName name="_25one">#REF!</definedName>
    <definedName name="_26_A">#REF!</definedName>
    <definedName name="_26onef" localSheetId="1">#REF!</definedName>
    <definedName name="_26onef" localSheetId="2">#REF!</definedName>
    <definedName name="_26onef">#REF!</definedName>
    <definedName name="_27.FUND._ESCOR">#REF!</definedName>
    <definedName name="_27oneth" localSheetId="1">#REF!</definedName>
    <definedName name="_27oneth" localSheetId="2">#REF!</definedName>
    <definedName name="_27oneth">#REF!</definedName>
    <definedName name="_28_A">#REF!</definedName>
    <definedName name="_28onez" localSheetId="1">#REF!</definedName>
    <definedName name="_28onez" localSheetId="2">#REF!</definedName>
    <definedName name="_28onez">#REF!</definedName>
    <definedName name="_29_">#REF!</definedName>
    <definedName name="_29_A">#REF!</definedName>
    <definedName name="_29p" localSheetId="1">#REF!</definedName>
    <definedName name="_29p" localSheetId="2">#REF!</definedName>
    <definedName name="_29p">#REF!</definedName>
    <definedName name="_2al" localSheetId="1">#REF!</definedName>
    <definedName name="_2al" localSheetId="2">#REF!</definedName>
    <definedName name="_2al">#REF!</definedName>
    <definedName name="_3_">#REF!</definedName>
    <definedName name="_3__123Graph_XCHART_1" localSheetId="1" hidden="1">#REF!</definedName>
    <definedName name="_3__123Graph_XCHART_1" localSheetId="2" hidden="1">#REF!</definedName>
    <definedName name="_3__123Graph_XCHART_1" hidden="1">#REF!</definedName>
    <definedName name="_3_A">#REF!</definedName>
    <definedName name="_30_">#REF!</definedName>
    <definedName name="_30_A">#REF!</definedName>
    <definedName name="_30pa" localSheetId="1">#REF!</definedName>
    <definedName name="_30pa" localSheetId="2">#REF!</definedName>
    <definedName name="_30pa">#REF!</definedName>
    <definedName name="_31_">#REF!</definedName>
    <definedName name="_31_32_33.C_A">#REF!</definedName>
    <definedName name="_31pack" localSheetId="1">#REF!</definedName>
    <definedName name="_31pack" localSheetId="2">#REF!</definedName>
    <definedName name="_31pack">#REF!</definedName>
    <definedName name="_32r" localSheetId="1">#REF!</definedName>
    <definedName name="_32r" localSheetId="2">#REF!</definedName>
    <definedName name="_32r">#REF!</definedName>
    <definedName name="_33S" localSheetId="1">#REF!</definedName>
    <definedName name="_33S" localSheetId="2">#REF!</definedName>
    <definedName name="_33S">#REF!</definedName>
    <definedName name="_34se" localSheetId="1">#REF!</definedName>
    <definedName name="_34se" localSheetId="2">#REF!</definedName>
    <definedName name="_34se">#REF!</definedName>
    <definedName name="_35sevenei" localSheetId="1">#REF!</definedName>
    <definedName name="_35sevenei" localSheetId="2">#REF!</definedName>
    <definedName name="_35sevenei">#REF!</definedName>
    <definedName name="_36sevenn" localSheetId="1">#REF!</definedName>
    <definedName name="_36sevenn" localSheetId="2">#REF!</definedName>
    <definedName name="_36sevenn">#REF!</definedName>
    <definedName name="_37sevense" localSheetId="1">#REF!</definedName>
    <definedName name="_37sevense" localSheetId="2">#REF!</definedName>
    <definedName name="_37sevense">#REF!</definedName>
    <definedName name="_38sevenz" localSheetId="1">#REF!</definedName>
    <definedName name="_38sevenz" localSheetId="2">#REF!</definedName>
    <definedName name="_38sevenz">#REF!</definedName>
    <definedName name="_39str" localSheetId="1">#REF!</definedName>
    <definedName name="_39str" localSheetId="2">#REF!</definedName>
    <definedName name="_39str">#REF!</definedName>
    <definedName name="_3c" localSheetId="1">#REF!</definedName>
    <definedName name="_3c" localSheetId="2">#REF!</definedName>
    <definedName name="_3c">#REF!</definedName>
    <definedName name="_4_">#REF!</definedName>
    <definedName name="_4__123Graph_BCHART_1" localSheetId="1" hidden="1">#REF!</definedName>
    <definedName name="_4__123Graph_BCHART_1" localSheetId="2" hidden="1">#REF!</definedName>
    <definedName name="_4__123Graph_BCHART_1" hidden="1">#REF!</definedName>
    <definedName name="_4_A">#REF!</definedName>
    <definedName name="_40t" localSheetId="1">#REF!</definedName>
    <definedName name="_40t" localSheetId="2">#REF!</definedName>
    <definedName name="_40t">#REF!</definedName>
    <definedName name="_41.ALVENARIA">#REF!</definedName>
    <definedName name="_4135_A">#REF!</definedName>
    <definedName name="_4136_">#REF!</definedName>
    <definedName name="_4136_A">#REF!</definedName>
    <definedName name="_4138_">#REF!</definedName>
    <definedName name="_4138_A">#REF!</definedName>
    <definedName name="_4139_">#REF!</definedName>
    <definedName name="_4139_A">#REF!</definedName>
    <definedName name="_4140_">#REF!</definedName>
    <definedName name="_4140_A">#REF!</definedName>
    <definedName name="_4141_">#REF!</definedName>
    <definedName name="_4141_A">#REF!</definedName>
    <definedName name="_4142_">#REF!</definedName>
    <definedName name="_4142_A">#REF!</definedName>
    <definedName name="_4143_">#REF!</definedName>
    <definedName name="_4143_A">#REF!</definedName>
    <definedName name="_4144_">#REF!</definedName>
    <definedName name="_4144_A">#REF!</definedName>
    <definedName name="_4145_">#REF!</definedName>
    <definedName name="_4145_A">#REF!</definedName>
    <definedName name="_4146_">#REF!</definedName>
    <definedName name="_4146_A">#REF!</definedName>
    <definedName name="_4147_">#REF!</definedName>
    <definedName name="_4147_A">#REF!</definedName>
    <definedName name="_4148_">#REF!</definedName>
    <definedName name="_4148_A">#REF!</definedName>
    <definedName name="_4149_">#REF!</definedName>
    <definedName name="_4149_A">#REF!</definedName>
    <definedName name="_4150_">#REF!</definedName>
    <definedName name="_4150_A">#REF!</definedName>
    <definedName name="_4151_">#REF!</definedName>
    <definedName name="_4151_A">#REF!</definedName>
    <definedName name="_4152_">#REF!</definedName>
    <definedName name="_4152_A">#REF!</definedName>
    <definedName name="_4197_">#REF!</definedName>
    <definedName name="_4197_A">#REF!</definedName>
    <definedName name="_41threez" localSheetId="1">#REF!</definedName>
    <definedName name="_41threez" localSheetId="2">#REF!</definedName>
    <definedName name="_41threez">#REF!</definedName>
    <definedName name="_4201_">#REF!</definedName>
    <definedName name="_4201_A">#REF!</definedName>
    <definedName name="_4202_">#REF!</definedName>
    <definedName name="_4202_A">#REF!</definedName>
    <definedName name="_4245_">#REF!</definedName>
    <definedName name="_4245_A">#REF!</definedName>
    <definedName name="_42to" localSheetId="1">#REF!</definedName>
    <definedName name="_42to" localSheetId="2">#REF!</definedName>
    <definedName name="_42to">#REF!</definedName>
    <definedName name="_4301_">#REF!</definedName>
    <definedName name="_4301_A">#REF!</definedName>
    <definedName name="_4302_">#REF!</definedName>
    <definedName name="_4302_A">#REF!</definedName>
    <definedName name="_4303_">#REF!</definedName>
    <definedName name="_4303_A">#REF!</definedName>
    <definedName name="_4305_">#REF!</definedName>
    <definedName name="_4305_A">#REF!</definedName>
    <definedName name="_4306_">#REF!</definedName>
    <definedName name="_4306_A">#REF!</definedName>
    <definedName name="_4307_">#REF!</definedName>
    <definedName name="_4307_A">#REF!</definedName>
    <definedName name="_4308_">#REF!</definedName>
    <definedName name="_4308_A">#REF!</definedName>
    <definedName name="_4309_">#REF!</definedName>
    <definedName name="_4309_A">#REF!</definedName>
    <definedName name="_4310_">#REF!</definedName>
    <definedName name="_4310_A">#REF!</definedName>
    <definedName name="_4312_">#REF!</definedName>
    <definedName name="_4312_A">#REF!</definedName>
    <definedName name="_4313_">#REF!</definedName>
    <definedName name="_4313_A">#REF!</definedName>
    <definedName name="_4314_">#REF!</definedName>
    <definedName name="_4314_A">#REF!</definedName>
    <definedName name="_4315_">#REF!</definedName>
    <definedName name="_4315_A">#REF!</definedName>
    <definedName name="_4319_">#REF!</definedName>
    <definedName name="_4319_A">#REF!</definedName>
    <definedName name="_4320_">#REF!</definedName>
    <definedName name="_4320_A">#REF!</definedName>
    <definedName name="_4321_">#REF!</definedName>
    <definedName name="_4321_A">#REF!</definedName>
    <definedName name="_4322_">#REF!</definedName>
    <definedName name="_4322_A">#REF!</definedName>
    <definedName name="_4323_">#REF!</definedName>
    <definedName name="_4323_A">#REF!</definedName>
    <definedName name="_4324_">#REF!</definedName>
    <definedName name="_4324_A">#REF!</definedName>
    <definedName name="_4325_">#REF!</definedName>
    <definedName name="_4325_A">#REF!</definedName>
    <definedName name="_4326_">#REF!</definedName>
    <definedName name="_4326_A">#REF!</definedName>
    <definedName name="_4327_">#REF!</definedName>
    <definedName name="_4327_A">#REF!</definedName>
    <definedName name="_4328_">#REF!</definedName>
    <definedName name="_4328_A">#REF!</definedName>
    <definedName name="_4329_">#REF!</definedName>
    <definedName name="_4329_A">#REF!</definedName>
    <definedName name="_4330_">#REF!</definedName>
    <definedName name="_4330_A">#REF!</definedName>
    <definedName name="_4332_">#REF!</definedName>
    <definedName name="_4332_A">#REF!</definedName>
    <definedName name="_4334_">#REF!</definedName>
    <definedName name="_4334_A">#REF!</definedName>
    <definedName name="_4336_">#REF!</definedName>
    <definedName name="_4336_A">#REF!</definedName>
    <definedName name="_4337_">#REF!</definedName>
    <definedName name="_4337_A">#REF!</definedName>
    <definedName name="_4339_">#REF!</definedName>
    <definedName name="_4339_A">#REF!</definedName>
    <definedName name="_4340_">#REF!</definedName>
    <definedName name="_4340_A">#REF!</definedName>
    <definedName name="_4344_">#REF!</definedName>
    <definedName name="_4344_A">#REF!</definedName>
    <definedName name="_4346_">#REF!</definedName>
    <definedName name="_4346_A">#REF!</definedName>
    <definedName name="_4347_">#REF!</definedName>
    <definedName name="_4347_A">#REF!</definedName>
    <definedName name="_4349_">#REF!</definedName>
    <definedName name="_4349_A">#REF!</definedName>
    <definedName name="_4351_">#REF!</definedName>
    <definedName name="_4351_A">#REF!</definedName>
    <definedName name="_4352_">#REF!</definedName>
    <definedName name="_4352_A">#REF!</definedName>
    <definedName name="_4353_">#REF!</definedName>
    <definedName name="_4353_A">#REF!</definedName>
    <definedName name="_4354_">#REF!</definedName>
    <definedName name="_4354_A">#REF!</definedName>
    <definedName name="_43two" localSheetId="1">#REF!</definedName>
    <definedName name="_43two" localSheetId="2">#REF!</definedName>
    <definedName name="_43two">#REF!</definedName>
    <definedName name="_4411_">#REF!</definedName>
    <definedName name="_4411_A">#REF!</definedName>
    <definedName name="_4412_">#REF!</definedName>
    <definedName name="_4412_A">#REF!</definedName>
    <definedName name="_4413_">#REF!</definedName>
    <definedName name="_4413_A">#REF!</definedName>
    <definedName name="_4416_">#REF!</definedName>
    <definedName name="_4416_A">#REF!</definedName>
    <definedName name="_4417_">#REF!</definedName>
    <definedName name="_4417_A">#REF!</definedName>
    <definedName name="_4418_">#REF!</definedName>
    <definedName name="_4418_A">#REF!</definedName>
    <definedName name="_4419_">#REF!</definedName>
    <definedName name="_4419_A">#REF!</definedName>
    <definedName name="_4427_">#REF!</definedName>
    <definedName name="_4427_A">#REF!</definedName>
    <definedName name="_4428_">#REF!</definedName>
    <definedName name="_4428_A">#REF!</definedName>
    <definedName name="_4429_">#REF!</definedName>
    <definedName name="_4429_A">#REF!</definedName>
    <definedName name="_4430_">#REF!</definedName>
    <definedName name="_4430_A">#REF!</definedName>
    <definedName name="_4431_">#REF!</definedName>
    <definedName name="_4431_A">#REF!</definedName>
    <definedName name="_4432_">#REF!</definedName>
    <definedName name="_4432_A">#REF!</definedName>
    <definedName name="_4433_">#REF!</definedName>
    <definedName name="_4433_A">#REF!</definedName>
    <definedName name="_4435_">#REF!</definedName>
    <definedName name="_4435_A">#REF!</definedName>
    <definedName name="_4437_">#REF!</definedName>
    <definedName name="_4437_A">#REF!</definedName>
    <definedName name="_4438_">#REF!</definedName>
    <definedName name="_4438_A">#REF!</definedName>
    <definedName name="_4439_">#REF!</definedName>
    <definedName name="_4439_A">#REF!</definedName>
    <definedName name="_4441_">#REF!</definedName>
    <definedName name="_4441_A">#REF!</definedName>
    <definedName name="_4442_">#REF!</definedName>
    <definedName name="_4442_A">#REF!</definedName>
    <definedName name="_4444_">#REF!</definedName>
    <definedName name="_4444_A">#REF!</definedName>
    <definedName name="_4445_">#REF!</definedName>
    <definedName name="_4445_A">#REF!</definedName>
    <definedName name="_4446_">#REF!</definedName>
    <definedName name="_4446_A">#REF!</definedName>
    <definedName name="_4447_">#REF!</definedName>
    <definedName name="_4447_A">#REF!</definedName>
    <definedName name="_4448_">#REF!</definedName>
    <definedName name="_4448_A">#REF!</definedName>
    <definedName name="_4449_">#REF!</definedName>
    <definedName name="_4449_A">#REF!</definedName>
    <definedName name="_4450_">#REF!</definedName>
    <definedName name="_4450_A">#REF!</definedName>
    <definedName name="_4451_">#REF!</definedName>
    <definedName name="_4451_A">#REF!</definedName>
    <definedName name="_4452_">#REF!</definedName>
    <definedName name="_4452_A">#REF!</definedName>
    <definedName name="_4454_">#REF!</definedName>
    <definedName name="_4454_A">#REF!</definedName>
    <definedName name="_4455_">#REF!</definedName>
    <definedName name="_4455_A">#REF!</definedName>
    <definedName name="_4456_">#REF!</definedName>
    <definedName name="_4456_A">#REF!</definedName>
    <definedName name="_4458_">#REF!</definedName>
    <definedName name="_4458_A">#REF!</definedName>
    <definedName name="_4460_">#REF!</definedName>
    <definedName name="_4460_A">#REF!</definedName>
    <definedName name="_4464_">#REF!</definedName>
    <definedName name="_4464_A">#REF!</definedName>
    <definedName name="_4465_">#REF!</definedName>
    <definedName name="_4465_A">#REF!</definedName>
    <definedName name="_4471_">#REF!</definedName>
    <definedName name="_4471_A">#REF!</definedName>
    <definedName name="_4472_">#REF!</definedName>
    <definedName name="_4472_A">#REF!</definedName>
    <definedName name="_4474_">#REF!</definedName>
    <definedName name="_4474_A">#REF!</definedName>
    <definedName name="_4475_">#REF!</definedName>
    <definedName name="_4475_A">#REF!</definedName>
    <definedName name="_4477_">#REF!</definedName>
    <definedName name="_4477_A">#REF!</definedName>
    <definedName name="_4481_">#REF!</definedName>
    <definedName name="_4481_A">#REF!</definedName>
    <definedName name="_4484_">#REF!</definedName>
    <definedName name="_4484_A">#REF!</definedName>
    <definedName name="_4485_">#REF!</definedName>
    <definedName name="_4485_A">#REF!</definedName>
    <definedName name="_4486_">#REF!</definedName>
    <definedName name="_4486_A">#REF!</definedName>
    <definedName name="_4487_">#REF!</definedName>
    <definedName name="_4487_A">#REF!</definedName>
    <definedName name="_4488_">#REF!</definedName>
    <definedName name="_4488_A">#REF!</definedName>
    <definedName name="_4491_">#REF!</definedName>
    <definedName name="_4491_A">#REF!</definedName>
    <definedName name="_4493_">#REF!</definedName>
    <definedName name="_4493_A">#REF!</definedName>
    <definedName name="_4494_">#REF!</definedName>
    <definedName name="_4494_A">#REF!</definedName>
    <definedName name="_4495_">#REF!</definedName>
    <definedName name="_4495_A">#REF!</definedName>
    <definedName name="_4496_">#REF!</definedName>
    <definedName name="_4496_A">#REF!</definedName>
    <definedName name="_4497_">#REF!</definedName>
    <definedName name="_4497_A">#REF!</definedName>
    <definedName name="_4499_">#REF!</definedName>
    <definedName name="_4499_A">#REF!</definedName>
    <definedName name="_44twoz" localSheetId="1">#REF!</definedName>
    <definedName name="_44twoz" localSheetId="2">#REF!</definedName>
    <definedName name="_44twoz">#REF!</definedName>
    <definedName name="_4500_">#REF!</definedName>
    <definedName name="_4500_A">#REF!</definedName>
    <definedName name="_4501_">#REF!</definedName>
    <definedName name="_4501_A">#REF!</definedName>
    <definedName name="_4502_">#REF!</definedName>
    <definedName name="_4502_A">#REF!</definedName>
    <definedName name="_4507_">#REF!</definedName>
    <definedName name="_4507_A">#REF!</definedName>
    <definedName name="_4509_">#REF!</definedName>
    <definedName name="_4509_A">#REF!</definedName>
    <definedName name="_4511_">#REF!</definedName>
    <definedName name="_4511_A">#REF!</definedName>
    <definedName name="_4513_">#REF!</definedName>
    <definedName name="_4513_A">#REF!</definedName>
    <definedName name="_4514_">#REF!</definedName>
    <definedName name="_4514_A">#REF!</definedName>
    <definedName name="_4515_">#REF!</definedName>
    <definedName name="_4515_A">#REF!</definedName>
    <definedName name="_4516_">#REF!</definedName>
    <definedName name="_4516_A">#REF!</definedName>
    <definedName name="_4519_">#REF!</definedName>
    <definedName name="_4519_A">#REF!</definedName>
    <definedName name="_4520_">#REF!</definedName>
    <definedName name="_4520_A">#REF!</definedName>
    <definedName name="_4521_">#REF!</definedName>
    <definedName name="_4521_A">#REF!</definedName>
    <definedName name="_4522_">#REF!</definedName>
    <definedName name="_4522_A">#REF!</definedName>
    <definedName name="_4524_">#REF!</definedName>
    <definedName name="_4524_A">#REF!</definedName>
    <definedName name="_4525_">#REF!</definedName>
    <definedName name="_4525_A">#REF!</definedName>
    <definedName name="_4529_">#REF!</definedName>
    <definedName name="_4529_A">#REF!</definedName>
    <definedName name="_4530_">#REF!</definedName>
    <definedName name="_4530_A">#REF!</definedName>
    <definedName name="_4535_">#REF!</definedName>
    <definedName name="_4535_A">#REF!</definedName>
    <definedName name="_4541_">#REF!</definedName>
    <definedName name="_4541_A">#REF!</definedName>
    <definedName name="_4542_">#REF!</definedName>
    <definedName name="_4542_A">#REF!</definedName>
    <definedName name="_4543_">#REF!</definedName>
    <definedName name="_4543_A">#REF!</definedName>
    <definedName name="_4544_">#REF!</definedName>
    <definedName name="_4544_A">#REF!</definedName>
    <definedName name="_4545_">#REF!</definedName>
    <definedName name="_4545_A">#REF!</definedName>
    <definedName name="_4549_">#REF!</definedName>
    <definedName name="_4549_A">#REF!</definedName>
    <definedName name="_4552_">#REF!</definedName>
    <definedName name="_4552_A">#REF!</definedName>
    <definedName name="_4553_">#REF!</definedName>
    <definedName name="_4553_A">#REF!</definedName>
    <definedName name="_4554_">#REF!</definedName>
    <definedName name="_4554_A">#REF!</definedName>
    <definedName name="_4555_">#REF!</definedName>
    <definedName name="_4555_A">#REF!</definedName>
    <definedName name="_4561_">#REF!</definedName>
    <definedName name="_4561_A">#REF!</definedName>
    <definedName name="_4563_">#REF!</definedName>
    <definedName name="_4563_A">#REF!</definedName>
    <definedName name="_4565_">#REF!</definedName>
    <definedName name="_4565_A">#REF!</definedName>
    <definedName name="_4566_">#REF!</definedName>
    <definedName name="_4566_A">#REF!</definedName>
    <definedName name="_4569_">#REF!</definedName>
    <definedName name="_4569_A">#REF!</definedName>
    <definedName name="_4570_">#REF!</definedName>
    <definedName name="_4570_A">#REF!</definedName>
    <definedName name="_4572_">#REF!</definedName>
    <definedName name="_4572_A">#REF!</definedName>
    <definedName name="_4573_">#REF!</definedName>
    <definedName name="_4573_A">#REF!</definedName>
    <definedName name="_4574_">#REF!</definedName>
    <definedName name="_4574_A">#REF!</definedName>
    <definedName name="_4575_">#REF!</definedName>
    <definedName name="_4575_A">#REF!</definedName>
    <definedName name="_4576_">#REF!</definedName>
    <definedName name="_4576_A">#REF!</definedName>
    <definedName name="_4577_">#REF!</definedName>
    <definedName name="_4577_A">#REF!</definedName>
    <definedName name="_4578_">#REF!</definedName>
    <definedName name="_4578_A">#REF!</definedName>
    <definedName name="_4579_">#REF!</definedName>
    <definedName name="_4579_A">#REF!</definedName>
    <definedName name="_4580_">#REF!</definedName>
    <definedName name="_4580_A">#REF!</definedName>
    <definedName name="_4586_">#REF!</definedName>
    <definedName name="_4586_A">#REF!</definedName>
    <definedName name="_4587_">#REF!</definedName>
    <definedName name="_4587_A">#REF!</definedName>
    <definedName name="_4588_">#REF!</definedName>
    <definedName name="_4588_A">#REF!</definedName>
    <definedName name="_4589_">#REF!</definedName>
    <definedName name="_4589_A">#REF!</definedName>
    <definedName name="_4591_">#REF!</definedName>
    <definedName name="_4591_A">#REF!</definedName>
    <definedName name="_4592_">#REF!</definedName>
    <definedName name="_4592_A">#REF!</definedName>
    <definedName name="_4596_">#REF!</definedName>
    <definedName name="_4596_A">#REF!</definedName>
    <definedName name="_4599_">#REF!</definedName>
    <definedName name="_4599_A">#REF!</definedName>
    <definedName name="_45wa" localSheetId="1">#REF!</definedName>
    <definedName name="_45wa" localSheetId="2">#REF!</definedName>
    <definedName name="_45wa">#REF!</definedName>
    <definedName name="_4600_">#REF!</definedName>
    <definedName name="_4600_A">#REF!</definedName>
    <definedName name="_4602_">#REF!</definedName>
    <definedName name="_4602_A">#REF!</definedName>
    <definedName name="_4606_">#REF!</definedName>
    <definedName name="_4606_A">#REF!</definedName>
    <definedName name="_4607_">#REF!</definedName>
    <definedName name="_4607_A">#REF!</definedName>
    <definedName name="_4608_">#REF!</definedName>
    <definedName name="_4608_A">#REF!</definedName>
    <definedName name="_4610_">#REF!</definedName>
    <definedName name="_4610_A">#REF!</definedName>
    <definedName name="_4611_">#REF!</definedName>
    <definedName name="_4611_A">#REF!</definedName>
    <definedName name="_4612_">#REF!</definedName>
    <definedName name="_4612_A">#REF!</definedName>
    <definedName name="_4613_">#REF!</definedName>
    <definedName name="_4613_A">#REF!</definedName>
    <definedName name="_4614_">#REF!</definedName>
    <definedName name="_4614_A">#REF!</definedName>
    <definedName name="_4615_">#REF!</definedName>
    <definedName name="_4615_A">#REF!</definedName>
    <definedName name="_4617_">#REF!</definedName>
    <definedName name="_4617_A">#REF!</definedName>
    <definedName name="_4621_">#REF!</definedName>
    <definedName name="_4621_A">#REF!</definedName>
    <definedName name="_4625_">#REF!</definedName>
    <definedName name="_4625_A">#REF!</definedName>
    <definedName name="_4626_">#REF!</definedName>
    <definedName name="_4626_A">#REF!</definedName>
    <definedName name="_4627_">#REF!</definedName>
    <definedName name="_4627_A">#REF!</definedName>
    <definedName name="_4628_">#REF!</definedName>
    <definedName name="_4628_A">#REF!</definedName>
    <definedName name="_4629_">#REF!</definedName>
    <definedName name="_4629_A">#REF!</definedName>
    <definedName name="_4635_">#REF!</definedName>
    <definedName name="_4635_A">#REF!</definedName>
    <definedName name="_4636_">#REF!</definedName>
    <definedName name="_4636_A">#REF!</definedName>
    <definedName name="_4637_">#REF!</definedName>
    <definedName name="_4637_A">#REF!</definedName>
    <definedName name="_4638_">#REF!</definedName>
    <definedName name="_4638_A">#REF!</definedName>
    <definedName name="_4639_">#REF!</definedName>
    <definedName name="_4639_A">#REF!</definedName>
    <definedName name="_4641_">#REF!</definedName>
    <definedName name="_4641_A">#REF!</definedName>
    <definedName name="_47.IMP._ISOLA.">#REF!</definedName>
    <definedName name="_4dr" localSheetId="1">#REF!</definedName>
    <definedName name="_4dr" localSheetId="2">#REF!</definedName>
    <definedName name="_4dr">#REF!</definedName>
    <definedName name="_4RiskStatFunctionsUpdateFr_q">1</definedName>
    <definedName name="_5__123Graph_XCHART_1" localSheetId="1" hidden="1">#REF!</definedName>
    <definedName name="_5__123Graph_XCHART_1" localSheetId="2" hidden="1">#REF!</definedName>
    <definedName name="_5__123Graph_X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5e" localSheetId="1">#REF!</definedName>
    <definedName name="_5e" localSheetId="2">#REF!</definedName>
    <definedName name="_5e">#REF!</definedName>
    <definedName name="_60_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6eight" localSheetId="1">#REF!</definedName>
    <definedName name="_6eight" localSheetId="2">#REF!</definedName>
    <definedName name="_6eight">#REF!</definedName>
    <definedName name="_71_73.I.ELET_H">#REF!</definedName>
    <definedName name="_77.OUTRAS_INST.">#REF!</definedName>
    <definedName name="_78.ELEVADORES">#REF!</definedName>
    <definedName name="_7eightei" localSheetId="1">#REF!</definedName>
    <definedName name="_7eightei" localSheetId="2">#REF!</definedName>
    <definedName name="_7eightei">#REF!</definedName>
    <definedName name="_81.APAR._SANIT">#REF!</definedName>
    <definedName name="_83_85.PINT_LIM">#REF!</definedName>
    <definedName name="_8eightf" localSheetId="1">#REF!</definedName>
    <definedName name="_8eightf" localSheetId="2">#REF!</definedName>
    <definedName name="_8eightf">#REF!</definedName>
    <definedName name="_9eightn" localSheetId="1">#REF!</definedName>
    <definedName name="_9eightn" localSheetId="2">#REF!</definedName>
    <definedName name="_9eightn">#REF!</definedName>
    <definedName name="_A">#REF!</definedName>
    <definedName name="_A1">#REF!</definedName>
    <definedName name="_cab1">#REF!</definedName>
    <definedName name="_COM">#REF!</definedName>
    <definedName name="_COM010201">#REF!</definedName>
    <definedName name="_COM010202">#REF!</definedName>
    <definedName name="_COM010205">#REF!</definedName>
    <definedName name="_COM010206">#REF!</definedName>
    <definedName name="_COM010207">#REF!</definedName>
    <definedName name="_COM010210">#REF!</definedName>
    <definedName name="_COM010301">#REF!</definedName>
    <definedName name="_COM010401">#REF!</definedName>
    <definedName name="_COM010402">#REF!</definedName>
    <definedName name="_COM010407">#REF!</definedName>
    <definedName name="_COM010413">#REF!</definedName>
    <definedName name="_COM010501">#REF!</definedName>
    <definedName name="_COM010503">#REF!</definedName>
    <definedName name="_COM010505">#REF!</definedName>
    <definedName name="_COM010509">#REF!</definedName>
    <definedName name="_COM010512">#REF!</definedName>
    <definedName name="_COM010518">#REF!</definedName>
    <definedName name="_COM010519">#REF!</definedName>
    <definedName name="_COM010521">#REF!</definedName>
    <definedName name="_COM010523">#REF!</definedName>
    <definedName name="_COM010532">#REF!</definedName>
    <definedName name="_COM010533">#REF!</definedName>
    <definedName name="_COM010536">#REF!</definedName>
    <definedName name="_COM010701">#REF!</definedName>
    <definedName name="_COM010703">#REF!</definedName>
    <definedName name="_COM010705">#REF!</definedName>
    <definedName name="_COM010708">#REF!</definedName>
    <definedName name="_COM010710">#REF!</definedName>
    <definedName name="_COM010712">#REF!</definedName>
    <definedName name="_COM010717">#REF!</definedName>
    <definedName name="_COM010718">#REF!</definedName>
    <definedName name="_COM020201">#REF!</definedName>
    <definedName name="_COM020205">#REF!</definedName>
    <definedName name="_COM020211">#REF!</definedName>
    <definedName name="_COM020217">#REF!</definedName>
    <definedName name="_COM030102">#REF!</definedName>
    <definedName name="_COM030201">#REF!</definedName>
    <definedName name="_COM030303">#REF!</definedName>
    <definedName name="_COM030317">#REF!</definedName>
    <definedName name="_COM040101">#REF!</definedName>
    <definedName name="_COM040202">#REF!</definedName>
    <definedName name="_COM050103">#REF!</definedName>
    <definedName name="_COM050207">#REF!</definedName>
    <definedName name="_COM060101">#REF!</definedName>
    <definedName name="_COM080101">#REF!</definedName>
    <definedName name="_COM080310">#REF!</definedName>
    <definedName name="_COM090101">#REF!</definedName>
    <definedName name="_COM100302">#REF!</definedName>
    <definedName name="_COM110101">#REF!</definedName>
    <definedName name="_COM110104">#REF!</definedName>
    <definedName name="_COM110107">#REF!</definedName>
    <definedName name="_COM120101">#REF!</definedName>
    <definedName name="_COM120105">#REF!</definedName>
    <definedName name="_COM120106">#REF!</definedName>
    <definedName name="_COM120107">#REF!</definedName>
    <definedName name="_COM120110">#REF!</definedName>
    <definedName name="_COM120150">#REF!</definedName>
    <definedName name="_COM130101">#REF!</definedName>
    <definedName name="_COM130103">#REF!</definedName>
    <definedName name="_COM130304">#REF!</definedName>
    <definedName name="_COM130401">#REF!</definedName>
    <definedName name="_COM140102">#REF!</definedName>
    <definedName name="_COM140109">#REF!</definedName>
    <definedName name="_COM140113">#REF!</definedName>
    <definedName name="_COM140122">#REF!</definedName>
    <definedName name="_COM140126">#REF!</definedName>
    <definedName name="_COM140129">#REF!</definedName>
    <definedName name="_COM140135">#REF!</definedName>
    <definedName name="_COM140143">#REF!</definedName>
    <definedName name="_COM140145">#REF!</definedName>
    <definedName name="_COM150130">#REF!</definedName>
    <definedName name="_COM170101">#REF!</definedName>
    <definedName name="_COM170102">#REF!</definedName>
    <definedName name="_COM170103">#REF!</definedName>
    <definedName name="_compila">#REF!</definedName>
    <definedName name="_D3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3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3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3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3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4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4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4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4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4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5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5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5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5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5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5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6" localSheetId="12">{0;0;0;0;9;#N/A;0.75;0.75;1;1;1;FALSE;FALSE;FALSE;FALSE;FALSE;#N/A;1;100;#N/A;#N/A;"&amp;A";"Page &amp;P"}</definedName>
    <definedName name="_D6" localSheetId="1">{0;0;0;0;9;#N/A;0.75;0.75;1;1;1;FALSE;FALSE;FALSE;FALSE;FALSE;#N/A;1;100;#N/A;#N/A;"&amp;A";"Page &amp;P"}</definedName>
    <definedName name="_D6" localSheetId="4">{0;0;0;0;9;#N/A;0.75;0.75;1;1;1;FALSE;FALSE;FALSE;FALSE;FALSE;#N/A;1;100;#N/A;#N/A;"&amp;A";"Page &amp;P"}</definedName>
    <definedName name="_D6" localSheetId="0">{0;0;0;0;9;#N/A;0.75;0.75;1;1;1;FALSE;FALSE;FALSE;FALSE;FALSE;#N/A;1;100;#N/A;#N/A;"&amp;A";"Page &amp;P"}</definedName>
    <definedName name="_D6" localSheetId="2">{0;0;0;0;9;#N/A;0.75;0.75;1;1;1;FALSE;FALSE;FALSE;FALSE;FALSE;#N/A;1;100;#N/A;#N/A;"&amp;A";"Page &amp;P"}</definedName>
    <definedName name="_D6">{0;0;0;0;9;#N/A;0.75;0.75;1;1;1;FALSE;FALSE;FALSE;FALSE;FALSE;#N/A;1;100;#N/A;#N/A;"&amp;A";"Page &amp;P"}</definedName>
    <definedName name="_D7" localSheetId="12">{0;0;0;0;9;#N/A;0.75;0.75;1;1;1;FALSE;FALSE;FALSE;FALSE;FALSE;#N/A;1;100;#N/A;#N/A;"&amp;A";"Page &amp;P"}</definedName>
    <definedName name="_D7" localSheetId="1">{0;0;0;0;9;#N/A;0.75;0.75;1;1;1;FALSE;FALSE;FALSE;FALSE;FALSE;#N/A;1;100;#N/A;#N/A;"&amp;A";"Page &amp;P"}</definedName>
    <definedName name="_D7" localSheetId="4">{0;0;0;0;9;#N/A;0.75;0.75;1;1;1;FALSE;FALSE;FALSE;FALSE;FALSE;#N/A;1;100;#N/A;#N/A;"&amp;A";"Page &amp;P"}</definedName>
    <definedName name="_D7" localSheetId="0">{0;0;0;0;9;#N/A;0.75;0.75;1;1;1;FALSE;FALSE;FALSE;FALSE;FALSE;#N/A;1;100;#N/A;#N/A;"&amp;A";"Page &amp;P"}</definedName>
    <definedName name="_D7" localSheetId="2">{0;0;0;0;9;#N/A;0.75;0.75;1;1;1;FALSE;FALSE;FALSE;FALSE;FALSE;#N/A;1;100;#N/A;#N/A;"&amp;A";"Page &amp;P"}</definedName>
    <definedName name="_D7">{0;0;0;0;9;#N/A;0.75;0.75;1;1;1;FALSE;FALSE;FALSE;FALSE;FALSE;#N/A;1;100;#N/A;#N/A;"&amp;A";"Page &amp;P"}</definedName>
    <definedName name="_D8" localSheetId="12">{0;0;0;0;9;#N/A;0.75;0.75;1;1;1;FALSE;FALSE;FALSE;FALSE;FALSE;#N/A;1;100;#N/A;#N/A;"&amp;A";"Page &amp;P"}</definedName>
    <definedName name="_D8" localSheetId="1">{0;0;0;0;9;#N/A;0.75;0.75;1;1;1;FALSE;FALSE;FALSE;FALSE;FALSE;#N/A;1;100;#N/A;#N/A;"&amp;A";"Page &amp;P"}</definedName>
    <definedName name="_D8" localSheetId="4">{0;0;0;0;9;#N/A;0.75;0.75;1;1;1;FALSE;FALSE;FALSE;FALSE;FALSE;#N/A;1;100;#N/A;#N/A;"&amp;A";"Page &amp;P"}</definedName>
    <definedName name="_D8" localSheetId="0">{0;0;0;0;9;#N/A;0.75;0.75;1;1;1;FALSE;FALSE;FALSE;FALSE;FALSE;#N/A;1;100;#N/A;#N/A;"&amp;A";"Page &amp;P"}</definedName>
    <definedName name="_D8" localSheetId="2">{0;0;0;0;9;#N/A;0.75;0.75;1;1;1;FALSE;FALSE;FALSE;FALSE;FALSE;#N/A;1;100;#N/A;#N/A;"&amp;A";"Page &amp;P"}</definedName>
    <definedName name="_D8">{0;0;0;0;9;#N/A;0.75;0.75;1;1;1;FALSE;FALSE;FALSE;FALSE;FALSE;#N/A;1;100;#N/A;#N/A;"&amp;A";"Page &amp;P"}</definedName>
    <definedName name="_Fill" localSheetId="1" hidden="1">#REF!</definedName>
    <definedName name="_Fill" localSheetId="2" hidden="1">#REF!</definedName>
    <definedName name="_Fill" hidden="1">#REF!</definedName>
    <definedName name="_xlnm._FilterDatabase" localSheetId="5" hidden="1">'Base_Resultado Mensal_V2'!$A$2:$O$299</definedName>
    <definedName name="_xlnm._FilterDatabase" localSheetId="14" hidden="1">Moedas!$A$1:$P$10</definedName>
    <definedName name="_xlnm._FilterDatabase" localSheetId="13" hidden="1">Nacional!$A$1:$P$108</definedName>
    <definedName name="_GLB2">#REF!</definedName>
    <definedName name="_i3">#REF!</definedName>
    <definedName name="_INV12">#REF!</definedName>
    <definedName name="_INV13">#REF!</definedName>
    <definedName name="_inv2" localSheetId="1">#REF!</definedName>
    <definedName name="_inv2" localSheetId="2">#REF!</definedName>
    <definedName name="_inv2">#REF!</definedName>
    <definedName name="_ISS_">#REF!</definedName>
    <definedName name="_j" hidden="1">#REF!</definedName>
    <definedName name="_Key1" hidden="1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O010201">#REF!</definedName>
    <definedName name="_MAO010202">#REF!</definedName>
    <definedName name="_MAO010205">#REF!</definedName>
    <definedName name="_MAO010206">#REF!</definedName>
    <definedName name="_MAO010210">#REF!</definedName>
    <definedName name="_MAO010401">#REF!</definedName>
    <definedName name="_MAO010402">#REF!</definedName>
    <definedName name="_MAO010407">#REF!</definedName>
    <definedName name="_MAO010413">#REF!</definedName>
    <definedName name="_MAO010501">#REF!</definedName>
    <definedName name="_MAO010503">#REF!</definedName>
    <definedName name="_MAO010505">#REF!</definedName>
    <definedName name="_MAO010509">#REF!</definedName>
    <definedName name="_MAO010512">#REF!</definedName>
    <definedName name="_MAO010518">#REF!</definedName>
    <definedName name="_MAO010519">#REF!</definedName>
    <definedName name="_MAO010521">#REF!</definedName>
    <definedName name="_MAO010523">#REF!</definedName>
    <definedName name="_MAO010532">#REF!</definedName>
    <definedName name="_MAO010533">#REF!</definedName>
    <definedName name="_MAO010536">#REF!</definedName>
    <definedName name="_MAO010701">#REF!</definedName>
    <definedName name="_MAO010703">#REF!</definedName>
    <definedName name="_MAO010705">#REF!</definedName>
    <definedName name="_MAO010708">#REF!</definedName>
    <definedName name="_MAO010710">#REF!</definedName>
    <definedName name="_MAO010712">#REF!</definedName>
    <definedName name="_MAO010717">#REF!</definedName>
    <definedName name="_MAO020201">#REF!</definedName>
    <definedName name="_MAO020205">#REF!</definedName>
    <definedName name="_MAO020211">#REF!</definedName>
    <definedName name="_MAO020217">#REF!</definedName>
    <definedName name="_MAO030102">#REF!</definedName>
    <definedName name="_MAO030201">#REF!</definedName>
    <definedName name="_MAO030303">#REF!</definedName>
    <definedName name="_MAO030317">#REF!</definedName>
    <definedName name="_MAO040101">#REF!</definedName>
    <definedName name="_MAO040202">#REF!</definedName>
    <definedName name="_MAO050103">#REF!</definedName>
    <definedName name="_MAO050207">#REF!</definedName>
    <definedName name="_MAO060101">#REF!</definedName>
    <definedName name="_MAO080310">#REF!</definedName>
    <definedName name="_MAO090101">#REF!</definedName>
    <definedName name="_MAO110101">#REF!</definedName>
    <definedName name="_MAO110104">#REF!</definedName>
    <definedName name="_MAO110107">#REF!</definedName>
    <definedName name="_MAO120101">#REF!</definedName>
    <definedName name="_MAO120105">#REF!</definedName>
    <definedName name="_MAO120106">#REF!</definedName>
    <definedName name="_MAO120107">#REF!</definedName>
    <definedName name="_MAO120110">#REF!</definedName>
    <definedName name="_MAO120150">#REF!</definedName>
    <definedName name="_MAO130101">#REF!</definedName>
    <definedName name="_MAO130103">#REF!</definedName>
    <definedName name="_MAO130304">#REF!</definedName>
    <definedName name="_MAO130401">#REF!</definedName>
    <definedName name="_MAO140102">#REF!</definedName>
    <definedName name="_MAO140109">#REF!</definedName>
    <definedName name="_MAO140113">#REF!</definedName>
    <definedName name="_MAO140122">#REF!</definedName>
    <definedName name="_MAO140126">#REF!</definedName>
    <definedName name="_MAO140129">#REF!</definedName>
    <definedName name="_MAO140135">#REF!</definedName>
    <definedName name="_MAO140143">#REF!</definedName>
    <definedName name="_MAO140145">#REF!</definedName>
    <definedName name="_MAT010301">#REF!</definedName>
    <definedName name="_MAT010401">#REF!</definedName>
    <definedName name="_MAT010402">#REF!</definedName>
    <definedName name="_MAT010407">#REF!</definedName>
    <definedName name="_MAT010413">#REF!</definedName>
    <definedName name="_MAT010536">#REF!</definedName>
    <definedName name="_MAT010703">#REF!</definedName>
    <definedName name="_MAT010708">#REF!</definedName>
    <definedName name="_MAT010710">#REF!</definedName>
    <definedName name="_MAT010718">#REF!</definedName>
    <definedName name="_MAT020201">#REF!</definedName>
    <definedName name="_MAT020205">#REF!</definedName>
    <definedName name="_MAT020211">#REF!</definedName>
    <definedName name="_MAT030102">#REF!</definedName>
    <definedName name="_MAT030201">#REF!</definedName>
    <definedName name="_MAT030303">#REF!</definedName>
    <definedName name="_MAT030317">#REF!</definedName>
    <definedName name="_MAT040101">#REF!</definedName>
    <definedName name="_MAT040202">#REF!</definedName>
    <definedName name="_MAT050103">#REF!</definedName>
    <definedName name="_MAT050207">#REF!</definedName>
    <definedName name="_MAT060101">#REF!</definedName>
    <definedName name="_MAT080101">#REF!</definedName>
    <definedName name="_MAT080310">#REF!</definedName>
    <definedName name="_MAT090101">#REF!</definedName>
    <definedName name="_MAT100302">#REF!</definedName>
    <definedName name="_MAT110101">#REF!</definedName>
    <definedName name="_MAT110104">#REF!</definedName>
    <definedName name="_MAT110107">#REF!</definedName>
    <definedName name="_MAT120101">#REF!</definedName>
    <definedName name="_MAT120105">#REF!</definedName>
    <definedName name="_MAT120106">#REF!</definedName>
    <definedName name="_MAT120107">#REF!</definedName>
    <definedName name="_MAT120110">#REF!</definedName>
    <definedName name="_MAT120150">#REF!</definedName>
    <definedName name="_MAT130101">#REF!</definedName>
    <definedName name="_MAT130103">#REF!</definedName>
    <definedName name="_MAT130304">#REF!</definedName>
    <definedName name="_MAT130401">#REF!</definedName>
    <definedName name="_MAT140102">#REF!</definedName>
    <definedName name="_MAT140109">#REF!</definedName>
    <definedName name="_MAT140113">#REF!</definedName>
    <definedName name="_MAT140122">#REF!</definedName>
    <definedName name="_MAT140126">#REF!</definedName>
    <definedName name="_MAT140129">#REF!</definedName>
    <definedName name="_MAT140135">#REF!</definedName>
    <definedName name="_MAT140143">#REF!</definedName>
    <definedName name="_MAT140145">#REF!</definedName>
    <definedName name="_MAT150130">#REF!</definedName>
    <definedName name="_MAT170101">#REF!</definedName>
    <definedName name="_MAT170102">#REF!</definedName>
    <definedName name="_MAT170103">#REF!</definedName>
    <definedName name="_MAT3865">#REF!</definedName>
    <definedName name="_oae1">#REF!</definedName>
    <definedName name="_Order1" hidden="1">255</definedName>
    <definedName name="_Order2" hidden="1">255</definedName>
    <definedName name="_P00Balance">#REF!</definedName>
    <definedName name="_P00Cash">#REF!</definedName>
    <definedName name="_P00Debt">#REF!</definedName>
    <definedName name="_P00debt1">#REF!</definedName>
    <definedName name="_P00debt2">#REF!</definedName>
    <definedName name="_P00Deprec.">#REF!</definedName>
    <definedName name="_Parse_Out" hidden="1">#REF!</definedName>
    <definedName name="_pav1">#REF!</definedName>
    <definedName name="_PM1">#REF!</definedName>
    <definedName name="_PM2">#REF!</definedName>
    <definedName name="_PRE010201">#REF!</definedName>
    <definedName name="_PRE010202">#REF!</definedName>
    <definedName name="_PRE010205">#REF!</definedName>
    <definedName name="_PRE010206">#REF!</definedName>
    <definedName name="_PRE010210">#REF!</definedName>
    <definedName name="_PRE010301">#REF!</definedName>
    <definedName name="_PRE010401">#REF!</definedName>
    <definedName name="_PRE010402">#REF!</definedName>
    <definedName name="_PRE010407">#REF!</definedName>
    <definedName name="_PRE010413">#REF!</definedName>
    <definedName name="_PRE010501">#REF!</definedName>
    <definedName name="_PRE010503">#REF!</definedName>
    <definedName name="_PRE010505">#REF!</definedName>
    <definedName name="_PRE010509">#REF!</definedName>
    <definedName name="_PRE010512">#REF!</definedName>
    <definedName name="_PRE010518">#REF!</definedName>
    <definedName name="_PRE010519">#REF!</definedName>
    <definedName name="_PRE010521">#REF!</definedName>
    <definedName name="_PRE010523">#REF!</definedName>
    <definedName name="_PRE010532">#REF!</definedName>
    <definedName name="_PRE010533">#REF!</definedName>
    <definedName name="_PRE010536">#REF!</definedName>
    <definedName name="_PRE010701">#REF!</definedName>
    <definedName name="_PRE010703">#REF!</definedName>
    <definedName name="_PRE010705">#REF!</definedName>
    <definedName name="_PRE010708">#REF!</definedName>
    <definedName name="_PRE010710">#REF!</definedName>
    <definedName name="_PRE010712">#REF!</definedName>
    <definedName name="_PRE010717">#REF!</definedName>
    <definedName name="_PRE010718">#REF!</definedName>
    <definedName name="_PRE020201">#REF!</definedName>
    <definedName name="_PRE020205">#REF!</definedName>
    <definedName name="_PRE020211">#REF!</definedName>
    <definedName name="_PRE020217">#REF!</definedName>
    <definedName name="_PRE030102">#REF!</definedName>
    <definedName name="_PRE030201">#REF!</definedName>
    <definedName name="_PRE030303">#REF!</definedName>
    <definedName name="_PRE030317">#REF!</definedName>
    <definedName name="_PRE040101">#REF!</definedName>
    <definedName name="_PRE040202">#REF!</definedName>
    <definedName name="_PRE050103">#REF!</definedName>
    <definedName name="_PRE050207">#REF!</definedName>
    <definedName name="_PRE060101">#REF!</definedName>
    <definedName name="_PRE080101">#REF!</definedName>
    <definedName name="_PRE080310">#REF!</definedName>
    <definedName name="_PRE090101">#REF!</definedName>
    <definedName name="_PRE100302">#REF!</definedName>
    <definedName name="_PRE110101">#REF!</definedName>
    <definedName name="_PRE110104">#REF!</definedName>
    <definedName name="_PRE110107">#REF!</definedName>
    <definedName name="_PRE120101">#REF!</definedName>
    <definedName name="_PRE120105">#REF!</definedName>
    <definedName name="_PRE120106">#REF!</definedName>
    <definedName name="_PRE120107">#REF!</definedName>
    <definedName name="_PRE120110">#REF!</definedName>
    <definedName name="_PRE120150">#REF!</definedName>
    <definedName name="_PRE130101">#REF!</definedName>
    <definedName name="_PRE130103">#REF!</definedName>
    <definedName name="_PRE130304">#REF!</definedName>
    <definedName name="_PRE130401">#REF!</definedName>
    <definedName name="_PRE140102">#REF!</definedName>
    <definedName name="_PRE140109">#REF!</definedName>
    <definedName name="_PRE140113">#REF!</definedName>
    <definedName name="_PRE140122">#REF!</definedName>
    <definedName name="_PRE140126">#REF!</definedName>
    <definedName name="_PRE140129">#REF!</definedName>
    <definedName name="_PRE140135">#REF!</definedName>
    <definedName name="_PRE140143">#REF!</definedName>
    <definedName name="_PRE140145">#REF!</definedName>
    <definedName name="_PRE150130">#REF!</definedName>
    <definedName name="_PRE170101">#REF!</definedName>
    <definedName name="_PRE170102">#REF!</definedName>
    <definedName name="_PRE170103">#REF!</definedName>
    <definedName name="_qe1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0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0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0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0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0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1" localSheetId="12">{0;0;0;0;9;#N/A;0.75;0.75;1;1;1;FALSE;FALSE;FALSE;FALSE;FALSE;#N/A;1;100;#N/A;#N/A;"&amp;A";"Page &amp;P"}</definedName>
    <definedName name="_qe11" localSheetId="1">{0;0;0;0;9;#N/A;0.75;0.75;1;1;1;FALSE;FALSE;FALSE;FALSE;FALSE;#N/A;1;100;#N/A;#N/A;"&amp;A";"Page &amp;P"}</definedName>
    <definedName name="_qe11" localSheetId="4">{0;0;0;0;9;#N/A;0.75;0.75;1;1;1;FALSE;FALSE;FALSE;FALSE;FALSE;#N/A;1;100;#N/A;#N/A;"&amp;A";"Page &amp;P"}</definedName>
    <definedName name="_qe11" localSheetId="0">{0;0;0;0;9;#N/A;0.75;0.75;1;1;1;FALSE;FALSE;FALSE;FALSE;FALSE;#N/A;1;100;#N/A;#N/A;"&amp;A";"Page &amp;P"}</definedName>
    <definedName name="_qe11" localSheetId="2">{0;0;0;0;9;#N/A;0.75;0.75;1;1;1;FALSE;FALSE;FALSE;FALSE;FALSE;#N/A;1;100;#N/A;#N/A;"&amp;A";"Page &amp;P"}</definedName>
    <definedName name="_qe11">{0;0;0;0;9;#N/A;0.75;0.75;1;1;1;FALSE;FALSE;FALSE;FALSE;FALSE;#N/A;1;100;#N/A;#N/A;"&amp;A";"Page &amp;P"}</definedName>
    <definedName name="_qe2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2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2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2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2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3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3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3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3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3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4" localSheetId="12">{0;0;0;0;9;#N/A;0.75;0.75;1;1;1;FALSE;FALSE;FALSE;FALSE;FALSE;#N/A;1;100;#N/A;#N/A;"&amp;A";"Page &amp;P"}</definedName>
    <definedName name="_qe4" localSheetId="1">{0;0;0;0;9;#N/A;0.75;0.75;1;1;1;FALSE;FALSE;FALSE;FALSE;FALSE;#N/A;1;100;#N/A;#N/A;"&amp;A";"Page &amp;P"}</definedName>
    <definedName name="_qe4" localSheetId="4">{0;0;0;0;9;#N/A;0.75;0.75;1;1;1;FALSE;FALSE;FALSE;FALSE;FALSE;#N/A;1;100;#N/A;#N/A;"&amp;A";"Page &amp;P"}</definedName>
    <definedName name="_qe4" localSheetId="0">{0;0;0;0;9;#N/A;0.75;0.75;1;1;1;FALSE;FALSE;FALSE;FALSE;FALSE;#N/A;1;100;#N/A;#N/A;"&amp;A";"Page &amp;P"}</definedName>
    <definedName name="_qe4" localSheetId="2">{0;0;0;0;9;#N/A;0.75;0.75;1;1;1;FALSE;FALSE;FALSE;FALSE;FALSE;#N/A;1;100;#N/A;#N/A;"&amp;A";"Page &amp;P"}</definedName>
    <definedName name="_qe4">{0;0;0;0;9;#N/A;0.75;0.75;1;1;1;FALSE;FALSE;FALSE;FALSE;FALSE;#N/A;1;100;#N/A;#N/A;"&amp;A";"Page &amp;P"}</definedName>
    <definedName name="_qe5" localSheetId="12">{0;0;0;0;9;#N/A;0.75;0.75;1;1;1;FALSE;FALSE;FALSE;FALSE;FALSE;#N/A;1;100;#N/A;#N/A;"&amp;A";"Page &amp;P"}</definedName>
    <definedName name="_qe5" localSheetId="1">{0;0;0;0;9;#N/A;0.75;0.75;1;1;1;FALSE;FALSE;FALSE;FALSE;FALSE;#N/A;1;100;#N/A;#N/A;"&amp;A";"Page &amp;P"}</definedName>
    <definedName name="_qe5" localSheetId="4">{0;0;0;0;9;#N/A;0.75;0.75;1;1;1;FALSE;FALSE;FALSE;FALSE;FALSE;#N/A;1;100;#N/A;#N/A;"&amp;A";"Page &amp;P"}</definedName>
    <definedName name="_qe5" localSheetId="0">{0;0;0;0;9;#N/A;0.75;0.75;1;1;1;FALSE;FALSE;FALSE;FALSE;FALSE;#N/A;1;100;#N/A;#N/A;"&amp;A";"Page &amp;P"}</definedName>
    <definedName name="_qe5" localSheetId="2">{0;0;0;0;9;#N/A;0.75;0.75;1;1;1;FALSE;FALSE;FALSE;FALSE;FALSE;#N/A;1;100;#N/A;#N/A;"&amp;A";"Page &amp;P"}</definedName>
    <definedName name="_qe5">{0;0;0;0;9;#N/A;0.75;0.75;1;1;1;FALSE;FALSE;FALSE;FALSE;FALSE;#N/A;1;100;#N/A;#N/A;"&amp;A";"Page &amp;P"}</definedName>
    <definedName name="_qe6" localSheetId="12">{0;0;0;0;9;#N/A;0.75;0.75;1;1;1;FALSE;FALSE;FALSE;FALSE;FALSE;#N/A;1;100;#N/A;#N/A;"&amp;A";"Page &amp;P"}</definedName>
    <definedName name="_qe6" localSheetId="1">{0;0;0;0;9;#N/A;0.75;0.75;1;1;1;FALSE;FALSE;FALSE;FALSE;FALSE;#N/A;1;100;#N/A;#N/A;"&amp;A";"Page &amp;P"}</definedName>
    <definedName name="_qe6" localSheetId="4">{0;0;0;0;9;#N/A;0.75;0.75;1;1;1;FALSE;FALSE;FALSE;FALSE;FALSE;#N/A;1;100;#N/A;#N/A;"&amp;A";"Page &amp;P"}</definedName>
    <definedName name="_qe6" localSheetId="0">{0;0;0;0;9;#N/A;0.75;0.75;1;1;1;FALSE;FALSE;FALSE;FALSE;FALSE;#N/A;1;100;#N/A;#N/A;"&amp;A";"Page &amp;P"}</definedName>
    <definedName name="_qe6" localSheetId="2">{0;0;0;0;9;#N/A;0.75;0.75;1;1;1;FALSE;FALSE;FALSE;FALSE;FALSE;#N/A;1;100;#N/A;#N/A;"&amp;A";"Page &amp;P"}</definedName>
    <definedName name="_qe6">{0;0;0;0;9;#N/A;0.75;0.75;1;1;1;FALSE;FALSE;FALSE;FALSE;FALSE;#N/A;1;100;#N/A;#N/A;"&amp;A";"Page &amp;P"}</definedName>
    <definedName name="_qe7" localSheetId="12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qe7" localSheetId="1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qe7" localSheetId="4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qe7" localSheetId="0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qe7" localSheetId="2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qe7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qe8" localSheetId="12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qe8" localSheetId="1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qe8" localSheetId="4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qe8" localSheetId="0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qe8" localSheetId="2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qe8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qe9" localSheetId="12">{0;0;0;0;258;#N/A;0.75;0.75;1;1;2;FALSE;FALSE;FALSE;FALSE;FALSE;#N/A;1;#N/A;1;1;"&amp;A";"Page &amp;P"}</definedName>
    <definedName name="_qe9" localSheetId="1">{0;0;0;0;258;#N/A;0.75;0.75;1;1;2;FALSE;FALSE;FALSE;FALSE;FALSE;#N/A;1;#N/A;1;1;"&amp;A";"Page &amp;P"}</definedName>
    <definedName name="_qe9" localSheetId="4">{0;0;0;0;258;#N/A;0.75;0.75;1;1;2;FALSE;FALSE;FALSE;FALSE;FALSE;#N/A;1;#N/A;1;1;"&amp;A";"Page &amp;P"}</definedName>
    <definedName name="_qe9" localSheetId="0">{0;0;0;0;258;#N/A;0.75;0.75;1;1;2;FALSE;FALSE;FALSE;FALSE;FALSE;#N/A;1;#N/A;1;1;"&amp;A";"Page &amp;P"}</definedName>
    <definedName name="_qe9" localSheetId="2">{0;0;0;0;258;#N/A;0.75;0.75;1;1;2;FALSE;FALSE;FALSE;FALSE;FALSE;#N/A;1;#N/A;1;1;"&amp;A";"Page &amp;P"}</definedName>
    <definedName name="_qe9">{0;0;0;0;258;#N/A;0.75;0.75;1;1;2;FALSE;FALSE;FALSE;FALSE;FALSE;#N/A;1;#N/A;1;1;"&amp;A";"Page &amp;P"}</definedName>
    <definedName name="_QUA010201">#REF!</definedName>
    <definedName name="_QUA010202">#REF!</definedName>
    <definedName name="_QUA010205">#REF!</definedName>
    <definedName name="_QUA010206">#REF!</definedName>
    <definedName name="_QUA010210">#REF!</definedName>
    <definedName name="_QUA010301">#REF!</definedName>
    <definedName name="_QUA010401">#REF!</definedName>
    <definedName name="_QUA010402">#REF!</definedName>
    <definedName name="_QUA010407">#REF!</definedName>
    <definedName name="_QUA010413">#REF!</definedName>
    <definedName name="_QUA010501">#REF!</definedName>
    <definedName name="_QUA010503">#REF!</definedName>
    <definedName name="_QUA010505">#REF!</definedName>
    <definedName name="_QUA010509">#REF!</definedName>
    <definedName name="_QUA010512">#REF!</definedName>
    <definedName name="_QUA010518">#REF!</definedName>
    <definedName name="_QUA010519">#REF!</definedName>
    <definedName name="_QUA010521">#REF!</definedName>
    <definedName name="_QUA010523">#REF!</definedName>
    <definedName name="_QUA010532">#REF!</definedName>
    <definedName name="_QUA010533">#REF!</definedName>
    <definedName name="_QUA010536">#REF!</definedName>
    <definedName name="_QUA010701">#REF!</definedName>
    <definedName name="_QUA010703">#REF!</definedName>
    <definedName name="_QUA010705">#REF!</definedName>
    <definedName name="_QUA010708">#REF!</definedName>
    <definedName name="_QUA010710">#REF!</definedName>
    <definedName name="_QUA010712">#REF!</definedName>
    <definedName name="_QUA010717">#REF!</definedName>
    <definedName name="_QUA010718">#REF!</definedName>
    <definedName name="_QUA020201">#REF!</definedName>
    <definedName name="_QUA020205">#REF!</definedName>
    <definedName name="_QUA020211">#REF!</definedName>
    <definedName name="_QUA020217">#REF!</definedName>
    <definedName name="_QUA030102">#REF!</definedName>
    <definedName name="_QUA030201">#REF!</definedName>
    <definedName name="_QUA030303">#REF!</definedName>
    <definedName name="_QUA030317">#REF!</definedName>
    <definedName name="_QUA040101">#REF!</definedName>
    <definedName name="_QUA040202">#REF!</definedName>
    <definedName name="_QUA050103">#REF!</definedName>
    <definedName name="_QUA050207">#REF!</definedName>
    <definedName name="_QUA060101">#REF!</definedName>
    <definedName name="_QUA080101">#REF!</definedName>
    <definedName name="_QUA080310">#REF!</definedName>
    <definedName name="_QUA090101">#REF!</definedName>
    <definedName name="_QUA100302">#REF!</definedName>
    <definedName name="_QUA110101">#REF!</definedName>
    <definedName name="_QUA110104">#REF!</definedName>
    <definedName name="_QUA110107">#REF!</definedName>
    <definedName name="_QUA120101">#REF!</definedName>
    <definedName name="_QUA120105">#REF!</definedName>
    <definedName name="_QUA120106">#REF!</definedName>
    <definedName name="_QUA120107">#REF!</definedName>
    <definedName name="_QUA120110">#REF!</definedName>
    <definedName name="_QUA120150">#REF!</definedName>
    <definedName name="_QUA130101">#REF!</definedName>
    <definedName name="_QUA130103">#REF!</definedName>
    <definedName name="_QUA130304">#REF!</definedName>
    <definedName name="_QUA130401">#REF!</definedName>
    <definedName name="_QUA140102">#REF!</definedName>
    <definedName name="_QUA140109">#REF!</definedName>
    <definedName name="_QUA140113">#REF!</definedName>
    <definedName name="_QUA140122">#REF!</definedName>
    <definedName name="_QUA140126">#REF!</definedName>
    <definedName name="_QUA140129">#REF!</definedName>
    <definedName name="_QUA140135">#REF!</definedName>
    <definedName name="_QUA140143">#REF!</definedName>
    <definedName name="_QUA140145">#REF!</definedName>
    <definedName name="_QUA150130">#REF!</definedName>
    <definedName name="_QUA170101">#REF!</definedName>
    <definedName name="_QUA170102">#REF!</definedName>
    <definedName name="_QUA170103">#REF!</definedName>
    <definedName name="_qw1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1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1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1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1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2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2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2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2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2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3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3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3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3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3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r">#N/A</definedName>
    <definedName name="_RC">#REF!</definedName>
    <definedName name="_REC11100">#REF!</definedName>
    <definedName name="_REC11110">#REF!</definedName>
    <definedName name="_REC11115">#REF!</definedName>
    <definedName name="_REC11125">#REF!</definedName>
    <definedName name="_REC11130">#REF!</definedName>
    <definedName name="_REC11135">#REF!</definedName>
    <definedName name="_REC11145">#REF!</definedName>
    <definedName name="_REC11150">#REF!</definedName>
    <definedName name="_REC11165">#REF!</definedName>
    <definedName name="_REC11170">#REF!</definedName>
    <definedName name="_REC11180">#REF!</definedName>
    <definedName name="_REC11185">#REF!</definedName>
    <definedName name="_REC11220">#REF!</definedName>
    <definedName name="_REC12105">#REF!</definedName>
    <definedName name="_REC12555">#REF!</definedName>
    <definedName name="_REC12570">#REF!</definedName>
    <definedName name="_REC12575">#REF!</definedName>
    <definedName name="_REC12580">#REF!</definedName>
    <definedName name="_REC12600">#REF!</definedName>
    <definedName name="_REC12610">#REF!</definedName>
    <definedName name="_REC12630">#REF!</definedName>
    <definedName name="_REC12631">#REF!</definedName>
    <definedName name="_REC12640">#REF!</definedName>
    <definedName name="_REC12645">#REF!</definedName>
    <definedName name="_REC12665">#REF!</definedName>
    <definedName name="_REC12690">#REF!</definedName>
    <definedName name="_REC12700">#REF!</definedName>
    <definedName name="_REC12710">#REF!</definedName>
    <definedName name="_REC13111">#REF!</definedName>
    <definedName name="_REC13112">#REF!</definedName>
    <definedName name="_REC13121">#REF!</definedName>
    <definedName name="_REC13720">#REF!</definedName>
    <definedName name="_REC14100">#REF!</definedName>
    <definedName name="_REC14161">#REF!</definedName>
    <definedName name="_REC14195">#REF!</definedName>
    <definedName name="_REC14205">#REF!</definedName>
    <definedName name="_REC14260">#REF!</definedName>
    <definedName name="_REC14500">#REF!</definedName>
    <definedName name="_REC14515">#REF!</definedName>
    <definedName name="_REC14555">#REF!</definedName>
    <definedName name="_REC14565">#REF!</definedName>
    <definedName name="_REC15135">#REF!</definedName>
    <definedName name="_REC15140">#REF!</definedName>
    <definedName name="_REC15195">#REF!</definedName>
    <definedName name="_REC15225">#REF!</definedName>
    <definedName name="_REC15230">#REF!</definedName>
    <definedName name="_REC15515">#REF!</definedName>
    <definedName name="_REC15560">#REF!</definedName>
    <definedName name="_REC15565">#REF!</definedName>
    <definedName name="_REC15570">#REF!</definedName>
    <definedName name="_REC15575">#REF!</definedName>
    <definedName name="_REC15583">#REF!</definedName>
    <definedName name="_REC15590">#REF!</definedName>
    <definedName name="_REC15591">#REF!</definedName>
    <definedName name="_REC15610">#REF!</definedName>
    <definedName name="_REC15625">#REF!</definedName>
    <definedName name="_REC15635">#REF!</definedName>
    <definedName name="_REC15655">#REF!</definedName>
    <definedName name="_REC15665">#REF!</definedName>
    <definedName name="_REC16515">#REF!</definedName>
    <definedName name="_REC16535">#REF!</definedName>
    <definedName name="_REC17140">#REF!</definedName>
    <definedName name="_REC19500">#REF!</definedName>
    <definedName name="_REC19501">#REF!</definedName>
    <definedName name="_REC19502">#REF!</definedName>
    <definedName name="_REC19503">#REF!</definedName>
    <definedName name="_REC19504">#REF!</definedName>
    <definedName name="_REC19505">#REF!</definedName>
    <definedName name="_REC20100">#REF!</definedName>
    <definedName name="_REC20105">#REF!</definedName>
    <definedName name="_REC20110">#REF!</definedName>
    <definedName name="_REC20115">#REF!</definedName>
    <definedName name="_REC20130">#REF!</definedName>
    <definedName name="_REC20135">#REF!</definedName>
    <definedName name="_REC20140">#REF!</definedName>
    <definedName name="_REC20145">#REF!</definedName>
    <definedName name="_REC20150">#REF!</definedName>
    <definedName name="_REC20155">#REF!</definedName>
    <definedName name="_REC20175">#REF!</definedName>
    <definedName name="_REC20185">#REF!</definedName>
    <definedName name="_REC20190">#REF!</definedName>
    <definedName name="_REC20195">#REF!</definedName>
    <definedName name="_REC20210">#REF!</definedName>
    <definedName name="_Report">0</definedName>
    <definedName name="_RES1">#N/A</definedName>
    <definedName name="_Res99">#REF!</definedName>
    <definedName name="_RET1" localSheetId="1">#REF!</definedName>
    <definedName name="_RET1" localSheetId="2">#REF!</definedName>
    <definedName name="_RET1">#REF!</definedName>
    <definedName name="_Sort" hidden="1">#REF!</definedName>
    <definedName name="_svi2">#REF!</definedName>
    <definedName name="_Table1_In1" hidden="1">#REF!</definedName>
    <definedName name="_Table1_Out" hidden="1">#REF!</definedName>
    <definedName name="_ter1">#REF!</definedName>
    <definedName name="_TT102" localSheetId="1">#REF!</definedName>
    <definedName name="_TT102" localSheetId="2">#REF!</definedName>
    <definedName name="_TT102">#REF!</definedName>
    <definedName name="_TT107" localSheetId="1">#REF!</definedName>
    <definedName name="_TT107" localSheetId="2">#REF!</definedName>
    <definedName name="_TT107">#REF!</definedName>
    <definedName name="_TT121" localSheetId="1">#REF!</definedName>
    <definedName name="_TT121" localSheetId="2">#REF!</definedName>
    <definedName name="_TT121">#REF!</definedName>
    <definedName name="_TT123" localSheetId="1">#REF!</definedName>
    <definedName name="_TT123" localSheetId="2">#REF!</definedName>
    <definedName name="_TT123">#REF!</definedName>
    <definedName name="_TT19" localSheetId="1">#REF!</definedName>
    <definedName name="_TT19" localSheetId="2">#REF!</definedName>
    <definedName name="_TT19">#REF!</definedName>
    <definedName name="_TT20" localSheetId="1">#REF!</definedName>
    <definedName name="_TT20" localSheetId="2">#REF!</definedName>
    <definedName name="_TT20">#REF!</definedName>
    <definedName name="_TT21" localSheetId="1">#REF!</definedName>
    <definedName name="_TT21" localSheetId="2">#REF!</definedName>
    <definedName name="_TT21">#REF!</definedName>
    <definedName name="_TT22" localSheetId="1">#REF!</definedName>
    <definedName name="_TT22" localSheetId="2">#REF!</definedName>
    <definedName name="_TT22">#REF!</definedName>
    <definedName name="_TT26" localSheetId="1">#REF!</definedName>
    <definedName name="_TT26" localSheetId="2">#REF!</definedName>
    <definedName name="_TT26">#REF!</definedName>
    <definedName name="_TT27" localSheetId="1">#REF!</definedName>
    <definedName name="_TT27" localSheetId="2">#REF!</definedName>
    <definedName name="_TT27">#REF!</definedName>
    <definedName name="_TT28" localSheetId="1">#REF!</definedName>
    <definedName name="_TT28" localSheetId="2">#REF!</definedName>
    <definedName name="_TT28">#REF!</definedName>
    <definedName name="_TT30" localSheetId="1">#REF!</definedName>
    <definedName name="_TT30" localSheetId="2">#REF!</definedName>
    <definedName name="_TT30">#REF!</definedName>
    <definedName name="_TT31" localSheetId="1">#REF!</definedName>
    <definedName name="_TT31" localSheetId="2">#REF!</definedName>
    <definedName name="_TT31">#REF!</definedName>
    <definedName name="_TT32" localSheetId="1">#REF!</definedName>
    <definedName name="_TT32" localSheetId="2">#REF!</definedName>
    <definedName name="_TT32">#REF!</definedName>
    <definedName name="_TT33" localSheetId="1">#REF!</definedName>
    <definedName name="_TT33" localSheetId="2">#REF!</definedName>
    <definedName name="_TT33">#REF!</definedName>
    <definedName name="_TT34" localSheetId="1">#REF!</definedName>
    <definedName name="_TT34" localSheetId="2">#REF!</definedName>
    <definedName name="_TT34">#REF!</definedName>
    <definedName name="_TT36" localSheetId="1">#REF!</definedName>
    <definedName name="_TT36" localSheetId="2">#REF!</definedName>
    <definedName name="_TT36">#REF!</definedName>
    <definedName name="_TT37" localSheetId="1">#REF!</definedName>
    <definedName name="_TT37" localSheetId="2">#REF!</definedName>
    <definedName name="_TT37">#REF!</definedName>
    <definedName name="_TT38" localSheetId="1">#REF!</definedName>
    <definedName name="_TT38" localSheetId="2">#REF!</definedName>
    <definedName name="_TT38">#REF!</definedName>
    <definedName name="_TT39" localSheetId="1">#REF!</definedName>
    <definedName name="_TT39" localSheetId="2">#REF!</definedName>
    <definedName name="_TT39">#REF!</definedName>
    <definedName name="_TT40" localSheetId="1">#REF!</definedName>
    <definedName name="_TT40" localSheetId="2">#REF!</definedName>
    <definedName name="_TT40">#REF!</definedName>
    <definedName name="_TT5" localSheetId="1">#REF!</definedName>
    <definedName name="_TT5" localSheetId="2">#REF!</definedName>
    <definedName name="_TT5">#REF!</definedName>
    <definedName name="_TT52" localSheetId="1">#REF!</definedName>
    <definedName name="_TT52" localSheetId="2">#REF!</definedName>
    <definedName name="_TT52">#REF!</definedName>
    <definedName name="_TT53" localSheetId="1">#REF!</definedName>
    <definedName name="_TT53" localSheetId="2">#REF!</definedName>
    <definedName name="_TT53">#REF!</definedName>
    <definedName name="_TT54" localSheetId="1">#REF!</definedName>
    <definedName name="_TT54" localSheetId="2">#REF!</definedName>
    <definedName name="_TT54">#REF!</definedName>
    <definedName name="_TT55" localSheetId="1">#REF!</definedName>
    <definedName name="_TT55" localSheetId="2">#REF!</definedName>
    <definedName name="_TT55">#REF!</definedName>
    <definedName name="_TT6" localSheetId="1">#REF!</definedName>
    <definedName name="_TT6" localSheetId="2">#REF!</definedName>
    <definedName name="_TT6">#REF!</definedName>
    <definedName name="_TT60" localSheetId="1">#REF!</definedName>
    <definedName name="_TT60" localSheetId="2">#REF!</definedName>
    <definedName name="_TT60">#REF!</definedName>
    <definedName name="_TT61" localSheetId="1">#REF!</definedName>
    <definedName name="_TT61" localSheetId="2">#REF!</definedName>
    <definedName name="_TT61">#REF!</definedName>
    <definedName name="_TT69" localSheetId="1">#REF!</definedName>
    <definedName name="_TT69" localSheetId="2">#REF!</definedName>
    <definedName name="_TT69">#REF!</definedName>
    <definedName name="_TT7" localSheetId="1">#REF!</definedName>
    <definedName name="_TT7" localSheetId="2">#REF!</definedName>
    <definedName name="_TT7">#REF!</definedName>
    <definedName name="_TT70" localSheetId="1">#REF!</definedName>
    <definedName name="_TT70" localSheetId="2">#REF!</definedName>
    <definedName name="_TT70">#REF!</definedName>
    <definedName name="_TT71" localSheetId="1">#REF!</definedName>
    <definedName name="_TT71" localSheetId="2">#REF!</definedName>
    <definedName name="_TT71">#REF!</definedName>
    <definedName name="_TT74" localSheetId="1">#REF!</definedName>
    <definedName name="_TT74" localSheetId="2">#REF!</definedName>
    <definedName name="_TT74">#REF!</definedName>
    <definedName name="_TT75" localSheetId="1">#REF!</definedName>
    <definedName name="_TT75" localSheetId="2">#REF!</definedName>
    <definedName name="_TT75">#REF!</definedName>
    <definedName name="_TT76" localSheetId="1">#REF!</definedName>
    <definedName name="_TT76" localSheetId="2">#REF!</definedName>
    <definedName name="_TT76">#REF!</definedName>
    <definedName name="_TT77" localSheetId="1">#REF!</definedName>
    <definedName name="_TT77" localSheetId="2">#REF!</definedName>
    <definedName name="_TT77">#REF!</definedName>
    <definedName name="_TT78" localSheetId="1">#REF!</definedName>
    <definedName name="_TT78" localSheetId="2">#REF!</definedName>
    <definedName name="_TT78">#REF!</definedName>
    <definedName name="_TT79" localSheetId="1">#REF!</definedName>
    <definedName name="_TT79" localSheetId="2">#REF!</definedName>
    <definedName name="_TT79">#REF!</definedName>
    <definedName name="_TT94" localSheetId="1">#REF!</definedName>
    <definedName name="_TT94" localSheetId="2">#REF!</definedName>
    <definedName name="_TT94">#REF!</definedName>
    <definedName name="_TT95" localSheetId="1">#REF!</definedName>
    <definedName name="_TT95" localSheetId="2">#REF!</definedName>
    <definedName name="_TT95">#REF!</definedName>
    <definedName name="_TT97" localSheetId="1">#REF!</definedName>
    <definedName name="_TT97" localSheetId="2">#REF!</definedName>
    <definedName name="_TT97">#REF!</definedName>
    <definedName name="_UNI11100">#REF!</definedName>
    <definedName name="_UNI11110">#REF!</definedName>
    <definedName name="_UNI11115">#REF!</definedName>
    <definedName name="_UNI11125">#REF!</definedName>
    <definedName name="_UNI11130">#REF!</definedName>
    <definedName name="_UNI11135">#REF!</definedName>
    <definedName name="_UNI11145">#REF!</definedName>
    <definedName name="_UNI11150">#REF!</definedName>
    <definedName name="_UNI11165">#REF!</definedName>
    <definedName name="_UNI11170">#REF!</definedName>
    <definedName name="_UNI11180">#REF!</definedName>
    <definedName name="_UNI11185">#REF!</definedName>
    <definedName name="_UNI11220">#REF!</definedName>
    <definedName name="_UNI12105">#REF!</definedName>
    <definedName name="_UNI12555">#REF!</definedName>
    <definedName name="_UNI12570">#REF!</definedName>
    <definedName name="_UNI12575">#REF!</definedName>
    <definedName name="_UNI12580">#REF!</definedName>
    <definedName name="_UNI12600">#REF!</definedName>
    <definedName name="_UNI12610">#REF!</definedName>
    <definedName name="_UNI12630">#REF!</definedName>
    <definedName name="_UNI12631">#REF!</definedName>
    <definedName name="_UNI12640">#REF!</definedName>
    <definedName name="_UNI12645">#REF!</definedName>
    <definedName name="_UNI12665">#REF!</definedName>
    <definedName name="_UNI12690">#REF!</definedName>
    <definedName name="_UNI12700">#REF!</definedName>
    <definedName name="_UNI12710">#REF!</definedName>
    <definedName name="_UNI13111">#REF!</definedName>
    <definedName name="_UNI13112">#REF!</definedName>
    <definedName name="_UNI13121">#REF!</definedName>
    <definedName name="_UNI13720">#REF!</definedName>
    <definedName name="_UNI14100">#REF!</definedName>
    <definedName name="_UNI14161">#REF!</definedName>
    <definedName name="_UNI14195">#REF!</definedName>
    <definedName name="_UNI14205">#REF!</definedName>
    <definedName name="_UNI14260">#REF!</definedName>
    <definedName name="_UNI14500">#REF!</definedName>
    <definedName name="_UNI14515">#REF!</definedName>
    <definedName name="_UNI14555">#REF!</definedName>
    <definedName name="_UNI14565">#REF!</definedName>
    <definedName name="_UNI15135">#REF!</definedName>
    <definedName name="_UNI15140">#REF!</definedName>
    <definedName name="_UNI15195">#REF!</definedName>
    <definedName name="_UNI15225">#REF!</definedName>
    <definedName name="_UNI15230">#REF!</definedName>
    <definedName name="_UNI15515">#REF!</definedName>
    <definedName name="_UNI15560">#REF!</definedName>
    <definedName name="_UNI15565">#REF!</definedName>
    <definedName name="_UNI15570">#REF!</definedName>
    <definedName name="_UNI15575">#REF!</definedName>
    <definedName name="_UNI15583">#REF!</definedName>
    <definedName name="_UNI15590">#REF!</definedName>
    <definedName name="_UNI15591">#REF!</definedName>
    <definedName name="_UNI15610">#REF!</definedName>
    <definedName name="_UNI15625">#REF!</definedName>
    <definedName name="_UNI15635">#REF!</definedName>
    <definedName name="_UNI15655">#REF!</definedName>
    <definedName name="_UNI15665">#REF!</definedName>
    <definedName name="_UNI16515">#REF!</definedName>
    <definedName name="_UNI16535">#REF!</definedName>
    <definedName name="_UNI17140">#REF!</definedName>
    <definedName name="_UNI19500">#REF!</definedName>
    <definedName name="_UNI19501">#REF!</definedName>
    <definedName name="_UNI19502">#REF!</definedName>
    <definedName name="_UNI19503">#REF!</definedName>
    <definedName name="_UNI19504">#REF!</definedName>
    <definedName name="_UNI19505">#REF!</definedName>
    <definedName name="_UNI20100">#REF!</definedName>
    <definedName name="_UNI20105">#REF!</definedName>
    <definedName name="_UNI20110">#REF!</definedName>
    <definedName name="_UNI20115">#REF!</definedName>
    <definedName name="_UNI20130">#REF!</definedName>
    <definedName name="_UNI20135">#REF!</definedName>
    <definedName name="_UNI20140">#REF!</definedName>
    <definedName name="_UNI20145">#REF!</definedName>
    <definedName name="_UNI20150">#REF!</definedName>
    <definedName name="_UNI20155">#REF!</definedName>
    <definedName name="_UNI20175">#REF!</definedName>
    <definedName name="_UNI20185">#REF!</definedName>
    <definedName name="_UNI20190">#REF!</definedName>
    <definedName name="_UNI20195">#REF!</definedName>
    <definedName name="_UNI20210">#REF!</definedName>
    <definedName name="_VAL11100">#REF!</definedName>
    <definedName name="_VAL11110">#REF!</definedName>
    <definedName name="_VAL11115">#REF!</definedName>
    <definedName name="_VAL11125">#REF!</definedName>
    <definedName name="_VAL11130">#REF!</definedName>
    <definedName name="_VAL11135">#REF!</definedName>
    <definedName name="_VAL11145">#REF!</definedName>
    <definedName name="_VAL11150">#REF!</definedName>
    <definedName name="_VAL11165">#REF!</definedName>
    <definedName name="_VAL11170">#REF!</definedName>
    <definedName name="_VAL11180">#REF!</definedName>
    <definedName name="_VAL11185">#REF!</definedName>
    <definedName name="_VAL11220">#REF!</definedName>
    <definedName name="_VAL12105">#REF!</definedName>
    <definedName name="_VAL12555">#REF!</definedName>
    <definedName name="_VAL12570">#REF!</definedName>
    <definedName name="_VAL12575">#REF!</definedName>
    <definedName name="_VAL12580">#REF!</definedName>
    <definedName name="_VAL12600">#REF!</definedName>
    <definedName name="_VAL12610">#REF!</definedName>
    <definedName name="_VAL12630">#REF!</definedName>
    <definedName name="_VAL12631">#REF!</definedName>
    <definedName name="_VAL12640">#REF!</definedName>
    <definedName name="_VAL12645">#REF!</definedName>
    <definedName name="_VAL12665">#REF!</definedName>
    <definedName name="_VAL12690">#REF!</definedName>
    <definedName name="_VAL12700">#REF!</definedName>
    <definedName name="_VAL12710">#REF!</definedName>
    <definedName name="_VAL13111">#REF!</definedName>
    <definedName name="_VAL13112">#REF!</definedName>
    <definedName name="_VAL13121">#REF!</definedName>
    <definedName name="_VAL13720">#REF!</definedName>
    <definedName name="_VAL14100">#REF!</definedName>
    <definedName name="_VAL14161">#REF!</definedName>
    <definedName name="_VAL14195">#REF!</definedName>
    <definedName name="_VAL14205">#REF!</definedName>
    <definedName name="_VAL14260">#REF!</definedName>
    <definedName name="_VAL14500">#REF!</definedName>
    <definedName name="_VAL14515">#REF!</definedName>
    <definedName name="_VAL14555">#REF!</definedName>
    <definedName name="_VAL14565">#REF!</definedName>
    <definedName name="_VAL15135">#REF!</definedName>
    <definedName name="_VAL15140">#REF!</definedName>
    <definedName name="_VAL15195">#REF!</definedName>
    <definedName name="_VAL15225">#REF!</definedName>
    <definedName name="_VAL15230">#REF!</definedName>
    <definedName name="_VAL15515">#REF!</definedName>
    <definedName name="_VAL15560">#REF!</definedName>
    <definedName name="_VAL15565">#REF!</definedName>
    <definedName name="_VAL15570">#REF!</definedName>
    <definedName name="_VAL15575">#REF!</definedName>
    <definedName name="_VAL15583">#REF!</definedName>
    <definedName name="_VAL15590">#REF!</definedName>
    <definedName name="_VAL15591">#REF!</definedName>
    <definedName name="_VAL15610">#REF!</definedName>
    <definedName name="_VAL15625">#REF!</definedName>
    <definedName name="_VAL15635">#REF!</definedName>
    <definedName name="_VAL15655">#REF!</definedName>
    <definedName name="_VAL15665">#REF!</definedName>
    <definedName name="_VAL16515">#REF!</definedName>
    <definedName name="_VAL16535">#REF!</definedName>
    <definedName name="_VAL17140">#REF!</definedName>
    <definedName name="_VAL19500">#REF!</definedName>
    <definedName name="_VAL19501">#REF!</definedName>
    <definedName name="_VAL19502">#REF!</definedName>
    <definedName name="_VAL19503">#REF!</definedName>
    <definedName name="_VAL19504">#REF!</definedName>
    <definedName name="_VAL19505">#REF!</definedName>
    <definedName name="_VAL20100">#REF!</definedName>
    <definedName name="_VAL20105">#REF!</definedName>
    <definedName name="_VAL20110">#REF!</definedName>
    <definedName name="_VAL20115">#REF!</definedName>
    <definedName name="_VAL20130">#REF!</definedName>
    <definedName name="_VAL20135">#REF!</definedName>
    <definedName name="_VAL20140">#REF!</definedName>
    <definedName name="_VAL20145">#REF!</definedName>
    <definedName name="_VAL20150">#REF!</definedName>
    <definedName name="_VAL20155">#REF!</definedName>
    <definedName name="_VAL20175">#REF!</definedName>
    <definedName name="_VAL20185">#REF!</definedName>
    <definedName name="_VAL20190">#REF!</definedName>
    <definedName name="_VAL20195">#REF!</definedName>
    <definedName name="_VAL20210">#REF!</definedName>
    <definedName name="_wq1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0" localSheetId="12">{0;0;0;0;258;#N/A;0.75;0.75;1;1;2;FALSE;FALSE;FALSE;FALSE;FALSE;#N/A;1;#N/A;1;1;"&amp;A";"Page &amp;P"}</definedName>
    <definedName name="_wq10" localSheetId="1">{0;0;0;0;258;#N/A;0.75;0.75;1;1;2;FALSE;FALSE;FALSE;FALSE;FALSE;#N/A;1;#N/A;1;1;"&amp;A";"Page &amp;P"}</definedName>
    <definedName name="_wq10" localSheetId="4">{0;0;0;0;258;#N/A;0.75;0.75;1;1;2;FALSE;FALSE;FALSE;FALSE;FALSE;#N/A;1;#N/A;1;1;"&amp;A";"Page &amp;P"}</definedName>
    <definedName name="_wq10" localSheetId="0">{0;0;0;0;258;#N/A;0.75;0.75;1;1;2;FALSE;FALSE;FALSE;FALSE;FALSE;#N/A;1;#N/A;1;1;"&amp;A";"Page &amp;P"}</definedName>
    <definedName name="_wq10" localSheetId="2">{0;0;0;0;258;#N/A;0.75;0.75;1;1;2;FALSE;FALSE;FALSE;FALSE;FALSE;#N/A;1;#N/A;1;1;"&amp;A";"Page &amp;P"}</definedName>
    <definedName name="_wq10">{0;0;0;0;258;#N/A;0.75;0.75;1;1;2;FALSE;FALSE;FALSE;FALSE;FALSE;#N/A;1;#N/A;1;1;"&amp;A";"Page &amp;P"}</definedName>
    <definedName name="_wq11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1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1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1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1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2" localSheetId="12">{0;0;0;0;9;#N/A;0.75;0.75;1;1;1;FALSE;FALSE;FALSE;FALSE;FALSE;#N/A;1;100;#N/A;#N/A;"&amp;A";"Page &amp;P"}</definedName>
    <definedName name="_wq12" localSheetId="1">{0;0;0;0;9;#N/A;0.75;0.75;1;1;1;FALSE;FALSE;FALSE;FALSE;FALSE;#N/A;1;100;#N/A;#N/A;"&amp;A";"Page &amp;P"}</definedName>
    <definedName name="_wq12" localSheetId="4">{0;0;0;0;9;#N/A;0.75;0.75;1;1;1;FALSE;FALSE;FALSE;FALSE;FALSE;#N/A;1;100;#N/A;#N/A;"&amp;A";"Page &amp;P"}</definedName>
    <definedName name="_wq12" localSheetId="0">{0;0;0;0;9;#N/A;0.75;0.75;1;1;1;FALSE;FALSE;FALSE;FALSE;FALSE;#N/A;1;100;#N/A;#N/A;"&amp;A";"Page &amp;P"}</definedName>
    <definedName name="_wq12" localSheetId="2">{0;0;0;0;9;#N/A;0.75;0.75;1;1;1;FALSE;FALSE;FALSE;FALSE;FALSE;#N/A;1;100;#N/A;#N/A;"&amp;A";"Page &amp;P"}</definedName>
    <definedName name="_wq12">{0;0;0;0;9;#N/A;0.75;0.75;1;1;1;FALSE;FALSE;FALSE;FALSE;FALSE;#N/A;1;100;#N/A;#N/A;"&amp;A";"Page &amp;P"}</definedName>
    <definedName name="_wq2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2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2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2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2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3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3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3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3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3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4" localSheetId="12">{0;0;0;0;9;#N/A;0.75;0.75;1;1;1;FALSE;FALSE;FALSE;FALSE;FALSE;#N/A;1;100;#N/A;#N/A;"&amp;A";"Page &amp;P"}</definedName>
    <definedName name="_wq4" localSheetId="1">{0;0;0;0;9;#N/A;0.75;0.75;1;1;1;FALSE;FALSE;FALSE;FALSE;FALSE;#N/A;1;100;#N/A;#N/A;"&amp;A";"Page &amp;P"}</definedName>
    <definedName name="_wq4" localSheetId="4">{0;0;0;0;9;#N/A;0.75;0.75;1;1;1;FALSE;FALSE;FALSE;FALSE;FALSE;#N/A;1;100;#N/A;#N/A;"&amp;A";"Page &amp;P"}</definedName>
    <definedName name="_wq4" localSheetId="0">{0;0;0;0;9;#N/A;0.75;0.75;1;1;1;FALSE;FALSE;FALSE;FALSE;FALSE;#N/A;1;100;#N/A;#N/A;"&amp;A";"Page &amp;P"}</definedName>
    <definedName name="_wq4" localSheetId="2">{0;0;0;0;9;#N/A;0.75;0.75;1;1;1;FALSE;FALSE;FALSE;FALSE;FALSE;#N/A;1;100;#N/A;#N/A;"&amp;A";"Page &amp;P"}</definedName>
    <definedName name="_wq4">{0;0;0;0;9;#N/A;0.75;0.75;1;1;1;FALSE;FALSE;FALSE;FALSE;FALSE;#N/A;1;100;#N/A;#N/A;"&amp;A";"Page &amp;P"}</definedName>
    <definedName name="_wq5" localSheetId="12">{0;0;0;0;9;#N/A;0.75;0.75;1;1;1;FALSE;FALSE;FALSE;FALSE;FALSE;#N/A;1;100;#N/A;#N/A;"&amp;A";"Page &amp;P"}</definedName>
    <definedName name="_wq5" localSheetId="1">{0;0;0;0;9;#N/A;0.75;0.75;1;1;1;FALSE;FALSE;FALSE;FALSE;FALSE;#N/A;1;100;#N/A;#N/A;"&amp;A";"Page &amp;P"}</definedName>
    <definedName name="_wq5" localSheetId="4">{0;0;0;0;9;#N/A;0.75;0.75;1;1;1;FALSE;FALSE;FALSE;FALSE;FALSE;#N/A;1;100;#N/A;#N/A;"&amp;A";"Page &amp;P"}</definedName>
    <definedName name="_wq5" localSheetId="0">{0;0;0;0;9;#N/A;0.75;0.75;1;1;1;FALSE;FALSE;FALSE;FALSE;FALSE;#N/A;1;100;#N/A;#N/A;"&amp;A";"Page &amp;P"}</definedName>
    <definedName name="_wq5" localSheetId="2">{0;0;0;0;9;#N/A;0.75;0.75;1;1;1;FALSE;FALSE;FALSE;FALSE;FALSE;#N/A;1;100;#N/A;#N/A;"&amp;A";"Page &amp;P"}</definedName>
    <definedName name="_wq5">{0;0;0;0;9;#N/A;0.75;0.75;1;1;1;FALSE;FALSE;FALSE;FALSE;FALSE;#N/A;1;100;#N/A;#N/A;"&amp;A";"Page &amp;P"}</definedName>
    <definedName name="_wq6" localSheetId="12">{0;0;0;0;9;#N/A;0.75;0.75;1;1;1;FALSE;FALSE;FALSE;FALSE;FALSE;#N/A;1;100;#N/A;#N/A;"&amp;A";"Page &amp;P"}</definedName>
    <definedName name="_wq6" localSheetId="1">{0;0;0;0;9;#N/A;0.75;0.75;1;1;1;FALSE;FALSE;FALSE;FALSE;FALSE;#N/A;1;100;#N/A;#N/A;"&amp;A";"Page &amp;P"}</definedName>
    <definedName name="_wq6" localSheetId="4">{0;0;0;0;9;#N/A;0.75;0.75;1;1;1;FALSE;FALSE;FALSE;FALSE;FALSE;#N/A;1;100;#N/A;#N/A;"&amp;A";"Page &amp;P"}</definedName>
    <definedName name="_wq6" localSheetId="0">{0;0;0;0;9;#N/A;0.75;0.75;1;1;1;FALSE;FALSE;FALSE;FALSE;FALSE;#N/A;1;100;#N/A;#N/A;"&amp;A";"Page &amp;P"}</definedName>
    <definedName name="_wq6" localSheetId="2">{0;0;0;0;9;#N/A;0.75;0.75;1;1;1;FALSE;FALSE;FALSE;FALSE;FALSE;#N/A;1;100;#N/A;#N/A;"&amp;A";"Page &amp;P"}</definedName>
    <definedName name="_wq6">{0;0;0;0;9;#N/A;0.75;0.75;1;1;1;FALSE;FALSE;FALSE;FALSE;FALSE;#N/A;1;100;#N/A;#N/A;"&amp;A";"Page &amp;P"}</definedName>
    <definedName name="_wq7" localSheetId="12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wq7" localSheetId="1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wq7" localSheetId="4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wq7" localSheetId="0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wq7" localSheetId="2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wq7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wq8" localSheetId="12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wq8" localSheetId="1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wq8" localSheetId="4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wq8" localSheetId="0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wq8" localSheetId="2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wq8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Z1srAssp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1srAssp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1srAssp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1srAssp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1srAssp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1srAssp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ndAssp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ndAssp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ndAssp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ndAssp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ndAssp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ndAssp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srAssp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srAssp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srAssp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srAssp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srAssp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srAssp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dassp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dassp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dassp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dassp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dassp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dassp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eAssp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eAssp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eAssp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eAssp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eAssp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eAssp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Balance" localSheetId="12">{0;0;0;0;9;#N/A;0.75;0.75;1;1;1;FALSE;FALSE;FALSE;FALSE;FALSE;#N/A;1;100;#N/A;#N/A;"&amp;A";"Page &amp;P"}</definedName>
    <definedName name="_ZBalance" localSheetId="1">{0;0;0;0;9;#N/A;0.75;0.75;1;1;1;FALSE;FALSE;FALSE;FALSE;FALSE;#N/A;1;100;#N/A;#N/A;"&amp;A";"Page &amp;P"}</definedName>
    <definedName name="_ZBalance" localSheetId="4">{0;0;0;0;9;#N/A;0.75;0.75;1;1;1;FALSE;FALSE;FALSE;FALSE;FALSE;#N/A;1;100;#N/A;#N/A;"&amp;A";"Page &amp;P"}</definedName>
    <definedName name="_ZBalance" localSheetId="0">{0;0;0;0;9;#N/A;0.75;0.75;1;1;1;FALSE;FALSE;FALSE;FALSE;FALSE;#N/A;1;100;#N/A;#N/A;"&amp;A";"Page &amp;P"}</definedName>
    <definedName name="_ZBalance" localSheetId="2">{0;0;0;0;9;#N/A;0.75;0.75;1;1;1;FALSE;FALSE;FALSE;FALSE;FALSE;#N/A;1;100;#N/A;#N/A;"&amp;A";"Page &amp;P"}</definedName>
    <definedName name="_ZBalance">{0;0;0;0;9;#N/A;0.75;0.75;1;1;1;FALSE;FALSE;FALSE;FALSE;FALSE;#N/A;1;100;#N/A;#N/A;"&amp;A";"Page &amp;P"}</definedName>
    <definedName name="_ZCash" localSheetId="12">{0;0;0;0;9;#N/A;0.75;0.75;1;1;1;FALSE;FALSE;FALSE;FALSE;FALSE;#N/A;1;100;#N/A;#N/A;"&amp;A";"Page &amp;P"}</definedName>
    <definedName name="_ZCash" localSheetId="1">{0;0;0;0;9;#N/A;0.75;0.75;1;1;1;FALSE;FALSE;FALSE;FALSE;FALSE;#N/A;1;100;#N/A;#N/A;"&amp;A";"Page &amp;P"}</definedName>
    <definedName name="_ZCash" localSheetId="4">{0;0;0;0;9;#N/A;0.75;0.75;1;1;1;FALSE;FALSE;FALSE;FALSE;FALSE;#N/A;1;100;#N/A;#N/A;"&amp;A";"Page &amp;P"}</definedName>
    <definedName name="_ZCash" localSheetId="0">{0;0;0;0;9;#N/A;0.75;0.75;1;1;1;FALSE;FALSE;FALSE;FALSE;FALSE;#N/A;1;100;#N/A;#N/A;"&amp;A";"Page &amp;P"}</definedName>
    <definedName name="_ZCash" localSheetId="2">{0;0;0;0;9;#N/A;0.75;0.75;1;1;1;FALSE;FALSE;FALSE;FALSE;FALSE;#N/A;1;100;#N/A;#N/A;"&amp;A";"Page &amp;P"}</definedName>
    <definedName name="_ZCash">{0;0;0;0;9;#N/A;0.75;0.75;1;1;1;FALSE;FALSE;FALSE;FALSE;FALSE;#N/A;1;100;#N/A;#N/A;"&amp;A";"Page &amp;P"}</definedName>
    <definedName name="_ZDebt" localSheetId="12">{0;0;0;0;9;#N/A;0.75;0.75;1;1;1;FALSE;FALSE;FALSE;FALSE;FALSE;#N/A;1;100;#N/A;#N/A;"&amp;A";"Page &amp;P"}</definedName>
    <definedName name="_ZDebt" localSheetId="1">{0;0;0;0;9;#N/A;0.75;0.75;1;1;1;FALSE;FALSE;FALSE;FALSE;FALSE;#N/A;1;100;#N/A;#N/A;"&amp;A";"Page &amp;P"}</definedName>
    <definedName name="_ZDebt" localSheetId="4">{0;0;0;0;9;#N/A;0.75;0.75;1;1;1;FALSE;FALSE;FALSE;FALSE;FALSE;#N/A;1;100;#N/A;#N/A;"&amp;A";"Page &amp;P"}</definedName>
    <definedName name="_ZDebt" localSheetId="0">{0;0;0;0;9;#N/A;0.75;0.75;1;1;1;FALSE;FALSE;FALSE;FALSE;FALSE;#N/A;1;100;#N/A;#N/A;"&amp;A";"Page &amp;P"}</definedName>
    <definedName name="_ZDebt" localSheetId="2">{0;0;0;0;9;#N/A;0.75;0.75;1;1;1;FALSE;FALSE;FALSE;FALSE;FALSE;#N/A;1;100;#N/A;#N/A;"&amp;A";"Page &amp;P"}</definedName>
    <definedName name="_ZDebt">{0;0;0;0;9;#N/A;0.75;0.75;1;1;1;FALSE;FALSE;FALSE;FALSE;FALSE;#N/A;1;100;#N/A;#N/A;"&amp;A";"Page &amp;P"}</definedName>
    <definedName name="_Zdebt1" localSheetId="12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Zdebt1" localSheetId="1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Zdebt1" localSheetId="4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Zdebt1" localSheetId="0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Zdebt1" localSheetId="2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Zdebt1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Zdebt2" localSheetId="12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Zdebt2" localSheetId="1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Zdebt2" localSheetId="4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Zdebt2" localSheetId="0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Zdebt2" localSheetId="2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Zdebt2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ZDeprec." localSheetId="12">{0;0;0;0;258;#N/A;0.75;0.75;1;1;2;FALSE;FALSE;FALSE;FALSE;FALSE;#N/A;1;#N/A;1;1;"&amp;A";"Page &amp;P"}</definedName>
    <definedName name="_ZDeprec." localSheetId="1">{0;0;0;0;258;#N/A;0.75;0.75;1;1;2;FALSE;FALSE;FALSE;FALSE;FALSE;#N/A;1;#N/A;1;1;"&amp;A";"Page &amp;P"}</definedName>
    <definedName name="_ZDeprec." localSheetId="4">{0;0;0;0;258;#N/A;0.75;0.75;1;1;2;FALSE;FALSE;FALSE;FALSE;FALSE;#N/A;1;#N/A;1;1;"&amp;A";"Page &amp;P"}</definedName>
    <definedName name="_ZDeprec." localSheetId="0">{0;0;0;0;258;#N/A;0.75;0.75;1;1;2;FALSE;FALSE;FALSE;FALSE;FALSE;#N/A;1;#N/A;1;1;"&amp;A";"Page &amp;P"}</definedName>
    <definedName name="_ZDeprec." localSheetId="2">{0;0;0;0;258;#N/A;0.75;0.75;1;1;2;FALSE;FALSE;FALSE;FALSE;FALSE;#N/A;1;#N/A;1;1;"&amp;A";"Page &amp;P"}</definedName>
    <definedName name="_ZDeprec.">{0;0;0;0;258;#N/A;0.75;0.75;1;1;2;FALSE;FALSE;FALSE;FALSE;FALSE;#N/A;1;#N/A;1;1;"&amp;A";"Page &amp;P"}</definedName>
    <definedName name="a">#REF!</definedName>
    <definedName name="A_I_C_V">#N/A</definedName>
    <definedName name="A_M_FRA">#N/A</definedName>
    <definedName name="A_METROS">#N/A</definedName>
    <definedName name="A4_PB_PADRAO.XLS">#REF!</definedName>
    <definedName name="AA">#N/A</definedName>
    <definedName name="aaa" localSheetId="12" hidden="1">{#N/A,#N/A,FALSE,"Plan1";#N/A,#N/A,FALSE,"Plan2"}</definedName>
    <definedName name="aaa" localSheetId="1" hidden="1">{#N/A,#N/A,FALSE,"Plan1";#N/A,#N/A,FALSE,"Plan2"}</definedName>
    <definedName name="aaa" localSheetId="4" hidden="1">{#N/A,#N/A,FALSE,"Plan1";#N/A,#N/A,FALSE,"Plan2"}</definedName>
    <definedName name="aaa" localSheetId="0" hidden="1">{#N/A,#N/A,FALSE,"Plan1";#N/A,#N/A,FALSE,"Plan2"}</definedName>
    <definedName name="aaa" localSheetId="2" hidden="1">{#N/A,#N/A,FALSE,"Plan1";#N/A,#N/A,FALSE,"Plan2"}</definedName>
    <definedName name="aaa" hidden="1">{#N/A,#N/A,FALSE,"Plan1";#N/A,#N/A,FALSE,"Plan2"}</definedName>
    <definedName name="aaaa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a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a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a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a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a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aa" localSheetId="12" hidden="1">{"tabela",#N/A,FALSE,"Tabela";"decoração",#N/A,FALSE,"Decor.";"Informações",#N/A,FALSE,"Inform."}</definedName>
    <definedName name="aaaaa" localSheetId="1" hidden="1">{"tabela",#N/A,FALSE,"Tabela";"decoração",#N/A,FALSE,"Decor.";"Informações",#N/A,FALSE,"Inform."}</definedName>
    <definedName name="aaaaa" localSheetId="4" hidden="1">{"tabela",#N/A,FALSE,"Tabela";"decoração",#N/A,FALSE,"Decor.";"Informações",#N/A,FALSE,"Inform."}</definedName>
    <definedName name="aaaaa" localSheetId="0" hidden="1">{"tabela",#N/A,FALSE,"Tabela";"decoração",#N/A,FALSE,"Decor.";"Informações",#N/A,FALSE,"Inform."}</definedName>
    <definedName name="aaaaa" localSheetId="2" hidden="1">{"tabela",#N/A,FALSE,"Tabela";"decoração",#N/A,FALSE,"Decor.";"Informações",#N/A,FALSE,"Inform."}</definedName>
    <definedName name="aaaaa" hidden="1">{"tabela",#N/A,FALSE,"Tabela";"decoração",#N/A,FALSE,"Decor.";"Informações",#N/A,FALSE,"Inform."}</definedName>
    <definedName name="aaaaaa">#N/A</definedName>
    <definedName name="aaaaaaaa" localSheetId="1">#REF!</definedName>
    <definedName name="aaaaaaaa" localSheetId="2">#REF!</definedName>
    <definedName name="aaaaaaaa">#REF!</definedName>
    <definedName name="aaaaaaaaa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12" hidden="1">{#N/A,#N/A,FALSE,"Plan1";#N/A,#N/A,FALSE,"Plan2"}</definedName>
    <definedName name="aaacccc" localSheetId="1" hidden="1">{#N/A,#N/A,FALSE,"Plan1";#N/A,#N/A,FALSE,"Plan2"}</definedName>
    <definedName name="aaacccc" localSheetId="4" hidden="1">{#N/A,#N/A,FALSE,"Plan1";#N/A,#N/A,FALSE,"Plan2"}</definedName>
    <definedName name="aaacccc" localSheetId="0" hidden="1">{#N/A,#N/A,FALSE,"Plan1";#N/A,#N/A,FALSE,"Plan2"}</definedName>
    <definedName name="aaacccc" localSheetId="2" hidden="1">{#N/A,#N/A,FALSE,"Plan1";#N/A,#N/A,FALSE,"Plan2"}</definedName>
    <definedName name="aaacccc" hidden="1">{#N/A,#N/A,FALSE,"Plan1";#N/A,#N/A,FALSE,"Plan2"}</definedName>
    <definedName name="aadd">#REF!</definedName>
    <definedName name="ACCOMMODATION">#REF!</definedName>
    <definedName name="ACCS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o">#REF!</definedName>
    <definedName name="ACPVC">#REF!</definedName>
    <definedName name="acres_mat_imp" localSheetId="1">#REF!</definedName>
    <definedName name="acres_mat_imp" localSheetId="2">#REF!</definedName>
    <definedName name="acres_mat_imp">#REF!</definedName>
    <definedName name="Acresc" localSheetId="1">#REF!</definedName>
    <definedName name="Acresc" localSheetId="2">#REF!</definedName>
    <definedName name="Acresc">#REF!</definedName>
    <definedName name="Acrs_juros" localSheetId="1">#REF!</definedName>
    <definedName name="Acrs_juros" localSheetId="2">#REF!</definedName>
    <definedName name="Acrs_juros">#REF!</definedName>
    <definedName name="ACUM">#REF!</definedName>
    <definedName name="ACUM_EMPRESA">#REF!</definedName>
    <definedName name="ACwvu.PLANILHA2." hidden="1">#REF!</definedName>
    <definedName name="ad" localSheetId="1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d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d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d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d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d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diantamento">#REF!</definedName>
    <definedName name="adic">#REF!</definedName>
    <definedName name="adm_cs" localSheetId="1">#REF!</definedName>
    <definedName name="adm_cs" localSheetId="2">#REF!</definedName>
    <definedName name="adm_cs">#REF!</definedName>
    <definedName name="adm_cs_asahi" localSheetId="1">#REF!</definedName>
    <definedName name="adm_cs_asahi" localSheetId="2">#REF!</definedName>
    <definedName name="adm_cs_asahi">#REF!</definedName>
    <definedName name="adm_edc" localSheetId="1">#REF!</definedName>
    <definedName name="adm_edc" localSheetId="2">#REF!</definedName>
    <definedName name="adm_edc">#REF!</definedName>
    <definedName name="ADS">#REF!</definedName>
    <definedName name="adsfg">#N/A</definedName>
    <definedName name="AERO">#REF!</definedName>
    <definedName name="AEWFDS" localSheetId="12" hidden="1">{#N/A,#N/A,FALSE,"Plan1";#N/A,#N/A,FALSE,"Plan2"}</definedName>
    <definedName name="AEWFDS" localSheetId="1" hidden="1">{#N/A,#N/A,FALSE,"Plan1";#N/A,#N/A,FALSE,"Plan2"}</definedName>
    <definedName name="AEWFDS" localSheetId="4" hidden="1">{#N/A,#N/A,FALSE,"Plan1";#N/A,#N/A,FALSE,"Plan2"}</definedName>
    <definedName name="AEWFDS" localSheetId="0" hidden="1">{#N/A,#N/A,FALSE,"Plan1";#N/A,#N/A,FALSE,"Plan2"}</definedName>
    <definedName name="AEWFDS" localSheetId="2" hidden="1">{#N/A,#N/A,FALSE,"Plan1";#N/A,#N/A,FALSE,"Plan2"}</definedName>
    <definedName name="AEWFDS" hidden="1">{#N/A,#N/A,FALSE,"Plan1";#N/A,#N/A,FALSE,"Plan2"}</definedName>
    <definedName name="af" localSheetId="1">#REF!</definedName>
    <definedName name="af" localSheetId="2">#REF!</definedName>
    <definedName name="af">#REF!</definedName>
    <definedName name="AGO">#REF!</definedName>
    <definedName name="Agosto">#REF!</definedName>
    <definedName name="AH" localSheetId="1">#REF!</definedName>
    <definedName name="AH" localSheetId="2">#REF!</definedName>
    <definedName name="AH">#REF!</definedName>
    <definedName name="AIR">#REF!</definedName>
    <definedName name="AJUSTES">#REF!</definedName>
    <definedName name="ALBA">#REF!</definedName>
    <definedName name="aliq_cofins" localSheetId="1">#REF!</definedName>
    <definedName name="aliq_cofins" localSheetId="2">#REF!</definedName>
    <definedName name="aliq_cofins">#REF!</definedName>
    <definedName name="aliq_cpmf">#REF!</definedName>
    <definedName name="aliq_pis" localSheetId="1">#REF!</definedName>
    <definedName name="aliq_pis" localSheetId="2">#REF!</definedName>
    <definedName name="aliq_pis">#REF!</definedName>
    <definedName name="alternativa" localSheetId="1">#REF!</definedName>
    <definedName name="alternativa" localSheetId="2">#REF!</definedName>
    <definedName name="alternativa">#REF!</definedName>
    <definedName name="AM_1">#REF!</definedName>
    <definedName name="AM_2">#REF!</definedName>
    <definedName name="AM_3">#REF!</definedName>
    <definedName name="amigo" localSheetId="12">_L31C18</definedName>
    <definedName name="amigo" localSheetId="10">_L31C18</definedName>
    <definedName name="amigo" localSheetId="1">_L31C18</definedName>
    <definedName name="amigo" localSheetId="11">_L31C18</definedName>
    <definedName name="amigo" localSheetId="4">_L31C18</definedName>
    <definedName name="amigo" localSheetId="9">_L31C18</definedName>
    <definedName name="amigo" localSheetId="0">_L31C18</definedName>
    <definedName name="amigo" localSheetId="2">_L31C18</definedName>
    <definedName name="amigo">_L31C18</definedName>
    <definedName name="AMOR">#REF!</definedName>
    <definedName name="amortizaciones" localSheetId="1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nalise2">#REF!</definedName>
    <definedName name="ANDRE">TRUE</definedName>
    <definedName name="ANO">#REF!</definedName>
    <definedName name="Ano_30">#REF!</definedName>
    <definedName name="ano_desativacao" localSheetId="1">#REF!</definedName>
    <definedName name="ano_desativacao" localSheetId="2">#REF!</definedName>
    <definedName name="ano_desativacao">#REF!</definedName>
    <definedName name="ano_monsanto" localSheetId="1">#REF!</definedName>
    <definedName name="ano_monsanto" localSheetId="2">#REF!</definedName>
    <definedName name="ano_monsanto">#REF!</definedName>
    <definedName name="ano_referencia" localSheetId="1">#REF!</definedName>
    <definedName name="ano_referencia" localSheetId="2">#REF!</definedName>
    <definedName name="ano_referencia">#REF!</definedName>
    <definedName name="anscount" hidden="1">1</definedName>
    <definedName name="ANTIGA">#REF!</definedName>
    <definedName name="anuais_longa">#REF!</definedName>
    <definedName name="APOPPCAM">#REF!</definedName>
    <definedName name="aporte_ano1" localSheetId="1">#REF!</definedName>
    <definedName name="aporte_ano1" localSheetId="2">#REF!</definedName>
    <definedName name="aporte_ano1">#REF!</definedName>
    <definedName name="aportetotal" localSheetId="1">#REF!</definedName>
    <definedName name="aportetotal" localSheetId="2">#REF!</definedName>
    <definedName name="aportetotal">#REF!</definedName>
    <definedName name="ARA_Threshold">#REF!</definedName>
    <definedName name="area" localSheetId="12" hidden="1">{#N/A,#N/A,FALSE,"Plan1";#N/A,#N/A,FALSE,"Plan2"}</definedName>
    <definedName name="area" localSheetId="1" hidden="1">{#N/A,#N/A,FALSE,"Plan1";#N/A,#N/A,FALSE,"Plan2"}</definedName>
    <definedName name="area" localSheetId="4" hidden="1">{#N/A,#N/A,FALSE,"Plan1";#N/A,#N/A,FALSE,"Plan2"}</definedName>
    <definedName name="area" localSheetId="0" hidden="1">{#N/A,#N/A,FALSE,"Plan1";#N/A,#N/A,FALSE,"Plan2"}</definedName>
    <definedName name="area" localSheetId="2" hidden="1">{#N/A,#N/A,FALSE,"Plan1";#N/A,#N/A,FALSE,"Plan2"}</definedName>
    <definedName name="area" hidden="1">{#N/A,#N/A,FALSE,"Plan1";#N/A,#N/A,FALSE,"Plan2"}</definedName>
    <definedName name="area_base" localSheetId="1">#REF!</definedName>
    <definedName name="area_base" localSheetId="2">#REF!</definedName>
    <definedName name="area_base">#REF!</definedName>
    <definedName name="ÁREA_DE_ENTRADA_DE_C_PROD_CABO" localSheetId="1">#REF!</definedName>
    <definedName name="ÁREA_DE_ENTRADA_DE_C_PROD_CABO" localSheetId="2">#REF!</definedName>
    <definedName name="ÁREA_DE_ENTRADA_DE_C_PROD_CABO">#REF!</definedName>
    <definedName name="ÁREA_DE_ENTRADA_DE_C_PROD_CAXIAS" localSheetId="1">#REF!</definedName>
    <definedName name="ÁREA_DE_ENTRADA_DE_C_PROD_CAXIAS" localSheetId="2">#REF!</definedName>
    <definedName name="ÁREA_DE_ENTRADA_DE_C_PROD_CAXIAS">#REF!</definedName>
    <definedName name="ÁREA_DE_ENTRADA_DE_C_PROD_TRIUNFO" localSheetId="1">#REF!</definedName>
    <definedName name="ÁREA_DE_ENTRADA_DE_C_PROD_TRIUNFO" localSheetId="2">#REF!</definedName>
    <definedName name="ÁREA_DE_ENTRADA_DE_C_PROD_TRIUNFO">#REF!</definedName>
    <definedName name="_xlnm.Extract">#REF!</definedName>
    <definedName name="_xlnm.Print_Area">#REF!</definedName>
    <definedName name="Area_de_impressao1">#REF!</definedName>
    <definedName name="AREA_FRAC">#N/A</definedName>
    <definedName name="Área_impressão_IM" localSheetId="1">#REF!</definedName>
    <definedName name="Área_impressão_IM" localSheetId="2">#REF!</definedName>
    <definedName name="Área_impressão_IM">#REF!</definedName>
    <definedName name="AREA_LEG">#N/A</definedName>
    <definedName name="AREA_MUN">#N/A</definedName>
    <definedName name="AREA_TRANSFERENCIA">#REF!</definedName>
    <definedName name="AREA2">#REF!</definedName>
    <definedName name="AreaEprd">#REF!</definedName>
    <definedName name="AREAFRAC">#N/A</definedName>
    <definedName name="AREAMAODEOBRATOTAL" localSheetId="1">#REF!</definedName>
    <definedName name="AREAMAODEOBRATOTAL" localSheetId="2">#REF!</definedName>
    <definedName name="AREAMAODEOBRATOTAL">#REF!</definedName>
    <definedName name="AreaPaste">#REF!</definedName>
    <definedName name="AreaTitulo">#REF!</definedName>
    <definedName name="Arial">#REF!</definedName>
    <definedName name="ARP_Threshold">#REF!</definedName>
    <definedName name="arquivos_nomes" localSheetId="1">#REF!</definedName>
    <definedName name="arquivos_nomes" localSheetId="2">#REF!</definedName>
    <definedName name="arquivos_nomes">#REF!</definedName>
    <definedName name="Arred" localSheetId="1">#REF!</definedName>
    <definedName name="Arred" localSheetId="2">#REF!</definedName>
    <definedName name="Arred">#REF!</definedName>
    <definedName name="as" localSheetId="1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f">#REF!</definedName>
    <definedName name="asdfasf" hidden="1">#REF!</definedName>
    <definedName name="asdfg">#N/A</definedName>
    <definedName name="asdsfsda" localSheetId="1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dsfsda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dsfsda" localSheetId="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dsfsda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dsfsda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dsfsda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NITRO">#REF!</definedName>
    <definedName name="ASPROPPET">#REF!</definedName>
    <definedName name="ASPVC">#REF!</definedName>
    <definedName name="ass" localSheetId="1">#REF!</definedName>
    <definedName name="ass" localSheetId="2">#REF!</definedName>
    <definedName name="ass">#REF!</definedName>
    <definedName name="assoccons1">#REF!</definedName>
    <definedName name="AT" localSheetId="1">#REF!</definedName>
    <definedName name="AT" localSheetId="2">#REF!</definedName>
    <definedName name="AT">#REF!</definedName>
    <definedName name="ativo">#REF!</definedName>
    <definedName name="ato1_curta" localSheetId="1">#REF!</definedName>
    <definedName name="ato1_curta" localSheetId="2">#REF!</definedName>
    <definedName name="ato1_curta">#REF!</definedName>
    <definedName name="ato1_longa">#REF!</definedName>
    <definedName name="ato2_curta" localSheetId="1">#REF!</definedName>
    <definedName name="ato2_curta" localSheetId="2">#REF!</definedName>
    <definedName name="ato2_curta">#REF!</definedName>
    <definedName name="ato2_longa">#REF!</definedName>
    <definedName name="aux">#REF!</definedName>
    <definedName name="auxiliar">#REF!</definedName>
    <definedName name="aval">#REF!</definedName>
    <definedName name="AWA">#REF!</definedName>
    <definedName name="B">#REF!</definedName>
    <definedName name="Bal_soc_ativo">#REF!</definedName>
    <definedName name="balance" localSheetId="1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ÇO">#REF!</definedName>
    <definedName name="BALANÇO_CMI">#REF!</definedName>
    <definedName name="BALANÇO_CMI_UFIR">#REF!</definedName>
    <definedName name="BALANÇO_CMI_US">#REF!</definedName>
    <definedName name="BALANÇO_LS">#REF!</definedName>
    <definedName name="Balanço_soc_passivo">#REF!</definedName>
    <definedName name="balcop">#REF!</definedName>
    <definedName name="BalType" hidden="1">TRUE</definedName>
    <definedName name="BALUFIR">#REF!</definedName>
    <definedName name="_xlnm.Database">#REF!</definedName>
    <definedName name="BASE" localSheetId="1">#REF!</definedName>
    <definedName name="BASE" localSheetId="2">#REF!</definedName>
    <definedName name="BASE">#REF!</definedName>
    <definedName name="base_calculo_inv_dce" localSheetId="1">#REF!</definedName>
    <definedName name="base_calculo_inv_dce" localSheetId="2">#REF!</definedName>
    <definedName name="base_calculo_inv_dce">#REF!</definedName>
    <definedName name="BB">#N/A</definedName>
    <definedName name="BBB">#N/A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_moedas" localSheetId="1">#REF!</definedName>
    <definedName name="bd_moedas" localSheetId="2">#REF!</definedName>
    <definedName name="bd_moedas">#REF!</definedName>
    <definedName name="bdi">#REF!</definedName>
    <definedName name="BDI.">#REF!</definedName>
    <definedName name="BG_Del" hidden="1">15</definedName>
    <definedName name="BG_Ins" hidden="1">4</definedName>
    <definedName name="BG_Mod" hidden="1">6</definedName>
    <definedName name="bh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bh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bh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bh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bh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b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bkl_real">#REF!</definedName>
    <definedName name="blp_real">#REF!</definedName>
    <definedName name="BLPH1" hidden="1">#REF!</definedName>
    <definedName name="BLPH11" localSheetId="1" hidden="1">#REF!</definedName>
    <definedName name="BLPH11" localSheetId="2" hidden="1">#REF!</definedName>
    <definedName name="BLPH11" hidden="1">#REF!</definedName>
    <definedName name="BLPH12" localSheetId="1" hidden="1">#REF!</definedName>
    <definedName name="BLPH12" localSheetId="2" hidden="1">#REF!</definedName>
    <definedName name="BLPH12" hidden="1">#REF!</definedName>
    <definedName name="BLPH13" localSheetId="1" hidden="1">#REF!</definedName>
    <definedName name="BLPH13" localSheetId="2" hidden="1">#REF!</definedName>
    <definedName name="BLPH13" hidden="1">#REF!</definedName>
    <definedName name="BLPH14" hidden="1">#REF!</definedName>
    <definedName name="BLPH15" hidden="1">#REF!</definedName>
    <definedName name="BLPH2" localSheetId="1" hidden="1">#REF!</definedName>
    <definedName name="BLPH2" localSheetId="2" hidden="1">#REF!</definedName>
    <definedName name="BLPH2" hidden="1">#REF!</definedName>
    <definedName name="BLPH3" localSheetId="1" hidden="1">#REF!</definedName>
    <definedName name="BLPH3" localSheetId="2" hidden="1">#REF!</definedName>
    <definedName name="BLPH3" hidden="1">#REF!</definedName>
    <definedName name="BLPH4" localSheetId="1" hidden="1">#REF!</definedName>
    <definedName name="BLPH4" localSheetId="2" hidden="1">#REF!</definedName>
    <definedName name="BLPH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localSheetId="1" hidden="1">#REF!</definedName>
    <definedName name="BLPH5" localSheetId="2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localSheetId="1" hidden="1">#REF!</definedName>
    <definedName name="BLPH6" localSheetId="2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localSheetId="1" hidden="1">#REF!</definedName>
    <definedName name="BLPH67" localSheetId="2" hidden="1">#REF!</definedName>
    <definedName name="BLPH67" hidden="1">#REF!</definedName>
    <definedName name="BLPH68" localSheetId="1" hidden="1">#REF!</definedName>
    <definedName name="BLPH68" localSheetId="2" hidden="1">#REF!</definedName>
    <definedName name="BLPH68" hidden="1">#REF!</definedName>
    <definedName name="BLPH69" localSheetId="1" hidden="1">#REF!</definedName>
    <definedName name="BLPH69" localSheetId="2" hidden="1">#REF!</definedName>
    <definedName name="BLPH69" hidden="1">#REF!</definedName>
    <definedName name="BLPH7" localSheetId="1" hidden="1">#REF!</definedName>
    <definedName name="BLPH7" localSheetId="2" hidden="1">#REF!</definedName>
    <definedName name="BLPH7" hidden="1">#REF!</definedName>
    <definedName name="BLPH70" localSheetId="1" hidden="1">#REF!</definedName>
    <definedName name="BLPH70" localSheetId="2" hidden="1">#REF!</definedName>
    <definedName name="BLPH70" hidden="1">#REF!</definedName>
    <definedName name="BLPH71" localSheetId="1" hidden="1">#REF!</definedName>
    <definedName name="BLPH71" localSheetId="2" hidden="1">#REF!</definedName>
    <definedName name="BLPH71" hidden="1">#REF!</definedName>
    <definedName name="BLPH72" localSheetId="1" hidden="1">#REF!</definedName>
    <definedName name="BLPH72" localSheetId="2" hidden="1">#REF!</definedName>
    <definedName name="BLPH72" hidden="1">#REF!</definedName>
    <definedName name="BLPH73" localSheetId="1" hidden="1">#REF!</definedName>
    <definedName name="BLPH73" localSheetId="2" hidden="1">#REF!</definedName>
    <definedName name="BLPH73" hidden="1">#REF!</definedName>
    <definedName name="BLPH74" localSheetId="1" hidden="1">#REF!</definedName>
    <definedName name="BLPH74" localSheetId="2" hidden="1">#REF!</definedName>
    <definedName name="BLPH74" hidden="1">#REF!</definedName>
    <definedName name="BLPH75" localSheetId="1" hidden="1">#REF!</definedName>
    <definedName name="BLPH75" localSheetId="2" hidden="1">#REF!</definedName>
    <definedName name="BLPH75" hidden="1">#REF!</definedName>
    <definedName name="BLPH76" localSheetId="1" hidden="1">#REF!</definedName>
    <definedName name="BLPH76" localSheetId="2" hidden="1">#REF!</definedName>
    <definedName name="BLPH76" hidden="1">#REF!</definedName>
    <definedName name="BLPH77" localSheetId="1" hidden="1">#REF!</definedName>
    <definedName name="BLPH77" localSheetId="2" hidden="1">#REF!</definedName>
    <definedName name="BLPH77" hidden="1">#REF!</definedName>
    <definedName name="BLPH78" hidden="1">#REF!</definedName>
    <definedName name="BLPH79" hidden="1">#REF!</definedName>
    <definedName name="BLPH8" localSheetId="1" hidden="1">#REF!</definedName>
    <definedName name="BLPH8" localSheetId="2" hidden="1">#REF!</definedName>
    <definedName name="BLPH8" hidden="1">#REF!</definedName>
    <definedName name="BLPH80" hidden="1">#REF!</definedName>
    <definedName name="BLPH81" hidden="1">#REF!</definedName>
    <definedName name="BLPH82" localSheetId="1" hidden="1">#REF!</definedName>
    <definedName name="BLPH82" localSheetId="2" hidden="1">#REF!</definedName>
    <definedName name="BLPH82" hidden="1">#REF!</definedName>
    <definedName name="BLPH83" localSheetId="1" hidden="1">#REF!</definedName>
    <definedName name="BLPH83" localSheetId="2" hidden="1">#REF!</definedName>
    <definedName name="BLPH83" hidden="1">#REF!</definedName>
    <definedName name="BLPH9" localSheetId="1" hidden="1">#REF!</definedName>
    <definedName name="BLPH9" localSheetId="2" hidden="1">#REF!</definedName>
    <definedName name="BLPH9" hidden="1">#REF!</definedName>
    <definedName name="Bomba_putzmeister">#REF!</definedName>
    <definedName name="BP">#REF!</definedName>
    <definedName name="BR">#REF!</definedName>
    <definedName name="BTN_INPC">#REF!</definedName>
    <definedName name="C.Variáveis_PET_PTA" localSheetId="1">#REF!</definedName>
    <definedName name="C.Variáveis_PET_PTA" localSheetId="2">#REF!</definedName>
    <definedName name="C.Variáveis_PET_PTA">#REF!</definedName>
    <definedName name="C_">#REF!</definedName>
    <definedName name="C_G_LAT">#N/A</definedName>
    <definedName name="C_G_LON">#N/A</definedName>
    <definedName name="C_M_LAT">#N/A</definedName>
    <definedName name="C_M_LON">#N/A</definedName>
    <definedName name="C_S_LAT">#N/A</definedName>
    <definedName name="C_S_LON">#N/A</definedName>
    <definedName name="cab_cortes">#REF!</definedName>
    <definedName name="cab_dmt">#REF!</definedName>
    <definedName name="cab_limpeza">#REF!</definedName>
    <definedName name="cabmeio">#REF!</definedName>
    <definedName name="CAD">#REF!</definedName>
    <definedName name="CAPA1">#REF!</definedName>
    <definedName name="CAR">#REF!</definedName>
    <definedName name="CARLA" hidden="1">#REF!</definedName>
    <definedName name="Cases" localSheetId="1">#REF!</definedName>
    <definedName name="Cases" localSheetId="2">#REF!</definedName>
    <definedName name="Cases">#REF!</definedName>
    <definedName name="CASH_FLOW">#REF!</definedName>
    <definedName name="caso" localSheetId="1">#REF!</definedName>
    <definedName name="caso" localSheetId="2">#REF!</definedName>
    <definedName name="caso">#REF!</definedName>
    <definedName name="cbnm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nm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nm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nm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nm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n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nmghmk" localSheetId="12" hidden="1">{"'Índice'!$A$1:$K$49"}</definedName>
    <definedName name="cbnmghmk" localSheetId="1" hidden="1">{"'Índice'!$A$1:$K$49"}</definedName>
    <definedName name="cbnmghmk" localSheetId="4" hidden="1">{"'Índice'!$A$1:$K$49"}</definedName>
    <definedName name="cbnmghmk" localSheetId="0" hidden="1">{"'Índice'!$A$1:$K$49"}</definedName>
    <definedName name="cbnmghmk" localSheetId="2" hidden="1">{"'Índice'!$A$1:$K$49"}</definedName>
    <definedName name="cbnmghmk" hidden="1">{"'Índice'!$A$1:$K$49"}</definedName>
    <definedName name="CCC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CC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CC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CC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CC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CC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ççç" localSheetId="12" hidden="1">{#N/A,#N/A,FALSE,"Plan1";#N/A,#N/A,FALSE,"Plan2"}</definedName>
    <definedName name="ççç" localSheetId="1" hidden="1">{#N/A,#N/A,FALSE,"Plan1";#N/A,#N/A,FALSE,"Plan2"}</definedName>
    <definedName name="ççç" localSheetId="4" hidden="1">{#N/A,#N/A,FALSE,"Plan1";#N/A,#N/A,FALSE,"Plan2"}</definedName>
    <definedName name="ççç" localSheetId="0" hidden="1">{#N/A,#N/A,FALSE,"Plan1";#N/A,#N/A,FALSE,"Plan2"}</definedName>
    <definedName name="ççç" localSheetId="2" hidden="1">{#N/A,#N/A,FALSE,"Plan1";#N/A,#N/A,FALSE,"Plan2"}</definedName>
    <definedName name="ççç" hidden="1">{#N/A,#N/A,FALSE,"Plan1";#N/A,#N/A,FALSE,"Plan2"}</definedName>
    <definedName name="cccc" localSheetId="12" hidden="1">{#N/A,#N/A,FALSE,"Plan1";#N/A,#N/A,FALSE,"Plan2"}</definedName>
    <definedName name="cccc" localSheetId="1" hidden="1">{#N/A,#N/A,FALSE,"Plan1";#N/A,#N/A,FALSE,"Plan2"}</definedName>
    <definedName name="cccc" localSheetId="4" hidden="1">{#N/A,#N/A,FALSE,"Plan1";#N/A,#N/A,FALSE,"Plan2"}</definedName>
    <definedName name="cccc" localSheetId="0" hidden="1">{#N/A,#N/A,FALSE,"Plan1";#N/A,#N/A,FALSE,"Plan2"}</definedName>
    <definedName name="cccc" localSheetId="2" hidden="1">{#N/A,#N/A,FALSE,"Plan1";#N/A,#N/A,FALSE,"Plan2"}</definedName>
    <definedName name="cccc" hidden="1">{#N/A,#N/A,FALSE,"Plan1";#N/A,#N/A,FALSE,"Plan2"}</definedName>
    <definedName name="ççççççç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cd" localSheetId="12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cd" localSheetId="1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cd" localSheetId="4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cd" localSheetId="0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cd" localSheetId="2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cd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cde">#N/A</definedName>
    <definedName name="CEL">#REF!</definedName>
    <definedName name="cel_aaorcam" localSheetId="1">#REF!</definedName>
    <definedName name="cel_aaorcam" localSheetId="2">#REF!</definedName>
    <definedName name="cel_aaorcam">#REF!</definedName>
    <definedName name="cel_MoedaSelecao" localSheetId="1">#REF!</definedName>
    <definedName name="cel_MoedaSelecao" localSheetId="2">#REF!</definedName>
    <definedName name="cel_MoedaSelecao">#REF!</definedName>
    <definedName name="cel_MoedaVersao" localSheetId="1">#REF!</definedName>
    <definedName name="cel_MoedaVersao" localSheetId="2">#REF!</definedName>
    <definedName name="cel_MoedaVersao">#REF!</definedName>
    <definedName name="cel_nmorcam" localSheetId="1">#REF!</definedName>
    <definedName name="cel_nmorcam" localSheetId="2">#REF!</definedName>
    <definedName name="cel_nmorcam">#REF!</definedName>
    <definedName name="cel_PrimoAno" localSheetId="1">#REF!</definedName>
    <definedName name="cel_PrimoAno" localSheetId="2">#REF!</definedName>
    <definedName name="cel_PrimoAno">#REF!</definedName>
    <definedName name="CELULA">#REF!</definedName>
    <definedName name="cenario" localSheetId="1">#REF!</definedName>
    <definedName name="cenario" localSheetId="2">#REF!</definedName>
    <definedName name="cenario">#REF!</definedName>
    <definedName name="Cenários" localSheetId="1">#REF!</definedName>
    <definedName name="Cenários" localSheetId="2">#REF!</definedName>
    <definedName name="Cenários">#REF!</definedName>
    <definedName name="cf_cs_asahi" localSheetId="1">#REF!</definedName>
    <definedName name="cf_cs_asahi" localSheetId="2">#REF!</definedName>
    <definedName name="cf_cs_asahi">#REF!</definedName>
    <definedName name="cfData">40178</definedName>
    <definedName name="cfTipo">"Anual"</definedName>
    <definedName name="CFTOT_">#REF!</definedName>
    <definedName name="CFTOT_A">#REF!</definedName>
    <definedName name="cghm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ghjmkgh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ghjmkgh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ghjmkgh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ghjmkgh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ghjmkgh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ghjmkg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HAV">#REF!</definedName>
    <definedName name="chaves">#REF!</definedName>
    <definedName name="CHF">#REF!</definedName>
    <definedName name="chmgbnmk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hmgbnmk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hmgbnmk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hmgbnmk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hmgbnmk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hmgbnmk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l2disp_cl2elet" localSheetId="1">#REF!</definedName>
    <definedName name="cl2disp_cl2elet" localSheetId="2">#REF!</definedName>
    <definedName name="cl2disp_cl2elet">#REF!</definedName>
    <definedName name="CLAS_ECO">#N/A</definedName>
    <definedName name="CLAS_LOC">#N/A</definedName>
    <definedName name="cloro_monsanto" localSheetId="1">#REF!</definedName>
    <definedName name="cloro_monsanto" localSheetId="2">#REF!</definedName>
    <definedName name="cloro_monsanto">#REF!</definedName>
    <definedName name="cmai29" localSheetId="1">#REF!</definedName>
    <definedName name="cmai29" localSheetId="2">#REF!</definedName>
    <definedName name="cmai29">#REF!</definedName>
    <definedName name="cnmg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hm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hm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hm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hm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hm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h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OD_DIST">#N/A</definedName>
    <definedName name="COD_ME_R">#N/A</definedName>
    <definedName name="COD_MI_R">#N/A</definedName>
    <definedName name="COD_MUNI">#N/A</definedName>
    <definedName name="COD_UF">#N/A</definedName>
    <definedName name="CODIGO">#REF!</definedName>
    <definedName name="Código">#REF!</definedName>
    <definedName name="Código.">#REF!</definedName>
    <definedName name="COFINS" localSheetId="1">#REF!</definedName>
    <definedName name="COFINS" localSheetId="2">#REF!</definedName>
    <definedName name="COFINS">#REF!</definedName>
    <definedName name="COM">#REF!</definedName>
    <definedName name="compra_terreno">#REF!</definedName>
    <definedName name="conquista">#REF!</definedName>
    <definedName name="cons">#REF!</definedName>
    <definedName name="considera_ICMS_credito_PVC" localSheetId="1">#REF!</definedName>
    <definedName name="considera_ICMS_credito_PVC" localSheetId="2">#REF!</definedName>
    <definedName name="considera_ICMS_credito_PVC">#REF!</definedName>
    <definedName name="considera_venda_H2" localSheetId="1">#REF!</definedName>
    <definedName name="considera_venda_H2" localSheetId="2">#REF!</definedName>
    <definedName name="considera_venda_H2">#REF!</definedName>
    <definedName name="consol">#REF!</definedName>
    <definedName name="consol_acumulado_fim" localSheetId="1">#REF!</definedName>
    <definedName name="consol_acumulado_fim" localSheetId="2">#REF!</definedName>
    <definedName name="consol_acumulado_fim">#REF!</definedName>
    <definedName name="consol_acumulado_inicio" localSheetId="1">#REF!</definedName>
    <definedName name="consol_acumulado_inicio" localSheetId="2">#REF!</definedName>
    <definedName name="consol_acumulado_inicio">#REF!</definedName>
    <definedName name="consol_mes_inicio" localSheetId="1">#REF!</definedName>
    <definedName name="consol_mes_inicio" localSheetId="2">#REF!</definedName>
    <definedName name="consol_mes_inicio">#REF!</definedName>
    <definedName name="consol_trimest" localSheetId="1">#REF!</definedName>
    <definedName name="consol_trimest" localSheetId="2">#REF!</definedName>
    <definedName name="consol_trimest">#REF!</definedName>
    <definedName name="consol_trimestre_anterior_fim" localSheetId="1">#REF!</definedName>
    <definedName name="consol_trimestre_anterior_fim" localSheetId="2">#REF!</definedName>
    <definedName name="consol_trimestre_anterior_fim">#REF!</definedName>
    <definedName name="consol_trimestre_anterior_inicio" localSheetId="1">#REF!</definedName>
    <definedName name="consol_trimestre_anterior_inicio" localSheetId="2">#REF!</definedName>
    <definedName name="consol_trimestre_anterior_inicio">#REF!</definedName>
    <definedName name="consol_trimestre_fim" localSheetId="1">#REF!</definedName>
    <definedName name="consol_trimestre_fim" localSheetId="2">#REF!</definedName>
    <definedName name="consol_trimestre_fim">#REF!</definedName>
    <definedName name="consol_trimestre_inicio" localSheetId="1">#REF!</definedName>
    <definedName name="consol_trimestre_inicio" localSheetId="2">#REF!</definedName>
    <definedName name="consol_trimestre_inicio">#REF!</definedName>
    <definedName name="consolidation1">#REF!</definedName>
    <definedName name="consolidation2">#REF!</definedName>
    <definedName name="CONSUMO_BUTADIENO_ESTIRENO_EM_TONELADAS" localSheetId="1">#REF!</definedName>
    <definedName name="CONSUMO_BUTADIENO_ESTIRENO_EM_TONELADAS" localSheetId="2">#REF!</definedName>
    <definedName name="CONSUMO_BUTADIENO_ESTIRENO_EM_TONELADAS">#REF!</definedName>
    <definedName name="cont_cs" localSheetId="1">#REF!</definedName>
    <definedName name="cont_cs" localSheetId="2">#REF!</definedName>
    <definedName name="cont_cs">#REF!</definedName>
    <definedName name="cont_cs_asahi" localSheetId="1">#REF!</definedName>
    <definedName name="cont_cs_asahi" localSheetId="2">#REF!</definedName>
    <definedName name="cont_cs_asahi">#REF!</definedName>
    <definedName name="cont_dce" localSheetId="1">#REF!</definedName>
    <definedName name="cont_dce" localSheetId="2">#REF!</definedName>
    <definedName name="cont_dce">#REF!</definedName>
    <definedName name="contasareceber">#REF!</definedName>
    <definedName name="corte">#REF!</definedName>
    <definedName name="COT">#REF!</definedName>
    <definedName name="CREN">#REF!</definedName>
    <definedName name="_xlnm.Criteria">#REF!</definedName>
    <definedName name="CRITÉRIOS_IM">#REF!</definedName>
    <definedName name="CRTL_RESULTADO">#REF!</definedName>
    <definedName name="CS">#REF!</definedName>
    <definedName name="CSLL" localSheetId="1">#REF!</definedName>
    <definedName name="CSLL" localSheetId="2">#REF!</definedName>
    <definedName name="CSLL">#REF!</definedName>
    <definedName name="ct_cloro_uhde" localSheetId="1">#REF!</definedName>
    <definedName name="ct_cloro_uhde" localSheetId="2">#REF!</definedName>
    <definedName name="ct_cloro_uhde">#REF!</definedName>
    <definedName name="ct_energ_utilid_DCE" localSheetId="1">#REF!</definedName>
    <definedName name="ct_energ_utilid_DCE" localSheetId="2">#REF!</definedName>
    <definedName name="ct_energ_utilid_DCE">#REF!</definedName>
    <definedName name="curta_1617">#REF!</definedName>
    <definedName name="CURTA1" localSheetId="1">#REF!</definedName>
    <definedName name="CURTA1" localSheetId="2">#REF!</definedName>
    <definedName name="CURTA1">#REF!</definedName>
    <definedName name="CURVA">#REF!</definedName>
    <definedName name="curvaresumo">#REF!</definedName>
    <definedName name="CUSTO">#REF!</definedName>
    <definedName name="CUSTO_DAS_DESAPROPRIAÇÕES">#REF!</definedName>
    <definedName name="CUSTO_DE_COMBUSTÍVEL_E_LUFRIFICANTES">#REF!</definedName>
    <definedName name="custo_desativacao" localSheetId="1">#REF!</definedName>
    <definedName name="custo_desativacao" localSheetId="2">#REF!</definedName>
    <definedName name="custo_desativacao">#REF!</definedName>
    <definedName name="CUSTO_FIXO_CAXIAS" localSheetId="1">#REF!</definedName>
    <definedName name="CUSTO_FIXO_CAXIAS" localSheetId="2">#REF!</definedName>
    <definedName name="CUSTO_FIXO_CAXIAS">#REF!</definedName>
    <definedName name="custo_fixo_cs_nova" localSheetId="1">#REF!</definedName>
    <definedName name="custo_fixo_cs_nova" localSheetId="2">#REF!</definedName>
    <definedName name="custo_fixo_cs_nova">#REF!</definedName>
    <definedName name="custo_fixo_dce_nova" localSheetId="1">#REF!</definedName>
    <definedName name="custo_fixo_dce_nova" localSheetId="2">#REF!</definedName>
    <definedName name="custo_fixo_dce_nova">#REF!</definedName>
    <definedName name="custoprod" localSheetId="12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prod" localSheetId="1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prod" localSheetId="4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prod" localSheetId="0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prod" localSheetId="2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prod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S">#REF!</definedName>
    <definedName name="CV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V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V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v_DCE_sem_mp" localSheetId="1">#REF!</definedName>
    <definedName name="cv_DCE_sem_mp" localSheetId="2">#REF!</definedName>
    <definedName name="cv_DCE_sem_mp">#REF!</definedName>
    <definedName name="cvcvc">#N/A</definedName>
    <definedName name="d">#REF!</definedName>
    <definedName name="DA_Cargos">#REF!</definedName>
    <definedName name="DA_Impostos">#REF!</definedName>
    <definedName name="DA_Insalubridade">#REF!</definedName>
    <definedName name="DA_Margem">#REF!</definedName>
    <definedName name="DA_Nextel">#REF!</definedName>
    <definedName name="DA_Noturno">#REF!</definedName>
    <definedName name="DA_Periculosidade">#REF!</definedName>
    <definedName name="DA_Preço">#REF!</definedName>
    <definedName name="DA_PreçoGer">#REF!</definedName>
    <definedName name="DA_Rádio">#REF!</definedName>
    <definedName name="DA_TotalA">#REF!</definedName>
    <definedName name="DA_TotalB">#REF!</definedName>
    <definedName name="DA_TotalC">#REF!</definedName>
    <definedName name="DA_TotalD">#REF!</definedName>
    <definedName name="dados">#REF!</definedName>
    <definedName name="DADOSA" localSheetId="1">#REF!</definedName>
    <definedName name="DADOSA" localSheetId="2">#REF!</definedName>
    <definedName name="DADOSA">#REF!</definedName>
    <definedName name="dads">#REF!</definedName>
    <definedName name="DANIEL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2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2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2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2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2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ta">#REF!</definedName>
    <definedName name="Data_Ini" localSheetId="1">#REF!</definedName>
    <definedName name="Data_Ini" localSheetId="2">#REF!</definedName>
    <definedName name="Data_Ini">#REF!</definedName>
    <definedName name="data_rel_oper">#REF!</definedName>
    <definedName name="DATA1">#REF!</definedName>
    <definedName name="DATA2">#REF!</definedName>
    <definedName name="DATAS">#REF!</definedName>
    <definedName name="DB_Cargos">#REF!</definedName>
    <definedName name="DB_Computador">#REF!</definedName>
    <definedName name="DB_Impostos">#REF!</definedName>
    <definedName name="DB_Margem">#REF!</definedName>
    <definedName name="DB_Nextel">#REF!</definedName>
    <definedName name="DB_Noturno">#REF!</definedName>
    <definedName name="DB_NR10">#REF!</definedName>
    <definedName name="DB_Periculosidade">#REF!</definedName>
    <definedName name="DB_Preço">#REF!</definedName>
    <definedName name="DB_PreçoGer">#REF!</definedName>
    <definedName name="DB_Radio">#REF!</definedName>
    <definedName name="DB_TotalA">#REF!</definedName>
    <definedName name="DB_TotalB">#REF!</definedName>
    <definedName name="DB_TotalC">#REF!</definedName>
    <definedName name="DB_TotalD">#REF!</definedName>
    <definedName name="DC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hart26" hidden="1">#REF!</definedName>
    <definedName name="dchart31" hidden="1">#REF!</definedName>
    <definedName name="d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D">#N/A</definedName>
    <definedName name="dddd">#N/A</definedName>
    <definedName name="ddddd" localSheetId="12" hidden="1">{#N/A,#N/A,FALSE,"Plan1";#N/A,#N/A,FALSE,"Plan2"}</definedName>
    <definedName name="ddddd" localSheetId="1" hidden="1">{#N/A,#N/A,FALSE,"Plan1";#N/A,#N/A,FALSE,"Plan2"}</definedName>
    <definedName name="ddddd" localSheetId="4" hidden="1">{#N/A,#N/A,FALSE,"Plan1";#N/A,#N/A,FALSE,"Plan2"}</definedName>
    <definedName name="ddddd" localSheetId="0" hidden="1">{#N/A,#N/A,FALSE,"Plan1";#N/A,#N/A,FALSE,"Plan2"}</definedName>
    <definedName name="ddddd" localSheetId="2" hidden="1">{#N/A,#N/A,FALSE,"Plan1";#N/A,#N/A,FALSE,"Plan2"}</definedName>
    <definedName name="ddddd" hidden="1">{#N/A,#N/A,FALSE,"Plan1";#N/A,#N/A,FALSE,"Plan2"}</definedName>
    <definedName name="dddddddddd">#N/A</definedName>
    <definedName name="ddgfdvgd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s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ds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ds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ds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ds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ds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E">#REF!</definedName>
    <definedName name="DemRes00">#REF!</definedName>
    <definedName name="DemRes01">#REF!</definedName>
    <definedName name="densidade_cap">#REF!</definedName>
    <definedName name="depr_02" localSheetId="1">#REF!</definedName>
    <definedName name="depr_02" localSheetId="2">#REF!</definedName>
    <definedName name="depr_02">#REF!</definedName>
    <definedName name="depr_03" localSheetId="1">#REF!</definedName>
    <definedName name="depr_03" localSheetId="2">#REF!</definedName>
    <definedName name="depr_03">#REF!</definedName>
    <definedName name="depreciaciones" localSheetId="1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r">#N/A</definedName>
    <definedName name="des" localSheetId="12" hidden="1">{#N/A,#N/A,FALSE,"Plan1";#N/A,#N/A,FALSE,"Plan2"}</definedName>
    <definedName name="des" localSheetId="1" hidden="1">{#N/A,#N/A,FALSE,"Plan1";#N/A,#N/A,FALSE,"Plan2"}</definedName>
    <definedName name="des" localSheetId="4" hidden="1">{#N/A,#N/A,FALSE,"Plan1";#N/A,#N/A,FALSE,"Plan2"}</definedName>
    <definedName name="des" localSheetId="0" hidden="1">{#N/A,#N/A,FALSE,"Plan1";#N/A,#N/A,FALSE,"Plan2"}</definedName>
    <definedName name="des" localSheetId="2" hidden="1">{#N/A,#N/A,FALSE,"Plan1";#N/A,#N/A,FALSE,"Plan2"}</definedName>
    <definedName name="des" hidden="1">{#N/A,#N/A,FALSE,"Plan1";#N/A,#N/A,FALSE,"Plan2"}</definedName>
    <definedName name="desc" localSheetId="12" hidden="1">{#N/A,#N/A,FALSE,"Plan1";#N/A,#N/A,FALSE,"Plan2"}</definedName>
    <definedName name="desc" localSheetId="1" hidden="1">{#N/A,#N/A,FALSE,"Plan1";#N/A,#N/A,FALSE,"Plan2"}</definedName>
    <definedName name="desc" localSheetId="4" hidden="1">{#N/A,#N/A,FALSE,"Plan1";#N/A,#N/A,FALSE,"Plan2"}</definedName>
    <definedName name="desc" localSheetId="0" hidden="1">{#N/A,#N/A,FALSE,"Plan1";#N/A,#N/A,FALSE,"Plan2"}</definedName>
    <definedName name="desc" localSheetId="2" hidden="1">{#N/A,#N/A,FALSE,"Plan1";#N/A,#N/A,FALSE,"Plan2"}</definedName>
    <definedName name="desc" hidden="1">{#N/A,#N/A,FALSE,"Plan1";#N/A,#N/A,FALSE,"Plan2"}</definedName>
    <definedName name="DESC1">#REF!</definedName>
    <definedName name="DESP">#REF!</definedName>
    <definedName name="DESPFIN">#N/A</definedName>
    <definedName name="DEST1">#REF!</definedName>
    <definedName name="DEST2">#REF!</definedName>
    <definedName name="DEST3">#REF!</definedName>
    <definedName name="DEST4">#REF!</definedName>
    <definedName name="DEST4A">#REF!</definedName>
    <definedName name="DEST4B">#REF!</definedName>
    <definedName name="deuda" localSheetId="1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1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VFATOB">#REF!</definedName>
    <definedName name="df">#N/A</definedName>
    <definedName name="dfg">#N/A</definedName>
    <definedName name="DFR">#REF!</definedName>
    <definedName name="dggfdg" localSheetId="12" hidden="1">{#N/A,#N/A,FALSE,"Plan1";#N/A,#N/A,FALSE,"Plan2"}</definedName>
    <definedName name="dggfdg" localSheetId="1" hidden="1">{#N/A,#N/A,FALSE,"Plan1";#N/A,#N/A,FALSE,"Plan2"}</definedName>
    <definedName name="dggfdg" localSheetId="4" hidden="1">{#N/A,#N/A,FALSE,"Plan1";#N/A,#N/A,FALSE,"Plan2"}</definedName>
    <definedName name="dggfdg" localSheetId="0" hidden="1">{#N/A,#N/A,FALSE,"Plan1";#N/A,#N/A,FALSE,"Plan2"}</definedName>
    <definedName name="dggfdg" localSheetId="2" hidden="1">{#N/A,#N/A,FALSE,"Plan1";#N/A,#N/A,FALSE,"Plan2"}</definedName>
    <definedName name="dggfdg" hidden="1">{#N/A,#N/A,FALSE,"Plan1";#N/A,#N/A,FALSE,"Plan2"}</definedName>
    <definedName name="dggsf">#N/A</definedName>
    <definedName name="dgnghnyh" localSheetId="1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dgnghnyh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dgnghnyh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dgnghnyh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dgnghnyh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dgnghnyh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dgs">#N/A</definedName>
    <definedName name="diss">#REF!</definedName>
    <definedName name="dll_real">#REF!</definedName>
    <definedName name="DM">#REF!</definedName>
    <definedName name="DMT_0_50">#REF!</definedName>
    <definedName name="DMT_1000">#REF!</definedName>
    <definedName name="DMT_200">#REF!</definedName>
    <definedName name="DMT_200_400">#REF!</definedName>
    <definedName name="DMT_400">#REF!</definedName>
    <definedName name="DMT_400_600">#REF!</definedName>
    <definedName name="DMT_50">#REF!</definedName>
    <definedName name="DMT_50_200">#REF!</definedName>
    <definedName name="DMT_600">#REF!</definedName>
    <definedName name="DMT_800">#REF!</definedName>
    <definedName name="DOAR_MES">#REF!</definedName>
    <definedName name="DOAR_MOVIM">#REF!</definedName>
    <definedName name="dolar" localSheetId="1">#REF!</definedName>
    <definedName name="dolar" localSheetId="2">#REF!</definedName>
    <definedName name="dolar">#REF!</definedName>
    <definedName name="dolar96">#REF!</definedName>
    <definedName name="DRE">#REF!</definedName>
    <definedName name="dren">#REF!</definedName>
    <definedName name="drena">#REF!</definedName>
    <definedName name="drenag">#REF!</definedName>
    <definedName name="ds" localSheetId="1">#REF!</definedName>
    <definedName name="ds" localSheetId="2">#REF!</definedName>
    <definedName name="ds">#REF!</definedName>
    <definedName name="dsf">#N/A</definedName>
    <definedName name="DV_MUNI">#N/A</definedName>
    <definedName name="DVVB" localSheetId="12" hidden="1">{"tabela",#N/A,FALSE,"Tabela";"decoração",#N/A,FALSE,"Decor.";"Informações",#N/A,FALSE,"Inform."}</definedName>
    <definedName name="DVVB" localSheetId="1" hidden="1">{"tabela",#N/A,FALSE,"Tabela";"decoração",#N/A,FALSE,"Decor.";"Informações",#N/A,FALSE,"Inform."}</definedName>
    <definedName name="DVVB" localSheetId="4" hidden="1">{"tabela",#N/A,FALSE,"Tabela";"decoração",#N/A,FALSE,"Decor.";"Informações",#N/A,FALSE,"Inform."}</definedName>
    <definedName name="DVVB" localSheetId="0" hidden="1">{"tabela",#N/A,FALSE,"Tabela";"decoração",#N/A,FALSE,"Decor.";"Informações",#N/A,FALSE,"Inform."}</definedName>
    <definedName name="DVVB" localSheetId="2" hidden="1">{"tabela",#N/A,FALSE,"Tabela";"decoração",#N/A,FALSE,"Decor.";"Informações",#N/A,FALSE,"Inform."}</definedName>
    <definedName name="DVVB" hidden="1">{"tabela",#N/A,FALSE,"Tabela";"decoração",#N/A,FALSE,"Decor.";"Informações",#N/A,FALSE,"Inform."}</definedName>
    <definedName name="DXCZ" localSheetId="12" hidden="1">{#N/A,#N/A,FALSE,"Plan1";#N/A,#N/A,FALSE,"Plan2"}</definedName>
    <definedName name="DXCZ" localSheetId="1" hidden="1">{#N/A,#N/A,FALSE,"Plan1";#N/A,#N/A,FALSE,"Plan2"}</definedName>
    <definedName name="DXCZ" localSheetId="4" hidden="1">{#N/A,#N/A,FALSE,"Plan1";#N/A,#N/A,FALSE,"Plan2"}</definedName>
    <definedName name="DXCZ" localSheetId="0" hidden="1">{#N/A,#N/A,FALSE,"Plan1";#N/A,#N/A,FALSE,"Plan2"}</definedName>
    <definedName name="DXCZ" localSheetId="2" hidden="1">{#N/A,#N/A,FALSE,"Plan1";#N/A,#N/A,FALSE,"Plan2"}</definedName>
    <definedName name="DXCZ" hidden="1">{#N/A,#N/A,FALSE,"Plan1";#N/A,#N/A,FALSE,"Plan2"}</definedName>
    <definedName name="E" localSheetId="1">#REF!</definedName>
    <definedName name="E" localSheetId="2">#REF!</definedName>
    <definedName name="E">#REF!</definedName>
    <definedName name="echart31" hidden="1">#REF!</definedName>
    <definedName name="ed">#REF!</definedName>
    <definedName name="ede" localSheetId="12">{0;0;0;0;9;#N/A;0.75;0.75;1;1;1;FALSE;FALSE;FALSE;FALSE;FALSE;#N/A;1;100;#N/A;#N/A;"&amp;A";"Page &amp;P"}</definedName>
    <definedName name="ede" localSheetId="1">{0;0;0;0;9;#N/A;0.75;0.75;1;1;1;FALSE;FALSE;FALSE;FALSE;FALSE;#N/A;1;100;#N/A;#N/A;"&amp;A";"Page &amp;P"}</definedName>
    <definedName name="ede" localSheetId="4">{0;0;0;0;9;#N/A;0.75;0.75;1;1;1;FALSE;FALSE;FALSE;FALSE;FALSE;#N/A;1;100;#N/A;#N/A;"&amp;A";"Page &amp;P"}</definedName>
    <definedName name="ede" localSheetId="0">{0;0;0;0;9;#N/A;0.75;0.75;1;1;1;FALSE;FALSE;FALSE;FALSE;FALSE;#N/A;1;100;#N/A;#N/A;"&amp;A";"Page &amp;P"}</definedName>
    <definedName name="ede" localSheetId="2">{0;0;0;0;9;#N/A;0.75;0.75;1;1;1;FALSE;FALSE;FALSE;FALSE;FALSE;#N/A;1;100;#N/A;#N/A;"&amp;A";"Page &amp;P"}</definedName>
    <definedName name="ede">{0;0;0;0;9;#N/A;0.75;0.75;1;1;1;FALSE;FALSE;FALSE;FALSE;FALSE;#N/A;1;100;#N/A;#N/A;"&amp;A";"Page &amp;P"}</definedName>
    <definedName name="edif_cs" localSheetId="1">#REF!</definedName>
    <definedName name="edif_cs" localSheetId="2">#REF!</definedName>
    <definedName name="edif_cs">#REF!</definedName>
    <definedName name="edif_cs_asahi" localSheetId="1">#REF!</definedName>
    <definedName name="edif_cs_asahi" localSheetId="2">#REF!</definedName>
    <definedName name="edif_cs_asahi">#REF!</definedName>
    <definedName name="ee">#N/A</definedName>
    <definedName name="EEE">#N/A</definedName>
    <definedName name="EEPROPPET">#REF!</definedName>
    <definedName name="efic_retificacao" localSheetId="1">#REF!</definedName>
    <definedName name="efic_retificacao" localSheetId="2">#REF!</definedName>
    <definedName name="efic_retificacao">#REF!</definedName>
    <definedName name="efsgsf">#N/A</definedName>
    <definedName name="ELECTRICITY">#REF!</definedName>
    <definedName name="Emer">#REF!</definedName>
    <definedName name="Emerson">#REF!</definedName>
    <definedName name="Empolamento">#REF!</definedName>
    <definedName name="Empreiteiras">#REF!</definedName>
    <definedName name="Empresa" localSheetId="1">#REF!</definedName>
    <definedName name="Empresa" localSheetId="2">#REF!</definedName>
    <definedName name="Empresa">#REF!</definedName>
    <definedName name="enc">#REF!</definedName>
    <definedName name="epc_cs" localSheetId="1">#REF!</definedName>
    <definedName name="epc_cs" localSheetId="2">#REF!</definedName>
    <definedName name="epc_cs">#REF!</definedName>
    <definedName name="EPVT">#REF!</definedName>
    <definedName name="EQPTO">#REF!</definedName>
    <definedName name="EQUIV">#REF!</definedName>
    <definedName name="EscalaDA">#REF!</definedName>
    <definedName name="EscalaDB">#REF!</definedName>
    <definedName name="est">#REF!</definedName>
    <definedName name="ETENOPP">#REF!</definedName>
    <definedName name="ETENOPVC">#REF!</definedName>
    <definedName name="ETENOPVCAL">#REF!</definedName>
    <definedName name="ETENOPVCBA">#REF!</definedName>
    <definedName name="Euro">#REF!</definedName>
    <definedName name="EUROpUSD" localSheetId="1">#REF!</definedName>
    <definedName name="EUROpUSD" localSheetId="2">#REF!</definedName>
    <definedName name="EUROpUSD">#REF!</definedName>
    <definedName name="ex_epc_cs" localSheetId="1">#REF!</definedName>
    <definedName name="ex_epc_cs" localSheetId="2">#REF!</definedName>
    <definedName name="ex_epc_cs">#REF!</definedName>
    <definedName name="EXAMES_MÉDICOS">#REF!</definedName>
    <definedName name="Excel_BuiltIn__FilterDatabase_1">#REF!</definedName>
    <definedName name="Excel_BuiltIn_Print_Area_1">#REF!</definedName>
    <definedName name="ExpandOutputs">#N/A</definedName>
    <definedName name="ExportFile" localSheetId="1">#REF!</definedName>
    <definedName name="ExportFile" localSheetId="2">#REF!</definedName>
    <definedName name="ExportFile">#REF!</definedName>
    <definedName name="f" hidden="1">#REF!</definedName>
    <definedName name="F_A_REF">#N/A</definedName>
    <definedName name="F_C_REF">#N/A</definedName>
    <definedName name="fafa">#N/A</definedName>
    <definedName name="FAT_EXP" localSheetId="1">#REF!</definedName>
    <definedName name="FAT_EXP" localSheetId="2">#REF!</definedName>
    <definedName name="FAT_EXP">#REF!</definedName>
    <definedName name="Fator_Ch">#REF!</definedName>
    <definedName name="Fator_L">#REF!</definedName>
    <definedName name="Fator_MO">#REF!</definedName>
    <definedName name="faturamento">#REF!</definedName>
    <definedName name="FATURAMENTO_BRUTO_RESUMO_POR_FÁBRICA_EX_ENCARGOS_FINANCEIROS" localSheetId="1">#REF!</definedName>
    <definedName name="FATURAMENTO_BRUTO_RESUMO_POR_FÁBRICA_EX_ENCARGOS_FINANCEIROS" localSheetId="2">#REF!</definedName>
    <definedName name="FATURAMENTO_BRUTO_RESUMO_POR_FÁBRICA_EX_ENCARGOS_FINANCEIROS">#REF!</definedName>
    <definedName name="FATURAMENTO_LÍQUIDO_RESUMO_POR_FÁBRICA_COM_ENCARGOS_FINANCEIROS" localSheetId="1">#REF!</definedName>
    <definedName name="FATURAMENTO_LÍQUIDO_RESUMO_POR_FÁBRICA_COM_ENCARGOS_FINANCEIROS" localSheetId="2">#REF!</definedName>
    <definedName name="FATURAMENTO_LÍQUIDO_RESUMO_POR_FÁBRICA_COM_ENCARGOS_FINANCEIROS">#REF!</definedName>
    <definedName name="FATURAMENTO_LÍQUIDO_RESUMO_POR_FÁBRICA_EX_ENCARGOS_FINANCEIROS" localSheetId="1">#REF!</definedName>
    <definedName name="FATURAMENTO_LÍQUIDO_RESUMO_POR_FÁBRICA_EX_ENCARGOS_FINANCEIROS" localSheetId="2">#REF!</definedName>
    <definedName name="FATURAMENTO_LÍQUIDO_RESUMO_POR_FÁBRICA_EX_ENCARGOS_FINANCEIROS">#REF!</definedName>
    <definedName name="fcaixa">#REF!</definedName>
    <definedName name="fcd_real">#REF!</definedName>
    <definedName name="fchart31" hidden="1">#REF!</definedName>
    <definedName name="fci_real">#REF!</definedName>
    <definedName name="fd" localSheetId="1">#REF!</definedName>
    <definedName name="fd" localSheetId="2">#REF!</definedName>
    <definedName name="fd">#REF!</definedName>
    <definedName name="fdgaf" localSheetId="12" hidden="1">{#N/A,#N/A,FALSE,"Plan1";#N/A,#N/A,FALSE,"Plan2"}</definedName>
    <definedName name="fdgaf" localSheetId="1" hidden="1">{#N/A,#N/A,FALSE,"Plan1";#N/A,#N/A,FALSE,"Plan2"}</definedName>
    <definedName name="fdgaf" localSheetId="4" hidden="1">{#N/A,#N/A,FALSE,"Plan1";#N/A,#N/A,FALSE,"Plan2"}</definedName>
    <definedName name="fdgaf" localSheetId="0" hidden="1">{#N/A,#N/A,FALSE,"Plan1";#N/A,#N/A,FALSE,"Plan2"}</definedName>
    <definedName name="fdgaf" localSheetId="2" hidden="1">{#N/A,#N/A,FALSE,"Plan1";#N/A,#N/A,FALSE,"Plan2"}</definedName>
    <definedName name="fdgaf" hidden="1">{#N/A,#N/A,FALSE,"Plan1";#N/A,#N/A,FALSE,"Plan2"}</definedName>
    <definedName name="fdhgfdf" localSheetId="12" hidden="1">{#N/A,#N/A,FALSE,"Plan1";#N/A,#N/A,FALSE,"Plan2"}</definedName>
    <definedName name="fdhgfdf" localSheetId="1" hidden="1">{#N/A,#N/A,FALSE,"Plan1";#N/A,#N/A,FALSE,"Plan2"}</definedName>
    <definedName name="fdhgfdf" localSheetId="4" hidden="1">{#N/A,#N/A,FALSE,"Plan1";#N/A,#N/A,FALSE,"Plan2"}</definedName>
    <definedName name="fdhgfdf" localSheetId="0" hidden="1">{#N/A,#N/A,FALSE,"Plan1";#N/A,#N/A,FALSE,"Plan2"}</definedName>
    <definedName name="fdhgfdf" localSheetId="2" hidden="1">{#N/A,#N/A,FALSE,"Plan1";#N/A,#N/A,FALSE,"Plan2"}</definedName>
    <definedName name="fdhgfdf" hidden="1">{#N/A,#N/A,FALSE,"Plan1";#N/A,#N/A,FALSE,"Plan2"}</definedName>
    <definedName name="FDS" localSheetId="12" hidden="1">{#N/A,#N/A,FALSE,"Plan1";#N/A,#N/A,FALSE,"Plan2"}</definedName>
    <definedName name="FDS" localSheetId="1" hidden="1">{#N/A,#N/A,FALSE,"Plan1";#N/A,#N/A,FALSE,"Plan2"}</definedName>
    <definedName name="FDS" localSheetId="4" hidden="1">{#N/A,#N/A,FALSE,"Plan1";#N/A,#N/A,FALSE,"Plan2"}</definedName>
    <definedName name="FDS" localSheetId="0" hidden="1">{#N/A,#N/A,FALSE,"Plan1";#N/A,#N/A,FALSE,"Plan2"}</definedName>
    <definedName name="FDS" localSheetId="2" hidden="1">{#N/A,#N/A,FALSE,"Plan1";#N/A,#N/A,FALSE,"Plan2"}</definedName>
    <definedName name="FDS" hidden="1">{#N/A,#N/A,FALSE,"Plan1";#N/A,#N/A,FALSE,"Plan2"}</definedName>
    <definedName name="Feriados" localSheetId="1">#REF!</definedName>
    <definedName name="Feriados" localSheetId="2">#REF!</definedName>
    <definedName name="Feriados">#REF!</definedName>
    <definedName name="ff" localSheetId="1">#REF!</definedName>
    <definedName name="ff" localSheetId="2">#REF!</definedName>
    <definedName name="ff">#REF!</definedName>
    <definedName name="fff">#N/A</definedName>
    <definedName name="fffff" localSheetId="12" hidden="1">{#N/A,#N/A,FALSE,"Plan1";#N/A,#N/A,FALSE,"Plan2"}</definedName>
    <definedName name="fffff" localSheetId="1" hidden="1">{#N/A,#N/A,FALSE,"Plan1";#N/A,#N/A,FALSE,"Plan2"}</definedName>
    <definedName name="fffff" localSheetId="4" hidden="1">{#N/A,#N/A,FALSE,"Plan1";#N/A,#N/A,FALSE,"Plan2"}</definedName>
    <definedName name="fffff" localSheetId="0" hidden="1">{#N/A,#N/A,FALSE,"Plan1";#N/A,#N/A,FALSE,"Plan2"}</definedName>
    <definedName name="fffff" localSheetId="2" hidden="1">{#N/A,#N/A,FALSE,"Plan1";#N/A,#N/A,FALSE,"Plan2"}</definedName>
    <definedName name="fffff" hidden="1">{#N/A,#N/A,FALSE,"Plan1";#N/A,#N/A,FALSE,"Plan2"}</definedName>
    <definedName name="FFR">#REF!</definedName>
    <definedName name="FG" localSheetId="12" hidden="1">{#N/A,#N/A,FALSE,"Plan1";#N/A,#N/A,FALSE,"Plan2"}</definedName>
    <definedName name="FG" localSheetId="1" hidden="1">{#N/A,#N/A,FALSE,"Plan1";#N/A,#N/A,FALSE,"Plan2"}</definedName>
    <definedName name="FG" localSheetId="4" hidden="1">{#N/A,#N/A,FALSE,"Plan1";#N/A,#N/A,FALSE,"Plan2"}</definedName>
    <definedName name="FG" localSheetId="0" hidden="1">{#N/A,#N/A,FALSE,"Plan1";#N/A,#N/A,FALSE,"Plan2"}</definedName>
    <definedName name="FG" localSheetId="2" hidden="1">{#N/A,#N/A,FALSE,"Plan1";#N/A,#N/A,FALSE,"Plan2"}</definedName>
    <definedName name="FG" hidden="1">{#N/A,#N/A,FALSE,"Plan1";#N/A,#N/A,FALSE,"Plan2"}</definedName>
    <definedName name="fgdsag">#N/A</definedName>
    <definedName name="FGJHFGK" localSheetId="12" hidden="1">{#N/A,#N/A,FALSE,"Plan1";#N/A,#N/A,FALSE,"Plan2"}</definedName>
    <definedName name="FGJHFGK" localSheetId="1" hidden="1">{#N/A,#N/A,FALSE,"Plan1";#N/A,#N/A,FALSE,"Plan2"}</definedName>
    <definedName name="FGJHFGK" localSheetId="4" hidden="1">{#N/A,#N/A,FALSE,"Plan1";#N/A,#N/A,FALSE,"Plan2"}</definedName>
    <definedName name="FGJHFGK" localSheetId="0" hidden="1">{#N/A,#N/A,FALSE,"Plan1";#N/A,#N/A,FALSE,"Plan2"}</definedName>
    <definedName name="FGJHFGK" localSheetId="2" hidden="1">{#N/A,#N/A,FALSE,"Plan1";#N/A,#N/A,FALSE,"Plan2"}</definedName>
    <definedName name="FGJHFGK" hidden="1">{#N/A,#N/A,FALSE,"Plan1";#N/A,#N/A,FALSE,"Plan2"}</definedName>
    <definedName name="Fim_OESP">#REF!</definedName>
    <definedName name="fin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617">#REF!</definedName>
    <definedName name="FINAL">#REF!</definedName>
    <definedName name="Financ.Resumen" localSheetId="1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eiros" localSheetId="1">#REF!</definedName>
    <definedName name="financeiros" localSheetId="2">#REF!</definedName>
    <definedName name="financeiros">#REF!</definedName>
    <definedName name="financeiros1" localSheetId="1">#REF!</definedName>
    <definedName name="financeiros1" localSheetId="2">#REF!</definedName>
    <definedName name="financeiros1">#REF!</definedName>
    <definedName name="FJGH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12" hidden="1">{#N/A,#N/A,FALSE,"Plan1";#N/A,#N/A,FALSE,"Plan2"}</definedName>
    <definedName name="FJHJHG" localSheetId="1" hidden="1">{#N/A,#N/A,FALSE,"Plan1";#N/A,#N/A,FALSE,"Plan2"}</definedName>
    <definedName name="FJHJHG" localSheetId="4" hidden="1">{#N/A,#N/A,FALSE,"Plan1";#N/A,#N/A,FALSE,"Plan2"}</definedName>
    <definedName name="FJHJHG" localSheetId="0" hidden="1">{#N/A,#N/A,FALSE,"Plan1";#N/A,#N/A,FALSE,"Plan2"}</definedName>
    <definedName name="FJHJHG" localSheetId="2" hidden="1">{#N/A,#N/A,FALSE,"Plan1";#N/A,#N/A,FALSE,"Plan2"}</definedName>
    <definedName name="FJHJHG" hidden="1">{#N/A,#N/A,FALSE,"Plan1";#N/A,#N/A,FALSE,"Plan2"}</definedName>
    <definedName name="FL">#REF!</definedName>
    <definedName name="FluCai00">#REF!</definedName>
    <definedName name="FluCai01">#REF!</definedName>
    <definedName name="FLUXO">#REF!</definedName>
    <definedName name="FM" localSheetId="1">#REF!</definedName>
    <definedName name="FM" localSheetId="2">#REF!</definedName>
    <definedName name="FM">#REF!</definedName>
    <definedName name="fonte" localSheetId="1">#REF!</definedName>
    <definedName name="fonte" localSheetId="2">#REF!</definedName>
    <definedName name="fonte">#REF!</definedName>
    <definedName name="Fontes_de_Financiamento" localSheetId="1">#REF!</definedName>
    <definedName name="Fontes_de_Financiamento" localSheetId="2">#REF!</definedName>
    <definedName name="Fontes_de_Financiamento">#REF!</definedName>
    <definedName name="Forecast">#REF!</definedName>
    <definedName name="FparteAG" localSheetId="1">#REF!</definedName>
    <definedName name="FparteAG" localSheetId="2">#REF!</definedName>
    <definedName name="FparteAG">#REF!</definedName>
    <definedName name="fr" localSheetId="1">#REF!</definedName>
    <definedName name="fr" localSheetId="2">#REF!</definedName>
    <definedName name="fr">#REF!</definedName>
    <definedName name="frfer" hidden="1">#REF!</definedName>
    <definedName name="fsfdafdsa">#N/A</definedName>
    <definedName name="FUNCIONARIOS">#REF!</definedName>
    <definedName name="Fundo" localSheetId="1">#REF!</definedName>
    <definedName name="Fundo" localSheetId="2">#REF!</definedName>
    <definedName name="Fundo">#REF!</definedName>
    <definedName name="g">#REF!</definedName>
    <definedName name="GAF">#REF!</definedName>
    <definedName name="GBP">#REF!</definedName>
    <definedName name="gchmghm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chmghm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chmghm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chmghm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chmghm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chmgh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dgdg" localSheetId="12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dgdg" localSheetId="1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dgdg" localSheetId="4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dgdg" localSheetId="0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dgdg" localSheetId="2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dgdg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eeft" localSheetId="1">#REF!</definedName>
    <definedName name="geeft" localSheetId="2">#REF!</definedName>
    <definedName name="geeft">#REF!</definedName>
    <definedName name="gg">#REF!</definedName>
    <definedName name="GGG">#N/A</definedName>
    <definedName name="ggggggggg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sgsg">#N/A</definedName>
    <definedName name="gghmghmgh" localSheetId="1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gghmghmgh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gghmghmgh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gghmghmgh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gghmghmgh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gghmghmgh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ghcmghm" localSheetId="1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cmghm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cmghm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cmghm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cmghm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cmghm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j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j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j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j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j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j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JESRXDTG" localSheetId="12" hidden="1">{#N/A,#N/A,FALSE,"Plan1";#N/A,#N/A,FALSE,"Plan2"}</definedName>
    <definedName name="GHJESRXDTG" localSheetId="1" hidden="1">{#N/A,#N/A,FALSE,"Plan1";#N/A,#N/A,FALSE,"Plan2"}</definedName>
    <definedName name="GHJESRXDTG" localSheetId="4" hidden="1">{#N/A,#N/A,FALSE,"Plan1";#N/A,#N/A,FALSE,"Plan2"}</definedName>
    <definedName name="GHJESRXDTG" localSheetId="0" hidden="1">{#N/A,#N/A,FALSE,"Plan1";#N/A,#N/A,FALSE,"Plan2"}</definedName>
    <definedName name="GHJESRXDTG" localSheetId="2" hidden="1">{#N/A,#N/A,FALSE,"Plan1";#N/A,#N/A,FALSE,"Plan2"}</definedName>
    <definedName name="GHJESRXDTG" hidden="1">{#N/A,#N/A,FALSE,"Plan1";#N/A,#N/A,FALSE,"Plan2"}</definedName>
    <definedName name="ghmgh" localSheetId="1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mgh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mgh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mgh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mgh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mgh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mghmj" localSheetId="1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ghmghmj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ghmghmj" localSheetId="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ghmghmj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ghmghmj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ghmghmj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ghmjhmh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mjhmh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mjhmh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mjhmh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mjhmh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mjhm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lc">#REF!</definedName>
    <definedName name="GNNMJ" localSheetId="12" hidden="1">{"tabela",#N/A,FALSE,"Tabela";"decoração",#N/A,FALSE,"Decor.";"Informações",#N/A,FALSE,"Inform."}</definedName>
    <definedName name="GNNMJ" localSheetId="1" hidden="1">{"tabela",#N/A,FALSE,"Tabela";"decoração",#N/A,FALSE,"Decor.";"Informações",#N/A,FALSE,"Inform."}</definedName>
    <definedName name="GNNMJ" localSheetId="4" hidden="1">{"tabela",#N/A,FALSE,"Tabela";"decoração",#N/A,FALSE,"Decor.";"Informações",#N/A,FALSE,"Inform."}</definedName>
    <definedName name="GNNMJ" localSheetId="0" hidden="1">{"tabela",#N/A,FALSE,"Tabela";"decoração",#N/A,FALSE,"Decor.";"Informações",#N/A,FALSE,"Inform."}</definedName>
    <definedName name="GNNMJ" localSheetId="2" hidden="1">{"tabela",#N/A,FALSE,"Tabela";"decoração",#N/A,FALSE,"Decor.";"Informações",#N/A,FALSE,"Inform."}</definedName>
    <definedName name="GNNMJ" hidden="1">{"tabela",#N/A,FALSE,"Tabela";"decoração",#N/A,FALSE,"Decor.";"Informações",#N/A,FALSE,"Inform."}</definedName>
    <definedName name="gra_1617">#REF!</definedName>
    <definedName name="graficos2">#REF!</definedName>
    <definedName name="GrelhaDB">#REF!</definedName>
    <definedName name="GrpAcct1" hidden="1">"5611"</definedName>
    <definedName name="GrpAcct2" hidden="1">"5612"</definedName>
    <definedName name="GrpLevel" hidden="1">2</definedName>
    <definedName name="grt">#REF!</definedName>
    <definedName name="gsdag">#N/A</definedName>
    <definedName name="gsdfg">#N/A</definedName>
    <definedName name="h">#REF!</definedName>
    <definedName name="hah" localSheetId="1">#REF!</definedName>
    <definedName name="hah" localSheetId="2">#REF!</definedName>
    <definedName name="hah">#REF!</definedName>
    <definedName name="Headings">#REF!</definedName>
    <definedName name="HJ" localSheetId="12" hidden="1">{#N/A,#N/A,FALSE,"Plan1";#N/A,#N/A,FALSE,"Plan2"}</definedName>
    <definedName name="HJ" localSheetId="1" hidden="1">{#N/A,#N/A,FALSE,"Plan1";#N/A,#N/A,FALSE,"Plan2"}</definedName>
    <definedName name="HJ" localSheetId="4" hidden="1">{#N/A,#N/A,FALSE,"Plan1";#N/A,#N/A,FALSE,"Plan2"}</definedName>
    <definedName name="HJ" localSheetId="0" hidden="1">{#N/A,#N/A,FALSE,"Plan1";#N/A,#N/A,FALSE,"Plan2"}</definedName>
    <definedName name="HJ" localSheetId="2" hidden="1">{#N/A,#N/A,FALSE,"Plan1";#N/A,#N/A,FALSE,"Plan2"}</definedName>
    <definedName name="HJ" hidden="1">{#N/A,#N/A,FALSE,"Plan1";#N/A,#N/A,FALSE,"Plan2"}</definedName>
    <definedName name="HONO">#REF!</definedName>
    <definedName name="honor_construcao">#REF!</definedName>
    <definedName name="HOTEL">#REF!</definedName>
    <definedName name="HTML_CodePage" hidden="1">1252</definedName>
    <definedName name="HTML_Control" localSheetId="12" hidden="1">{"'Índice'!$A$1:$K$49"}</definedName>
    <definedName name="HTML_Control" localSheetId="1" hidden="1">{"'Índice'!$A$1:$K$49"}</definedName>
    <definedName name="HTML_Control" localSheetId="4" hidden="1">{"'Índice'!$A$1:$K$49"}</definedName>
    <definedName name="HTML_Control" localSheetId="0" hidden="1">{"'Índice'!$A$1:$K$49"}</definedName>
    <definedName name="HTML_Control" localSheetId="2" hidden="1">{"'Índice'!$A$1:$K$49"}</definedName>
    <definedName name="HTML_Control" hidden="1">{"'Índice'!$A$1:$K$49"}</definedName>
    <definedName name="HTML_Description" hidden="1">""</definedName>
    <definedName name="HTML_Email" hidden="1">""</definedName>
    <definedName name="HTML_Header" hidden="1">"Índice"</definedName>
    <definedName name="HTML_LastUpdate" hidden="1">"12/08/1999"</definedName>
    <definedName name="HTML_LineAfter" hidden="1">FALSE</definedName>
    <definedName name="HTML_LineBefore" hidden="1">FALSE</definedName>
    <definedName name="HTML_Name" hidden="1">"Rodovia das Cataratas"</definedName>
    <definedName name="HTML_OBDlg2" hidden="1">TRUE</definedName>
    <definedName name="HTML_OBDlg4" hidden="1">TRUE</definedName>
    <definedName name="HTML_OS" hidden="1">0</definedName>
    <definedName name="HTML_PathFile" hidden="1">"\\Server_1\sig\07 Julho\Informe\MeuHTML.htm"</definedName>
    <definedName name="HTML_Title" hidden="1">"Gerência de Administração e Controle de Gestão"</definedName>
    <definedName name="HVAC">#REF!</definedName>
    <definedName name="i">#REF!</definedName>
    <definedName name="ICMS_credito_PVC_01" localSheetId="1">#REF!</definedName>
    <definedName name="ICMS_credito_PVC_01" localSheetId="2">#REF!</definedName>
    <definedName name="ICMS_credito_PVC_01">#REF!</definedName>
    <definedName name="ICMS_credito_PVC_02" localSheetId="1">#REF!</definedName>
    <definedName name="ICMS_credito_PVC_02" localSheetId="2">#REF!</definedName>
    <definedName name="ICMS_credito_PVC_02">#REF!</definedName>
    <definedName name="ICMS_credito_PVC_03" localSheetId="1">#REF!</definedName>
    <definedName name="ICMS_credito_PVC_03" localSheetId="2">#REF!</definedName>
    <definedName name="ICMS_credito_PVC_03">#REF!</definedName>
    <definedName name="IÇOLJ" localSheetId="12" hidden="1">{"tabela",#N/A,FALSE,"Tabela";"decoração",#N/A,FALSE,"Decor.";"Informações",#N/A,FALSE,"Inform."}</definedName>
    <definedName name="IÇOLJ" localSheetId="1" hidden="1">{"tabela",#N/A,FALSE,"Tabela";"decoração",#N/A,FALSE,"Decor.";"Informações",#N/A,FALSE,"Inform."}</definedName>
    <definedName name="IÇOLJ" localSheetId="4" hidden="1">{"tabela",#N/A,FALSE,"Tabela";"decoração",#N/A,FALSE,"Decor.";"Informações",#N/A,FALSE,"Inform."}</definedName>
    <definedName name="IÇOLJ" localSheetId="0" hidden="1">{"tabela",#N/A,FALSE,"Tabela";"decoração",#N/A,FALSE,"Decor.";"Informações",#N/A,FALSE,"Inform."}</definedName>
    <definedName name="IÇOLJ" localSheetId="2" hidden="1">{"tabela",#N/A,FALSE,"Tabela";"decoração",#N/A,FALSE,"Decor.";"Informações",#N/A,FALSE,"Inform."}</definedName>
    <definedName name="IÇOLJ" hidden="1">{"tabela",#N/A,FALSE,"Tabela";"decoração",#N/A,FALSE,"Decor.";"Informações",#N/A,FALSE,"Inform."}</definedName>
    <definedName name="igpm">#REF!</definedName>
    <definedName name="iiii">#N/A</definedName>
    <definedName name="iiiiiiiiiiiiiiiiiiiiiiii" hidden="1">#REF!</definedName>
    <definedName name="ImportFile">#N/A</definedName>
    <definedName name="Impostos">#REF!</definedName>
    <definedName name="IMPOSTOS_SOBRE_COMPRAS_POR_FÁBRICA____US__1.000" localSheetId="1">#REF!</definedName>
    <definedName name="IMPOSTOS_SOBRE_COMPRAS_POR_FÁBRICA____US__1.000" localSheetId="2">#REF!</definedName>
    <definedName name="IMPOSTOS_SOBRE_COMPRAS_POR_FÁBRICA____US__1.000">#REF!</definedName>
    <definedName name="IMPRES">#REF!</definedName>
    <definedName name="in" localSheetId="1">#REF!</definedName>
    <definedName name="in" localSheetId="2">#REF!</definedName>
    <definedName name="in">#REF!</definedName>
    <definedName name="INDEX">#REF!</definedName>
    <definedName name="INDICADOR">#REF!</definedName>
    <definedName name="Índice" localSheetId="1">#REF!</definedName>
    <definedName name="Índice" localSheetId="2">#REF!</definedName>
    <definedName name="Índice">#REF!</definedName>
    <definedName name="inf" localSheetId="1">#REF!</definedName>
    <definedName name="inf" localSheetId="2">#REF!</definedName>
    <definedName name="inf">#REF!</definedName>
    <definedName name="inflacao_US" localSheetId="1">#REF!</definedName>
    <definedName name="inflacao_US" localSheetId="2">#REF!</definedName>
    <definedName name="inflacao_US">#REF!</definedName>
    <definedName name="Inflación" localSheetId="1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gresso">#REF!</definedName>
    <definedName name="inicio_obra">#REF!</definedName>
    <definedName name="INSTRUMENTATION">#REF!</definedName>
    <definedName name="INSUMOS" localSheetId="1">#REF!</definedName>
    <definedName name="INSUMOS" localSheetId="2">#REF!</definedName>
    <definedName name="INSUMOS">#REF!</definedName>
    <definedName name="inv" localSheetId="1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_fixo_cs_asahi" localSheetId="1">#REF!</definedName>
    <definedName name="inv_fixo_cs_asahi" localSheetId="2">#REF!</definedName>
    <definedName name="inv_fixo_cs_asahi">#REF!</definedName>
    <definedName name="inver" localSheetId="1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1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1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1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ST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R">#REF!</definedName>
    <definedName name="irmenu" localSheetId="1">#REF!</definedName>
    <definedName name="irmenu" localSheetId="2">#REF!</definedName>
    <definedName name="irmenu">#REF!</definedName>
    <definedName name="IRP">#N/A</definedName>
    <definedName name="ITEM">#REF!</definedName>
    <definedName name="item1" localSheetId="1">#REF!</definedName>
    <definedName name="item1" localSheetId="2">#REF!</definedName>
    <definedName name="item1">#REF!</definedName>
    <definedName name="item3" localSheetId="1">#REF!</definedName>
    <definedName name="item3" localSheetId="2">#REF!</definedName>
    <definedName name="item3">#REF!</definedName>
    <definedName name="item4" localSheetId="1">#REF!</definedName>
    <definedName name="item4" localSheetId="2">#REF!</definedName>
    <definedName name="item4">#REF!</definedName>
    <definedName name="j">#REF!</definedName>
    <definedName name="JC">#REF!</definedName>
    <definedName name="JCP" localSheetId="1">#REF!,#REF!</definedName>
    <definedName name="JCP" localSheetId="2">#REF!,#REF!</definedName>
    <definedName name="JCP">#REF!,#REF!</definedName>
    <definedName name="JCPto">#REF!</definedName>
    <definedName name="JD">#REF!</definedName>
    <definedName name="JDPto">#REF!</definedName>
    <definedName name="JHJ" localSheetId="12" hidden="1">{#N/A,#N/A,FALSE,"Plan1";#N/A,#N/A,FALSE,"Plan2"}</definedName>
    <definedName name="JHJ" localSheetId="1" hidden="1">{#N/A,#N/A,FALSE,"Plan1";#N/A,#N/A,FALSE,"Plan2"}</definedName>
    <definedName name="JHJ" localSheetId="4" hidden="1">{#N/A,#N/A,FALSE,"Plan1";#N/A,#N/A,FALSE,"Plan2"}</definedName>
    <definedName name="JHJ" localSheetId="0" hidden="1">{#N/A,#N/A,FALSE,"Plan1";#N/A,#N/A,FALSE,"Plan2"}</definedName>
    <definedName name="JHJ" localSheetId="2" hidden="1">{#N/A,#N/A,FALSE,"Plan1";#N/A,#N/A,FALSE,"Plan2"}</definedName>
    <definedName name="JHJ" hidden="1">{#N/A,#N/A,FALSE,"Plan1";#N/A,#N/A,FALSE,"Plan2"}</definedName>
    <definedName name="JHMB" localSheetId="12" hidden="1">{#N/A,#N/A,FALSE,"Plan1";#N/A,#N/A,FALSE,"Plan2"}</definedName>
    <definedName name="JHMB" localSheetId="1" hidden="1">{#N/A,#N/A,FALSE,"Plan1";#N/A,#N/A,FALSE,"Plan2"}</definedName>
    <definedName name="JHMB" localSheetId="4" hidden="1">{#N/A,#N/A,FALSE,"Plan1";#N/A,#N/A,FALSE,"Plan2"}</definedName>
    <definedName name="JHMB" localSheetId="0" hidden="1">{#N/A,#N/A,FALSE,"Plan1";#N/A,#N/A,FALSE,"Plan2"}</definedName>
    <definedName name="JHMB" localSheetId="2" hidden="1">{#N/A,#N/A,FALSE,"Plan1";#N/A,#N/A,FALSE,"Plan2"}</definedName>
    <definedName name="JHMB" hidden="1">{#N/A,#N/A,FALSE,"Plan1";#N/A,#N/A,FALSE,"Plan2"}</definedName>
    <definedName name="jjreajl" localSheetId="1">#REF!</definedName>
    <definedName name="jjreajl" localSheetId="2">#REF!</definedName>
    <definedName name="jjreajl">#REF!</definedName>
    <definedName name="JKL" localSheetId="12" hidden="1">{#N/A,#N/A,FALSE,"Plan1";#N/A,#N/A,FALSE,"Plan2"}</definedName>
    <definedName name="JKL" localSheetId="1" hidden="1">{#N/A,#N/A,FALSE,"Plan1";#N/A,#N/A,FALSE,"Plan2"}</definedName>
    <definedName name="JKL" localSheetId="4" hidden="1">{#N/A,#N/A,FALSE,"Plan1";#N/A,#N/A,FALSE,"Plan2"}</definedName>
    <definedName name="JKL" localSheetId="0" hidden="1">{#N/A,#N/A,FALSE,"Plan1";#N/A,#N/A,FALSE,"Plan2"}</definedName>
    <definedName name="JKL" localSheetId="2" hidden="1">{#N/A,#N/A,FALSE,"Plan1";#N/A,#N/A,FALSE,"Plan2"}</definedName>
    <definedName name="JKL" hidden="1">{#N/A,#N/A,FALSE,"Plan1";#N/A,#N/A,FALSE,"Plan2"}</definedName>
    <definedName name="JObra" localSheetId="1">#REF!</definedName>
    <definedName name="JObra" localSheetId="2">#REF!</definedName>
    <definedName name="JObra">#REF!</definedName>
    <definedName name="Jose" localSheetId="1">#REF!</definedName>
    <definedName name="Jose" localSheetId="2">#REF!</definedName>
    <definedName name="Jose">#REF!</definedName>
    <definedName name="jtem" localSheetId="12">_L31C18</definedName>
    <definedName name="jtem" localSheetId="10">_L31C18</definedName>
    <definedName name="jtem" localSheetId="1">_L31C18</definedName>
    <definedName name="jtem" localSheetId="11">_L31C18</definedName>
    <definedName name="jtem" localSheetId="4">_L31C18</definedName>
    <definedName name="jtem" localSheetId="9">_L31C18</definedName>
    <definedName name="jtem" localSheetId="0">_L31C18</definedName>
    <definedName name="jtem" localSheetId="2">_L31C18</definedName>
    <definedName name="jtem">_L31C18</definedName>
    <definedName name="JTInflacaoPrev" localSheetId="1">#REF!</definedName>
    <definedName name="JTInflacaoPrev" localSheetId="2">#REF!</definedName>
    <definedName name="JTInflacaoPrev">#REF!</definedName>
    <definedName name="JUltimoReaj" localSheetId="1">#REF!</definedName>
    <definedName name="JUltimoReaj" localSheetId="2">#REF!</definedName>
    <definedName name="JUltimoReaj">#REF!</definedName>
    <definedName name="Juro00">#REF!</definedName>
    <definedName name="juros" localSheetId="1">#REF!</definedName>
    <definedName name="juros" localSheetId="2">#REF!</definedName>
    <definedName name="juros">#REF!</definedName>
    <definedName name="juros_ato2">#REF!</definedName>
    <definedName name="k">#REF!</definedName>
    <definedName name="KLKKLKÇJÇ" localSheetId="12" hidden="1">{#N/A,#N/A,FALSE,"Plan1";#N/A,#N/A,FALSE,"Plan2"}</definedName>
    <definedName name="KLKKLKÇJÇ" localSheetId="1" hidden="1">{#N/A,#N/A,FALSE,"Plan1";#N/A,#N/A,FALSE,"Plan2"}</definedName>
    <definedName name="KLKKLKÇJÇ" localSheetId="4" hidden="1">{#N/A,#N/A,FALSE,"Plan1";#N/A,#N/A,FALSE,"Plan2"}</definedName>
    <definedName name="KLKKLKÇJÇ" localSheetId="0" hidden="1">{#N/A,#N/A,FALSE,"Plan1";#N/A,#N/A,FALSE,"Plan2"}</definedName>
    <definedName name="KLKKLKÇJÇ" localSheetId="2" hidden="1">{#N/A,#N/A,FALSE,"Plan1";#N/A,#N/A,FALSE,"Plan2"}</definedName>
    <definedName name="KLKKLKÇJÇ" hidden="1">{#N/A,#N/A,FALSE,"Plan1";#N/A,#N/A,FALSE,"Plan2"}</definedName>
    <definedName name="KM">#REF!</definedName>
    <definedName name="koae">#REF!</definedName>
    <definedName name="kok">#N/A</definedName>
    <definedName name="kpavi">#REF!</definedName>
    <definedName name="kterra">#REF!</definedName>
    <definedName name="L_">#REF!</definedName>
    <definedName name="LAE">#REF!</definedName>
    <definedName name="LAIR">#REF!</definedName>
    <definedName name="LANC">#REF!</definedName>
    <definedName name="lancamento">#REF!</definedName>
    <definedName name="Laporte" localSheetId="1">#REF!</definedName>
    <definedName name="Laporte" localSheetId="2">#REF!</definedName>
    <definedName name="Laporte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dividendo" localSheetId="1">#REF!</definedName>
    <definedName name="Ldividendo" localSheetId="2">#REF!</definedName>
    <definedName name="Ldividendo">#REF!</definedName>
    <definedName name="legtotais" localSheetId="1">#REF!</definedName>
    <definedName name="legtotais" localSheetId="2">#REF!</definedName>
    <definedName name="legtotais">#REF!</definedName>
    <definedName name="LEIS">#REF!</definedName>
    <definedName name="lista" localSheetId="1">#REF!</definedName>
    <definedName name="lista" localSheetId="2">#REF!</definedName>
    <definedName name="lista">#REF!</definedName>
    <definedName name="Lista_Comparacao" localSheetId="1">#REF!</definedName>
    <definedName name="Lista_Comparacao" localSheetId="2">#REF!</definedName>
    <definedName name="Lista_Comparacao">#REF!</definedName>
    <definedName name="Lista_Comparacao." localSheetId="1">#REF!</definedName>
    <definedName name="Lista_Comparacao." localSheetId="2">#REF!</definedName>
    <definedName name="Lista_Comparacao.">#REF!</definedName>
    <definedName name="Lista_de_tipo_de_rua" localSheetId="1">#REF!</definedName>
    <definedName name="Lista_de_tipo_de_rua" localSheetId="2">#REF!</definedName>
    <definedName name="Lista_de_tipo_de_rua">#REF!</definedName>
    <definedName name="lista_meses" localSheetId="1">#REF!</definedName>
    <definedName name="lista_meses" localSheetId="2">#REF!</definedName>
    <definedName name="lista_meses">#REF!</definedName>
    <definedName name="ll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ONGA">#REF!</definedName>
    <definedName name="longa_1617">#REF!</definedName>
    <definedName name="LONGA1" localSheetId="1">#REF!</definedName>
    <definedName name="LONGA1" localSheetId="2">#REF!</definedName>
    <definedName name="LONGA1">#REF!</definedName>
    <definedName name="LSRange1">#REF!</definedName>
    <definedName name="LSRange1Balance">#REF!</definedName>
    <definedName name="m">#REF!</definedName>
    <definedName name="M_">#REF!</definedName>
    <definedName name="MACROS">#REF!</definedName>
    <definedName name="MAR">#REF!</definedName>
    <definedName name="Margem_Unitária">#REF!</definedName>
    <definedName name="MARGENS_DE_CONTRIBUIÇÃO_UNITÁRIAS__R__e_US____tonelada">#REF!</definedName>
    <definedName name="MAT">#REF!</definedName>
    <definedName name="mat_imp" localSheetId="1">#REF!</definedName>
    <definedName name="mat_imp" localSheetId="2">#REF!</definedName>
    <definedName name="mat_imp">#REF!</definedName>
    <definedName name="mat_imp_cs_asahi" localSheetId="1">#REF!</definedName>
    <definedName name="mat_imp_cs_asahi" localSheetId="2">#REF!</definedName>
    <definedName name="mat_imp_cs_asahi">#REF!</definedName>
    <definedName name="MEDIÇ">#REF!</definedName>
    <definedName name="meio_empreendimento">#REF!</definedName>
    <definedName name="MEIO_FIO">#REF!</definedName>
    <definedName name="mensais_curta" localSheetId="1">#REF!</definedName>
    <definedName name="mensais_curta" localSheetId="2">#REF!</definedName>
    <definedName name="mensais_curta">#REF!</definedName>
    <definedName name="mensais_longa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rcados" localSheetId="1">#REF!</definedName>
    <definedName name="mercados" localSheetId="2">#REF!</definedName>
    <definedName name="mercados">#REF!</definedName>
    <definedName name="merd" hidden="1">#REF!</definedName>
    <definedName name="mes" localSheetId="1">#REF!</definedName>
    <definedName name="mes" localSheetId="2">#REF!</definedName>
    <definedName name="mes">#REF!</definedName>
    <definedName name="meses" localSheetId="1">#REF!</definedName>
    <definedName name="meses" localSheetId="2">#REF!</definedName>
    <definedName name="meses">#REF!</definedName>
    <definedName name="Mext" localSheetId="1">#REF!</definedName>
    <definedName name="Mext" localSheetId="2">#REF!</definedName>
    <definedName name="Mext">#REF!</definedName>
    <definedName name="MILEAGE">#REF!</definedName>
    <definedName name="mj">#N/A</definedName>
    <definedName name="mmmmm" localSheetId="12" hidden="1">{"tabela",#N/A,FALSE,"Tabela";"decoração",#N/A,FALSE,"Decor.";"Informações",#N/A,FALSE,"Inform."}</definedName>
    <definedName name="mmmmm" localSheetId="1" hidden="1">{"tabela",#N/A,FALSE,"Tabela";"decoração",#N/A,FALSE,"Decor.";"Informações",#N/A,FALSE,"Inform."}</definedName>
    <definedName name="mmmmm" localSheetId="4" hidden="1">{"tabela",#N/A,FALSE,"Tabela";"decoração",#N/A,FALSE,"Decor.";"Informações",#N/A,FALSE,"Inform."}</definedName>
    <definedName name="mmmmm" localSheetId="0" hidden="1">{"tabela",#N/A,FALSE,"Tabela";"decoração",#N/A,FALSE,"Decor.";"Informações",#N/A,FALSE,"Inform."}</definedName>
    <definedName name="mmmmm" localSheetId="2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">#REF!</definedName>
    <definedName name="mmmmmmm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O">#REF!</definedName>
    <definedName name="mo_base" localSheetId="1">#REF!</definedName>
    <definedName name="mo_base" localSheetId="2">#REF!</definedName>
    <definedName name="mo_base">#REF!</definedName>
    <definedName name="mo_sub_base" localSheetId="1">#REF!</definedName>
    <definedName name="mo_sub_base" localSheetId="2">#REF!</definedName>
    <definedName name="mo_sub_base">#REF!</definedName>
    <definedName name="MOBR">#REF!</definedName>
    <definedName name="mod" localSheetId="1">#REF!</definedName>
    <definedName name="mod" localSheetId="2">#REF!</definedName>
    <definedName name="mod">#REF!</definedName>
    <definedName name="modo_relatorio" localSheetId="1">#REF!</definedName>
    <definedName name="modo_relatorio" localSheetId="2">#REF!</definedName>
    <definedName name="modo_relatorio">#REF!</definedName>
    <definedName name="MOE">#REF!</definedName>
    <definedName name="moeda" localSheetId="1">#REF!</definedName>
    <definedName name="moeda" localSheetId="2">#REF!</definedName>
    <definedName name="moeda">#REF!</definedName>
    <definedName name="MOH">#REF!</definedName>
    <definedName name="MOV.000.C.0.00.0000.00.00.24401010001">615712.52999973</definedName>
    <definedName name="MOV.000.C.0.00.0000.00.00.24401010002">61571.25</definedName>
    <definedName name="MOV.000.C.0.00.0000.00.00.D1074">3439383.08001709</definedName>
    <definedName name="MOV.000.C.0.00.0000.00.00.D1075">84926.49000001</definedName>
    <definedName name="MOV.000.C.0.00.2000.00.00.24401010001">615712.52999973</definedName>
    <definedName name="MOV.000.C.0.00.2000.00.00.24401010002">61571.25</definedName>
    <definedName name="MOV.000.C.0.01.0000.00.00.D1074">3439383.08001709</definedName>
    <definedName name="MOV.000.C.0.01.0000.00.00.D1075">84926.49000001</definedName>
    <definedName name="MOV.000.C.0.01.0000.00.01.D1074">3439</definedName>
    <definedName name="MOV.000.C.0.01.0000.00.01.D1075">85</definedName>
    <definedName name="MOV.000.C.0.01.0000.00.01.D1076">1646</definedName>
    <definedName name="MOV.000.C.0.01.0000.00.01.D997">5051</definedName>
    <definedName name="MOV.000.C.0.01.2001.00.01.44101010019">-326</definedName>
    <definedName name="MOV.000.C.0.01.2001.00.01.44101020008">-1321</definedName>
    <definedName name="MOV.000.C.0.02.0000.00.01.D1074">-3473</definedName>
    <definedName name="MOV.000.C.0.02.0000.00.01.D1075">-269</definedName>
    <definedName name="MOV.000.C.0.02.0000.00.01.D1076">6523</definedName>
    <definedName name="MOV.000.C.0.02.0000.00.01.D997">5030</definedName>
    <definedName name="MOV.000.C.0.02.2001.00.01.44101010019">-289</definedName>
    <definedName name="MOV.000.C.0.02.2001.00.01.44101020008">-6234</definedName>
    <definedName name="MOV.000.C.0.03.0000.00.01.D1074">-5358</definedName>
    <definedName name="MOV.000.C.0.03.0000.00.01.D1075">-2243</definedName>
    <definedName name="MOV.000.C.0.03.0000.00.01.D1076">9160</definedName>
    <definedName name="MOV.000.C.0.03.0000.00.01.D997">5019</definedName>
    <definedName name="MOV.000.C.0.03.2001.00.01.44101010019">-313</definedName>
    <definedName name="MOV.000.C.0.03.2001.00.01.44101020008">-8847</definedName>
    <definedName name="MOV.000.C.0.04.0000.00.01.D1074">412</definedName>
    <definedName name="MOV.000.C.0.04.0000.00.01.D1075">183</definedName>
    <definedName name="MOV.000.C.0.04.0000.00.01.D1076">2008</definedName>
    <definedName name="MOV.000.C.0.04.0000.00.01.D997">5002</definedName>
    <definedName name="MOV.000.C.0.04.2001.00.01.44101010019">-299</definedName>
    <definedName name="MOV.000.C.0.04.2001.00.01.44101020008">-1708</definedName>
    <definedName name="MOV.000.C.0.05.0000.00.01.D1074">-9275</definedName>
    <definedName name="MOV.000.C.0.05.0000.00.01.D1075">-4627</definedName>
    <definedName name="MOV.000.C.0.05.0000.00.01.D1076">13237</definedName>
    <definedName name="MOV.000.C.0.05.0000.00.01.D997">5009</definedName>
    <definedName name="MOV.000.C.0.05.2001.00.01.44101010019">-304</definedName>
    <definedName name="MOV.000.C.0.05.2001.00.01.44101020008">-12933</definedName>
    <definedName name="MOV.000.C.0.06.0000.00.01.D1074">4258</definedName>
    <definedName name="MOV.000.C.0.06.0000.00.01.D1075">2228</definedName>
    <definedName name="MOV.000.C.0.06.0000.00.01.D1076">-3697</definedName>
    <definedName name="MOV.000.C.0.06.0000.00.01.D997">5017</definedName>
    <definedName name="MOV.000.C.0.06.2001.00.01.44101010019">-289</definedName>
    <definedName name="MOV.000.C.0.06.2001.00.01.44101020008">3985</definedName>
    <definedName name="MOV.000.C.0.07.0000.00.01.D1074">-6585</definedName>
    <definedName name="MOV.000.C.0.07.0000.00.01.D1075">-3379</definedName>
    <definedName name="MOV.000.C.0.07.0000.00.01.D1076">9458</definedName>
    <definedName name="MOV.000.C.0.07.0000.00.01.D997">5013</definedName>
    <definedName name="MOV.000.C.0.07.2001.00.01.44101010019">-315</definedName>
    <definedName name="MOV.000.C.0.07.2001.00.01.44101020008">-9142</definedName>
    <definedName name="MOV.000.C.0.08.0000.00.01.D1074">-4925</definedName>
    <definedName name="MOV.000.C.0.08.0000.00.01.D1075">-2364</definedName>
    <definedName name="MOV.000.C.0.08.0000.00.01.D1076">9018</definedName>
    <definedName name="MOV.000.C.0.08.0000.00.01.D997">4562</definedName>
    <definedName name="MOV.000.C.0.08.2001.00.01.44101010019">-309</definedName>
    <definedName name="MOV.000.C.0.08.2001.00.01.44101020008">-8708</definedName>
    <definedName name="MOV.000.C.0.09.0000.00.00.D997">4972951.86000061</definedName>
    <definedName name="MOV.000.C.0.09.0000.00.01.D1074">-1945</definedName>
    <definedName name="MOV.000.C.0.09.0000.00.01.D1075">-972</definedName>
    <definedName name="MOV.000.C.0.09.0000.00.01.D1076">2262</definedName>
    <definedName name="MOV.000.C.0.09.0000.00.01.D997">4549</definedName>
    <definedName name="MOV.000.C.0.09.2001.00.01.44101010019">-295</definedName>
    <definedName name="MOV.000.C.0.09.2001.00.01.44101020008">-9024</definedName>
    <definedName name="MOV.000.C.0.09.2001.00.01.D1074">-1945</definedName>
    <definedName name="MOV.000.C.0.09.2001.00.01.D1075">-972</definedName>
    <definedName name="MOV.000.C.0.09.2001.00.01.D997">4549</definedName>
    <definedName name="MOV.000.C.0.10.0000.00.01.D1074">581</definedName>
    <definedName name="MOV.000.C.0.10.0000.00.01.D1075">508</definedName>
    <definedName name="MOV.000.C.0.10.0000.00.01.D1076">5991</definedName>
    <definedName name="MOV.000.C.0.10.0000.00.01.D997">4973</definedName>
    <definedName name="MOV.000.C.0.10.2001.00.01.44101010019">-340</definedName>
    <definedName name="MOV.000.C.0.10.2001.00.01.44101020008">-2225</definedName>
    <definedName name="MOV.000.C.0.10.2001.00.01.D1074">4474</definedName>
    <definedName name="MOV.000.C.0.10.2001.00.01.D1075">2317</definedName>
    <definedName name="MOV.000.C.0.10.2001.00.01.D997">4559</definedName>
    <definedName name="MOV.000.C.0.11.0000.00.01.D1074">-413</definedName>
    <definedName name="MOV.000.C.0.11.0000.00.01.D1075">-142</definedName>
    <definedName name="MOV.000.C.0.11.0000.00.01.D1076">4680</definedName>
    <definedName name="MOV.000.C.0.11.0000.00.01.D997">5095</definedName>
    <definedName name="MOV.000.C.0.11.2001.00.01.22201010001">297</definedName>
    <definedName name="MOV.000.C.0.11.2001.00.01.44101010019">-324</definedName>
    <definedName name="MOV.000.C.0.11.2001.00.01.44101020008">11071</definedName>
    <definedName name="MOV.000.C.0.11.2001.00.01.D1074">14782</definedName>
    <definedName name="MOV.000.C.0.11.2001.00.01.D1075">7744</definedName>
    <definedName name="MOV.000.C.0.11.2001.00.01.D997">4584</definedName>
    <definedName name="MOV.000.C.0.12.0000.00.01.D1074">0</definedName>
    <definedName name="MOV.000.C.0.12.0000.00.01.D1075">0</definedName>
    <definedName name="MOV.000.C.0.12.0000.00.01.D1076">0</definedName>
    <definedName name="MOV.000.C.0.12.0000.00.01.D997">0</definedName>
    <definedName name="MOV.000.C.0.12.2000.00.00.24401010001">615712.52999973</definedName>
    <definedName name="MOV.000.C.0.12.2000.00.00.24401010002">61571.25</definedName>
    <definedName name="MOV.000.C.0.12.2000.00.01.24401010001">1123</definedName>
    <definedName name="MOV.000.C.0.12.2000.00.01.24401010002">112</definedName>
    <definedName name="MOV.000.C.0.12.2001.00.01.22201010001">312</definedName>
    <definedName name="MOV.000.C.0.12.2001.00.01.44101010019">-329</definedName>
    <definedName name="MOV.000.C.0.12.2001.00.01.44101020008">12608</definedName>
    <definedName name="MOV.000.C.0.12.2001.00.01.D1074">9154</definedName>
    <definedName name="MOV.000.C.0.12.2001.00.01.D1075">1912</definedName>
    <definedName name="MOV.000.C.0.12.2001.00.01.D997">4621</definedName>
    <definedName name="MOV.087.C.0.01.0000.00.01.D1035">6124</definedName>
    <definedName name="MOV.087.C.0.02.0000.00.01.D1035">7771</definedName>
    <definedName name="MOV.087.C.0.02.2001.00.01.34">1008</definedName>
    <definedName name="MOV.087.C.0.02.2001.00.01.44">-11828</definedName>
    <definedName name="MOV.087.C.0.02.2001.00.01.D997">5030</definedName>
    <definedName name="MOV.087.C.0.03.0000.00.01.D1035">7609</definedName>
    <definedName name="MOV.087.C.0.03.2001.00.01.34">432</definedName>
    <definedName name="MOV.087.C.0.03.2001.00.01.44">-16259</definedName>
    <definedName name="MOV.087.C.0.03.2001.00.01.D997">5019</definedName>
    <definedName name="MOV.087.C.0.04.0000.00.01.D1035">7609</definedName>
    <definedName name="MOV.087.C.0.05.0000.00.01.D1035">7609</definedName>
    <definedName name="MOV.087.C.0.06.0000.00.01.D1035">7609</definedName>
    <definedName name="MOV.087.C.0.07.0000.00.01.D1035">7609</definedName>
    <definedName name="MOV.087.C.0.07.2001.00.01.D1035">7609</definedName>
    <definedName name="MOV.087.C.0.08.2000.00.01.D1035">7659</definedName>
    <definedName name="MOV.087.C.0.08.2001.00.01.D1035">8902</definedName>
    <definedName name="MOV.087.C.0.09.2000.00.01.41102010014">-7771</definedName>
    <definedName name="MOV.087.C.0.09.2000.00.01.D1035">7771</definedName>
    <definedName name="MOV.087.C.0.09.2001.00.01.D1035">8962</definedName>
    <definedName name="MOV.087.C.0.10.2000.00.01.D1035">7771</definedName>
    <definedName name="MOV.087.C.0.10.2001.00.01.D1035">8756</definedName>
    <definedName name="MOV.087.C.0.11.2000.00.01.D1035">7771</definedName>
    <definedName name="MOV.087.C.0.11.2001.00.01.D1035">8359</definedName>
    <definedName name="MOV.087.C.0.12.0000.00.01.D1035">0</definedName>
    <definedName name="MOV.087.C.0.12.2000.00.01.D1035">7771</definedName>
    <definedName name="MOV.087.C.0.12.2001.00.01.D1035">8558</definedName>
    <definedName name="MULT" localSheetId="1">#REF!</definedName>
    <definedName name="MULT" localSheetId="2">#REF!</definedName>
    <definedName name="MULT">#REF!</definedName>
    <definedName name="multi">#REF!</definedName>
    <definedName name="MUN_LITO">#N/A</definedName>
    <definedName name="MURO">#REF!</definedName>
    <definedName name="mymymy">#N/A</definedName>
    <definedName name="n">27</definedName>
    <definedName name="N_LOCAL">#N/A</definedName>
    <definedName name="nada">#REF!</definedName>
    <definedName name="NB" localSheetId="1">#REF!</definedName>
    <definedName name="NB" localSheetId="2">#REF!</definedName>
    <definedName name="NB">#REF!</definedName>
    <definedName name="NBV" localSheetId="12" hidden="1">{#N/A,#N/A,FALSE,"Plan1";#N/A,#N/A,FALSE,"Plan2"}</definedName>
    <definedName name="NBV" localSheetId="1" hidden="1">{#N/A,#N/A,FALSE,"Plan1";#N/A,#N/A,FALSE,"Plan2"}</definedName>
    <definedName name="NBV" localSheetId="4" hidden="1">{#N/A,#N/A,FALSE,"Plan1";#N/A,#N/A,FALSE,"Plan2"}</definedName>
    <definedName name="NBV" localSheetId="0" hidden="1">{#N/A,#N/A,FALSE,"Plan1";#N/A,#N/A,FALSE,"Plan2"}</definedName>
    <definedName name="NBV" localSheetId="2" hidden="1">{#N/A,#N/A,FALSE,"Plan1";#N/A,#N/A,FALSE,"Plan2"}</definedName>
    <definedName name="NBV" hidden="1">{#N/A,#N/A,FALSE,"Plan1";#N/A,#N/A,FALSE,"Plan2"}</definedName>
    <definedName name="Negócio" localSheetId="1">#REF!</definedName>
    <definedName name="Negócio" localSheetId="2">#REF!</definedName>
    <definedName name="Negócio">#REF!</definedName>
    <definedName name="neiva">#REF!</definedName>
    <definedName name="NewMatrix" localSheetId="1">#REF!</definedName>
    <definedName name="NewMatrix" localSheetId="2">#REF!</definedName>
    <definedName name="NewMatrix">#REF!</definedName>
    <definedName name="NM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NN" localSheetId="12" hidden="1">{#N/A,#N/A,FALSE,"Plan1";#N/A,#N/A,FALSE,"Plan2"}</definedName>
    <definedName name="NNN" localSheetId="1" hidden="1">{#N/A,#N/A,FALSE,"Plan1";#N/A,#N/A,FALSE,"Plan2"}</definedName>
    <definedName name="NNN" localSheetId="4" hidden="1">{#N/A,#N/A,FALSE,"Plan1";#N/A,#N/A,FALSE,"Plan2"}</definedName>
    <definedName name="NNN" localSheetId="0" hidden="1">{#N/A,#N/A,FALSE,"Plan1";#N/A,#N/A,FALSE,"Plan2"}</definedName>
    <definedName name="NNN" localSheetId="2" hidden="1">{#N/A,#N/A,FALSE,"Plan1";#N/A,#N/A,FALSE,"Plan2"}</definedName>
    <definedName name="NNN" hidden="1">{#N/A,#N/A,FALSE,"Plan1";#N/A,#N/A,FALSE,"Plan2"}</definedName>
    <definedName name="no" localSheetId="1">#REF!</definedName>
    <definedName name="no" localSheetId="2">#REF!</definedName>
    <definedName name="no">#REF!</definedName>
    <definedName name="not">#REF!</definedName>
    <definedName name="nota1">#REF!</definedName>
    <definedName name="NOTES_1">#REF!</definedName>
    <definedName name="NOTES_10">#REF!</definedName>
    <definedName name="NOTES_2">#REF!</definedName>
    <definedName name="NOTES_3">#REF!</definedName>
    <definedName name="NOTES_5">#REF!</definedName>
    <definedName name="NOTES_6">#REF!</definedName>
    <definedName name="NOTES_7">#REF!</definedName>
    <definedName name="NOTES_8">#REF!</definedName>
    <definedName name="NOTES_9">#REF!</definedName>
    <definedName name="num_linhas">#REF!</definedName>
    <definedName name="num_mensal2" localSheetId="1">#REF!</definedName>
    <definedName name="num_mensal2" localSheetId="2">#REF!</definedName>
    <definedName name="num_mensal2">#REF!</definedName>
    <definedName name="NumofGrpAccts" hidden="1">2</definedName>
    <definedName name="NUN_FRON">#N/A</definedName>
    <definedName name="O" localSheetId="1">#REF!</definedName>
    <definedName name="O" localSheetId="2">#REF!</definedName>
    <definedName name="O">#REF!</definedName>
    <definedName name="O_A_REF">#N/A</definedName>
    <definedName name="O_C_REF">#N/A</definedName>
    <definedName name="O1_97" localSheetId="1">#REF!</definedName>
    <definedName name="O1_97" localSheetId="2">#REF!</definedName>
    <definedName name="O1_97">#REF!</definedName>
    <definedName name="O2_97" localSheetId="1">#REF!</definedName>
    <definedName name="O2_97" localSheetId="2">#REF!</definedName>
    <definedName name="O2_97">#REF!</definedName>
    <definedName name="O23O">#REF!</definedName>
    <definedName name="O3_97" localSheetId="1">#REF!</definedName>
    <definedName name="O3_97" localSheetId="2">#REF!</definedName>
    <definedName name="O3_97">#REF!</definedName>
    <definedName name="O4_97" localSheetId="1">#REF!</definedName>
    <definedName name="O4_97" localSheetId="2">#REF!</definedName>
    <definedName name="O4_97">#REF!</definedName>
    <definedName name="O5_97" localSheetId="1">#REF!</definedName>
    <definedName name="O5_97" localSheetId="2">#REF!</definedName>
    <definedName name="O5_97">#REF!</definedName>
    <definedName name="O6_97" localSheetId="1">#REF!</definedName>
    <definedName name="O6_97" localSheetId="2">#REF!</definedName>
    <definedName name="O6_97">#REF!</definedName>
    <definedName name="OA" localSheetId="1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c">#REF!</definedName>
    <definedName name="oae">#REF!</definedName>
    <definedName name="ocom">#REF!</definedName>
    <definedName name="OD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OD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OD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OD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OD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OD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OEXIGIBI">#REF!</definedName>
    <definedName name="oi">#N/A</definedName>
    <definedName name="olga">#REF!</definedName>
    <definedName name="oo">#N/A</definedName>
    <definedName name="oooo">#N/A</definedName>
    <definedName name="oooooo">#N/A</definedName>
    <definedName name="opçao" localSheetId="1">#REF!</definedName>
    <definedName name="opçao" localSheetId="2">#REF!</definedName>
    <definedName name="opçao">#REF!</definedName>
    <definedName name="oper">#REF!</definedName>
    <definedName name="operacional" localSheetId="1">#REF!</definedName>
    <definedName name="operacional" localSheetId="2">#REF!</definedName>
    <definedName name="operacional">#REF!</definedName>
    <definedName name="operations">#REF!</definedName>
    <definedName name="ORIG1">#REF!</definedName>
    <definedName name="ORIG2">#REF!</definedName>
    <definedName name="ORIG3">#REF!</definedName>
    <definedName name="ORIG4">#REF!</definedName>
    <definedName name="origen" localSheetId="1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in" localSheetId="1">#REF!</definedName>
    <definedName name="origin" localSheetId="2">#REF!</definedName>
    <definedName name="origin">#REF!</definedName>
    <definedName name="over">#REF!</definedName>
    <definedName name="p">0.2225</definedName>
    <definedName name="Página_01">#REF!</definedName>
    <definedName name="Página_02">#REF!</definedName>
    <definedName name="Página_03">#REF!</definedName>
    <definedName name="Página_04">#REF!</definedName>
    <definedName name="Página_05">#REF!</definedName>
    <definedName name="Página_06">#REF!</definedName>
    <definedName name="Página_07">#REF!</definedName>
    <definedName name="Página_08">#REF!</definedName>
    <definedName name="Página_09">#REF!</definedName>
    <definedName name="Página_10">#REF!</definedName>
    <definedName name="Página_11">#REF!</definedName>
    <definedName name="Página_12">#REF!</definedName>
    <definedName name="Página_13" localSheetId="1">#REF!</definedName>
    <definedName name="Página_13" localSheetId="2">#REF!</definedName>
    <definedName name="Página_13">#REF!</definedName>
    <definedName name="Página_13." localSheetId="1">#REF!</definedName>
    <definedName name="Página_13." localSheetId="2">#REF!</definedName>
    <definedName name="Página_13.">#REF!</definedName>
    <definedName name="Página_14" localSheetId="1">#REF!</definedName>
    <definedName name="Página_14" localSheetId="2">#REF!</definedName>
    <definedName name="Página_14">#REF!</definedName>
    <definedName name="Página_14." localSheetId="1">#REF!</definedName>
    <definedName name="Página_14." localSheetId="2">#REF!</definedName>
    <definedName name="Página_14.">#REF!</definedName>
    <definedName name="PARAMO" localSheetId="1">#REF!</definedName>
    <definedName name="PARAMO" localSheetId="2">#REF!</definedName>
    <definedName name="PARAMO">#REF!</definedName>
    <definedName name="parc_mensal">#REF!</definedName>
    <definedName name="participacao">#REF!</definedName>
    <definedName name="pass" localSheetId="1">#REF!</definedName>
    <definedName name="pass" localSheetId="2">#REF!</definedName>
    <definedName name="pass">#REF!</definedName>
    <definedName name="passi" localSheetId="1">#REF!</definedName>
    <definedName name="passi" localSheetId="2">#REF!</definedName>
    <definedName name="passi">#REF!</definedName>
    <definedName name="passivo">#REF!</definedName>
    <definedName name="pasta1">#REF!</definedName>
    <definedName name="pato" localSheetId="1">#REF!</definedName>
    <definedName name="pato" localSheetId="2">#REF!</definedName>
    <definedName name="pato">#REF!</definedName>
    <definedName name="pav">#REF!</definedName>
    <definedName name="pavi">#REF!</definedName>
    <definedName name="PD">#REF!</definedName>
    <definedName name="PE">#REF!</definedName>
    <definedName name="perc_contingencia" localSheetId="1">#REF!</definedName>
    <definedName name="perc_contingencia" localSheetId="2">#REF!</definedName>
    <definedName name="perc_contingencia">#REF!</definedName>
    <definedName name="perc_edificacao" localSheetId="1">#REF!</definedName>
    <definedName name="perc_edificacao" localSheetId="2">#REF!</definedName>
    <definedName name="perc_edificacao">#REF!</definedName>
    <definedName name="Perc_est_consorcio">#REF!</definedName>
    <definedName name="Percentual_Ato1" localSheetId="1">#REF!</definedName>
    <definedName name="Percentual_Ato1" localSheetId="2">#REF!</definedName>
    <definedName name="Percentual_Ato1">#REF!</definedName>
    <definedName name="Percentual_Mensais" localSheetId="1">#REF!</definedName>
    <definedName name="Percentual_Mensais" localSheetId="2">#REF!</definedName>
    <definedName name="Percentual_Mensais">#REF!</definedName>
    <definedName name="Periodo_comparacao" localSheetId="1">#REF!</definedName>
    <definedName name="Periodo_comparacao" localSheetId="2">#REF!</definedName>
    <definedName name="Periodo_comparacao">#REF!</definedName>
    <definedName name="perm">#REF!</definedName>
    <definedName name="permanent">#REF!</definedName>
    <definedName name="perpetuidade" localSheetId="1">#REF!</definedName>
    <definedName name="perpetuidade" localSheetId="2">#REF!</definedName>
    <definedName name="perpetuidade">#REF!</definedName>
    <definedName name="PessoasDA">#REF!</definedName>
    <definedName name="PessoasDB">#REF!</definedName>
    <definedName name="petroquímicas" localSheetId="1">#REF!</definedName>
    <definedName name="petroquímicas" localSheetId="2">#REF!</definedName>
    <definedName name="petroquímicas">#REF!</definedName>
    <definedName name="PHAROS_CURTA" localSheetId="1">#REF!</definedName>
    <definedName name="PHAROS_CURTA" localSheetId="2">#REF!</definedName>
    <definedName name="PHAROS_CURTA">#REF!</definedName>
    <definedName name="PHAROS_LONGA" localSheetId="1">#REF!</definedName>
    <definedName name="PHAROS_LONGA" localSheetId="2">#REF!</definedName>
    <definedName name="PHAROS_LONGA">#REF!</definedName>
    <definedName name="PIPING">#REF!</definedName>
    <definedName name="PIS" localSheetId="1">#REF!</definedName>
    <definedName name="PIS" localSheetId="2">#REF!</definedName>
    <definedName name="PIS">#REF!</definedName>
    <definedName name="PISCOFINS">#REF!</definedName>
    <definedName name="PL_ABC">#REF!</definedName>
    <definedName name="PLA_AFONSO" localSheetId="1">#REF!</definedName>
    <definedName name="PLA_AFONSO" localSheetId="2">#REF!</definedName>
    <definedName name="PLA_AFONSO">#REF!</definedName>
    <definedName name="PLA_AMAURY" localSheetId="1">#REF!</definedName>
    <definedName name="PLA_AMAURY" localSheetId="2">#REF!</definedName>
    <definedName name="PLA_AMAURY">#REF!</definedName>
    <definedName name="plan2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75">#REF!</definedName>
    <definedName name="planilha">#REF!</definedName>
    <definedName name="Planilhas">#REF!</definedName>
    <definedName name="PLANO">#REF!</definedName>
    <definedName name="plassarelas" localSheetId="1">#REF!</definedName>
    <definedName name="plassarelas" localSheetId="2">#REF!</definedName>
    <definedName name="plassarelas">#REF!</definedName>
    <definedName name="PLATTS" localSheetId="1">#REF!</definedName>
    <definedName name="PLATTS" localSheetId="2">#REF!</definedName>
    <definedName name="PLATTS">#REF!</definedName>
    <definedName name="PLATTS_1" localSheetId="1">#REF!</definedName>
    <definedName name="PLATTS_1" localSheetId="2">#REF!</definedName>
    <definedName name="PLATTS_1">#REF!</definedName>
    <definedName name="PM">#REF!</definedName>
    <definedName name="PN" localSheetId="1">#REF!</definedName>
    <definedName name="PN" localSheetId="2">#REF!</definedName>
    <definedName name="PN">#REF!</definedName>
    <definedName name="ponte">#REF!</definedName>
    <definedName name="POP_93">#N/A</definedName>
    <definedName name="pp">#N/A</definedName>
    <definedName name="pppp">#N/A</definedName>
    <definedName name="ppppp">#N/A</definedName>
    <definedName name="pppppp">#N/A</definedName>
    <definedName name="ppppppp">#N/A</definedName>
    <definedName name="pppppppp">#N/A</definedName>
    <definedName name="ppppppppp">#N/A</definedName>
    <definedName name="pppppppppp">#N/A</definedName>
    <definedName name="ppt_pistas_e_patios">#REF!</definedName>
    <definedName name="PR_DA_Beneficios">#REF!</definedName>
    <definedName name="PR_DA_Impostos">#REF!</definedName>
    <definedName name="PR_DA_Investimento">#REF!</definedName>
    <definedName name="PR_DA_InvestimentoCorrigido">#REF!</definedName>
    <definedName name="PR_DA_Lucro">#REF!</definedName>
    <definedName name="PR_DA_Margem">#REF!</definedName>
    <definedName name="PR_DA_Materiais">#REF!</definedName>
    <definedName name="PR_DA_Pessoas">#REF!</definedName>
    <definedName name="PR_DA_Salarios">#REF!</definedName>
    <definedName name="PR_DA_Total">#REF!</definedName>
    <definedName name="PR_DB_Beneficios">#REF!</definedName>
    <definedName name="PR_DB_Impostos">#REF!</definedName>
    <definedName name="PR_DB_Investimento">#REF!</definedName>
    <definedName name="PR_DB_InvestimentoCorrigido">#REF!</definedName>
    <definedName name="PR_DB_Lucro">#REF!</definedName>
    <definedName name="PR_DB_Margem">#REF!</definedName>
    <definedName name="PR_DB_Materiais">#REF!</definedName>
    <definedName name="PR_DB_Pessoas">#REF!</definedName>
    <definedName name="PR_DB_Salarios">#REF!</definedName>
    <definedName name="PR_DB_Total">#REF!</definedName>
    <definedName name="PR_Duracao">#REF!</definedName>
    <definedName name="PR_Inicio">#REF!</definedName>
    <definedName name="PR_LucroDA">#REF!</definedName>
    <definedName name="PR_LucroDB">#REF!</definedName>
    <definedName name="PR_Taxa">#REF!</definedName>
    <definedName name="PR_Titre">#REF!</definedName>
    <definedName name="PRE" localSheetId="1">#REF!</definedName>
    <definedName name="PRE" localSheetId="2">#REF!</definedName>
    <definedName name="PRE">#REF!</definedName>
    <definedName name="PreçoCP" localSheetId="1">#REF!</definedName>
    <definedName name="PreçoCP" localSheetId="2">#REF!</definedName>
    <definedName name="PreçoCP">#REF!</definedName>
    <definedName name="previsto">#REF!</definedName>
    <definedName name="principal">0.2225</definedName>
    <definedName name="PRINT_AREA_MI">#REF!</definedName>
    <definedName name="PRINT_TITLES_MI">#REF!</definedName>
    <definedName name="PrixComGerenciamentoDA">#REF!</definedName>
    <definedName name="PrixComGerenciamentoDB">#REF!</definedName>
    <definedName name="PrixSemGerenciamentoDA">#REF!</definedName>
    <definedName name="PrixSemGerenciamentoDB">#REF!</definedName>
    <definedName name="prod_disp_H2" localSheetId="1">#REF!</definedName>
    <definedName name="prod_disp_H2" localSheetId="2">#REF!</definedName>
    <definedName name="prod_disp_H2">#REF!</definedName>
    <definedName name="prod_disp_HCl" localSheetId="1">#REF!</definedName>
    <definedName name="prod_disp_HCl" localSheetId="2">#REF!</definedName>
    <definedName name="prod_disp_HCl">#REF!</definedName>
    <definedName name="prod_disp_hipo" localSheetId="1">#REF!</definedName>
    <definedName name="prod_disp_hipo" localSheetId="2">#REF!</definedName>
    <definedName name="prod_disp_hipo">#REF!</definedName>
    <definedName name="product" localSheetId="1">#REF!</definedName>
    <definedName name="product" localSheetId="2">#REF!</definedName>
    <definedName name="product">#REF!</definedName>
    <definedName name="prog2">#REF!</definedName>
    <definedName name="PROPPOLI">#REF!</definedName>
    <definedName name="PX">#REF!</definedName>
    <definedName name="q">#N/A</definedName>
    <definedName name="qq">#N/A</definedName>
    <definedName name="qqq">#N/A</definedName>
    <definedName name="qqqq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>#N/A</definedName>
    <definedName name="qqqqqq" localSheetId="1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1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q" localSheetId="1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localSheetId="1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qqqq" localSheetId="1">#REF!</definedName>
    <definedName name="qqqqqqqqqqqqq" localSheetId="2">#REF!</definedName>
    <definedName name="qqqqqqqqqqqqq">#REF!</definedName>
    <definedName name="qqww">#N/A</definedName>
    <definedName name="QtdeDA">#REF!</definedName>
    <definedName name="QtdeDB">#REF!</definedName>
    <definedName name="QUANT_acumu">#REF!</definedName>
    <definedName name="qwqwqwqwq">#N/A</definedName>
    <definedName name="RAWE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WE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WE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W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WE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W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a">#REF!</definedName>
    <definedName name="real">#REF!</definedName>
    <definedName name="real_dolar" localSheetId="1">#REF!</definedName>
    <definedName name="real_dolar" localSheetId="2">#REF!</definedName>
    <definedName name="real_dolar">#REF!</definedName>
    <definedName name="rec_oper_01" localSheetId="1">#REF!</definedName>
    <definedName name="rec_oper_01" localSheetId="2">#REF!</definedName>
    <definedName name="rec_oper_01">#REF!</definedName>
    <definedName name="rec_oper_02" localSheetId="1">#REF!</definedName>
    <definedName name="rec_oper_02" localSheetId="2">#REF!</definedName>
    <definedName name="rec_oper_02">#REF!</definedName>
    <definedName name="rec_oper_03" localSheetId="1">#REF!</definedName>
    <definedName name="rec_oper_03" localSheetId="2">#REF!</definedName>
    <definedName name="rec_oper_03">#REF!</definedName>
    <definedName name="receita">#REF!</definedName>
    <definedName name="RECEITAS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0">#REF!</definedName>
    <definedName name="Ref_21">#REF!</definedName>
    <definedName name="Ref_22">#REF!</definedName>
    <definedName name="Ref_23">#REF!</definedName>
    <definedName name="Ref_24">#REF!</definedName>
    <definedName name="Ref_25">#REF!</definedName>
    <definedName name="Ref_26" localSheetId="1">#REF!</definedName>
    <definedName name="Ref_26" localSheetId="2">#REF!</definedName>
    <definedName name="Ref_26">#REF!</definedName>
    <definedName name="Ref_27" localSheetId="1">#REF!</definedName>
    <definedName name="Ref_27" localSheetId="2">#REF!</definedName>
    <definedName name="Ref_27">#REF!</definedName>
    <definedName name="Ref_30" localSheetId="1">#REF!</definedName>
    <definedName name="Ref_30" localSheetId="2">#REF!</definedName>
    <definedName name="Ref_30">#REF!</definedName>
    <definedName name="Ref_31" localSheetId="1">#REF!</definedName>
    <definedName name="Ref_31" localSheetId="2">#REF!</definedName>
    <definedName name="Ref_31">#REF!</definedName>
    <definedName name="Ref_32" localSheetId="1">#REF!</definedName>
    <definedName name="Ref_32" localSheetId="2">#REF!</definedName>
    <definedName name="Ref_32">#REF!</definedName>
    <definedName name="Ref_33" localSheetId="1">#REF!</definedName>
    <definedName name="Ref_33" localSheetId="2">#REF!</definedName>
    <definedName name="Ref_33">#REF!</definedName>
    <definedName name="Ref_34" localSheetId="1">#REF!</definedName>
    <definedName name="Ref_34" localSheetId="2">#REF!</definedName>
    <definedName name="Ref_34">#REF!</definedName>
    <definedName name="Ref_35" localSheetId="1">#REF!</definedName>
    <definedName name="Ref_35" localSheetId="2">#REF!</definedName>
    <definedName name="Ref_35">#REF!</definedName>
    <definedName name="Ref_36" localSheetId="1">#REF!</definedName>
    <definedName name="Ref_36" localSheetId="2">#REF!</definedName>
    <definedName name="Ref_36">#REF!</definedName>
    <definedName name="Ref_6" localSheetId="1">#REF!,#REF!</definedName>
    <definedName name="Ref_6" localSheetId="2">#REF!,#REF!</definedName>
    <definedName name="Ref_6">#REF!,#REF!</definedName>
    <definedName name="Ref_8">#REF!</definedName>
    <definedName name="Ref_9">#REF!</definedName>
    <definedName name="references" localSheetId="1">#REF!</definedName>
    <definedName name="references" localSheetId="2">#REF!</definedName>
    <definedName name="references">#REF!</definedName>
    <definedName name="references2" localSheetId="1">#REF!,#REF!,#REF!,#REF!,#REF!,#REF!,#REF!,#REF!,#REF!,#REF!,#REF!,#REF!,#REF!,#REF!,#REF!,#REF!,#REF!,#REF!,#REF!,#REF!,#REF!,#REF!,#REF!,#REF!,#REF!,#REF!,#REF!</definedName>
    <definedName name="references2" localSheetId="2">#REF!,#REF!,#REF!,#REF!,#REF!,#REF!,#REF!,#REF!,#REF!,#REF!,#REF!,#REF!,#REF!,#REF!,#REF!,#REF!,#REF!,#REF!,#REF!,#REF!,#REF!,#REF!,#REF!,#REF!,#REF!,#REF!,#REF!</definedName>
    <definedName name="references2">#REF!,#REF!,#REF!,#REF!,#REF!,#REF!,#REF!,#REF!,#REF!,#REF!,#REF!,#REF!,#REF!,#REF!,#REF!,#REF!,#REF!,#REF!,#REF!,#REF!,#REF!,#REF!,#REF!,#REF!,#REF!,#REF!,#REF!</definedName>
    <definedName name="referenciaf" localSheetId="1">#REF!</definedName>
    <definedName name="referenciaf" localSheetId="2">#REF!</definedName>
    <definedName name="referenciaf">#REF!</definedName>
    <definedName name="referenciafinal" localSheetId="1">#REF!</definedName>
    <definedName name="referenciafinal" localSheetId="2">#REF!</definedName>
    <definedName name="referenciafinal">#REF!</definedName>
    <definedName name="referencias" localSheetId="1">#REF!</definedName>
    <definedName name="referencias" localSheetId="2">#REF!</definedName>
    <definedName name="referencias">#REF!</definedName>
    <definedName name="REGID" localSheetId="1">#REF!</definedName>
    <definedName name="REGID" localSheetId="2">#REF!</definedName>
    <definedName name="REGID">#REF!</definedName>
    <definedName name="REGULA" localSheetId="1">#REF!</definedName>
    <definedName name="REGULA" localSheetId="2">#REF!</definedName>
    <definedName name="REGULA">#REF!</definedName>
    <definedName name="RES" localSheetId="1">#REF!</definedName>
    <definedName name="RES" localSheetId="2">#REF!</definedName>
    <definedName name="RES">#REF!</definedName>
    <definedName name="RES_1">#REF!</definedName>
    <definedName name="RES_2">#REF!</definedName>
    <definedName name="res_analit_LS">#REF!</definedName>
    <definedName name="rescanteiro">#REF!</definedName>
    <definedName name="resliquido">#REF!</definedName>
    <definedName name="RESUL_LS">#REF!</definedName>
    <definedName name="result_analit">#REF!</definedName>
    <definedName name="result_analit_LS1">#REF!</definedName>
    <definedName name="result_analit_LS2">#REF!</definedName>
    <definedName name="result_analit1">#REF!</definedName>
    <definedName name="result_analit2">#REF!</definedName>
    <definedName name="RESULTADO">#REF!</definedName>
    <definedName name="RESULTADO_SINTÉTICO">#REF!</definedName>
    <definedName name="resultado2" localSheetId="1">#REF!</definedName>
    <definedName name="resultado2" localSheetId="2">#REF!</definedName>
    <definedName name="resultado2">#REF!</definedName>
    <definedName name="resumo">#REF!</definedName>
    <definedName name="REV" localSheetId="1">#REF!</definedName>
    <definedName name="REV" localSheetId="2">#REF!</definedName>
    <definedName name="REV">#REF!</definedName>
    <definedName name="Riomais">#REF!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2</definedName>
    <definedName name="RiskStatFunctionsUpdateFreq">1</definedName>
    <definedName name="RiskTemplateSheetName">"myTemplate"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o">#REF!</definedName>
    <definedName name="Rob">#REF!</definedName>
    <definedName name="RowLevel" hidden="1">1</definedName>
    <definedName name="rtwret" localSheetId="1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twret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twret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twret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twret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twret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s" localSheetId="12" hidden="1">{#N/A,#N/A,FALSE,"Plan1";#N/A,#N/A,FALSE,"Plan2"}</definedName>
    <definedName name="s" localSheetId="1" hidden="1">{#N/A,#N/A,FALSE,"Plan1";#N/A,#N/A,FALSE,"Plan2"}</definedName>
    <definedName name="s" localSheetId="4" hidden="1">{#N/A,#N/A,FALSE,"Plan1";#N/A,#N/A,FALSE,"Plan2"}</definedName>
    <definedName name="s" localSheetId="0" hidden="1">{#N/A,#N/A,FALSE,"Plan1";#N/A,#N/A,FALSE,"Plan2"}</definedName>
    <definedName name="s" localSheetId="2" hidden="1">{#N/A,#N/A,FALSE,"Plan1";#N/A,#N/A,FALSE,"Plan2"}</definedName>
    <definedName name="s" hidden="1">{#N/A,#N/A,FALSE,"Plan1";#N/A,#N/A,FALSE,"Plan2"}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MAME_L">#N/A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33s33">#REF!</definedName>
    <definedName name="sa" localSheetId="12">{0;0;0;0;9;#N/A;0.75;0.75;1;1;1;FALSE;FALSE;FALSE;FALSE;FALSE;#N/A;1;100;#N/A;#N/A;"&amp;A";"Page &amp;P"}</definedName>
    <definedName name="sa" localSheetId="1">{0;0;0;0;9;#N/A;0.75;0.75;1;1;1;FALSE;FALSE;FALSE;FALSE;FALSE;#N/A;1;100;#N/A;#N/A;"&amp;A";"Page &amp;P"}</definedName>
    <definedName name="sa" localSheetId="4">{0;0;0;0;9;#N/A;0.75;0.75;1;1;1;FALSE;FALSE;FALSE;FALSE;FALSE;#N/A;1;100;#N/A;#N/A;"&amp;A";"Page &amp;P"}</definedName>
    <definedName name="sa" localSheetId="0">{0;0;0;0;9;#N/A;0.75;0.75;1;1;1;FALSE;FALSE;FALSE;FALSE;FALSE;#N/A;1;100;#N/A;#N/A;"&amp;A";"Page &amp;P"}</definedName>
    <definedName name="sa" localSheetId="2">{0;0;0;0;9;#N/A;0.75;0.75;1;1;1;FALSE;FALSE;FALSE;FALSE;FALSE;#N/A;1;100;#N/A;#N/A;"&amp;A";"Page &amp;P"}</definedName>
    <definedName name="sa">{0;0;0;0;9;#N/A;0.75;0.75;1;1;1;FALSE;FALSE;FALSE;FALSE;FALSE;#N/A;1;100;#N/A;#N/A;"&amp;A";"Page &amp;P"}</definedName>
    <definedName name="sad" localSheetId="1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sad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sad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sad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sad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sad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SAFETY">#REF!</definedName>
    <definedName name="Sal">#REF!</definedName>
    <definedName name="Salário">#REF!</definedName>
    <definedName name="SALDO1">#REF!</definedName>
    <definedName name="SALDO2">#REF!</definedName>
    <definedName name="SAPBEXrevision" hidden="1">1</definedName>
    <definedName name="SAPBEXsysID" hidden="1">"BP0"</definedName>
    <definedName name="SAPBEXwbID" hidden="1">"46N210UZD7ER8VUKGA6KWCWVB"</definedName>
    <definedName name="sasas">#REF!</definedName>
    <definedName name="SaveNewFile">#N/A</definedName>
    <definedName name="sbb" localSheetId="12" hidden="1">{#N/A,#N/A,FALSE,"Plan1";#N/A,#N/A,FALSE,"Plan2"}</definedName>
    <definedName name="sbb" localSheetId="1" hidden="1">{#N/A,#N/A,FALSE,"Plan1";#N/A,#N/A,FALSE,"Plan2"}</definedName>
    <definedName name="sbb" localSheetId="4" hidden="1">{#N/A,#N/A,FALSE,"Plan1";#N/A,#N/A,FALSE,"Plan2"}</definedName>
    <definedName name="sbb" localSheetId="0" hidden="1">{#N/A,#N/A,FALSE,"Plan1";#N/A,#N/A,FALSE,"Plan2"}</definedName>
    <definedName name="sbb" localSheetId="2" hidden="1">{#N/A,#N/A,FALSE,"Plan1";#N/A,#N/A,FALSE,"Plan2"}</definedName>
    <definedName name="sbb" hidden="1">{#N/A,#N/A,FALSE,"Plan1";#N/A,#N/A,FALSE,"Plan2"}</definedName>
    <definedName name="scd">#N/A</definedName>
    <definedName name="SCXConsorcio" localSheetId="1">#REF!</definedName>
    <definedName name="SCXConsorcio" localSheetId="2">#REF!</definedName>
    <definedName name="SCXConsorcio">#REF!</definedName>
    <definedName name="SD" localSheetId="12" hidden="1">{#N/A,#N/A,FALSE,"Plan1";#N/A,#N/A,FALSE,"Plan2"}</definedName>
    <definedName name="SD" localSheetId="1" hidden="1">{#N/A,#N/A,FALSE,"Plan1";#N/A,#N/A,FALSE,"Plan2"}</definedName>
    <definedName name="SD" localSheetId="4" hidden="1">{#N/A,#N/A,FALSE,"Plan1";#N/A,#N/A,FALSE,"Plan2"}</definedName>
    <definedName name="SD" localSheetId="0" hidden="1">{#N/A,#N/A,FALSE,"Plan1";#N/A,#N/A,FALSE,"Plan2"}</definedName>
    <definedName name="SD" localSheetId="2" hidden="1">{#N/A,#N/A,FALSE,"Plan1";#N/A,#N/A,FALSE,"Plan2"}</definedName>
    <definedName name="SD" hidden="1">{#N/A,#N/A,FALSE,"Plan1";#N/A,#N/A,FALSE,"Plan2"}</definedName>
    <definedName name="sdbruto">#REF!</definedName>
    <definedName name="sdf" hidden="1">#REF!</definedName>
    <definedName name="sdfinal">#REF!</definedName>
    <definedName name="sdinicial">#REF!</definedName>
    <definedName name="sdsd">#N/A</definedName>
    <definedName name="SE">#REF!</definedName>
    <definedName name="secao">#REF!</definedName>
    <definedName name="SECUR">#REF!</definedName>
    <definedName name="SEG" localSheetId="1">#REF!</definedName>
    <definedName name="SEG" localSheetId="2">#REF!</definedName>
    <definedName name="SEG">#REF!</definedName>
    <definedName name="selected" localSheetId="1">#REF!,#REF!,#REF!,#REF!,#REF!,#REF!,#REF!,#REF!,#REF!,#REF!,#REF!,#REF!,#REF!,#REF!,#REF!,#REF!,#REF!,#REF!,#REF!,#REF!,#REF!,#REF!,#REF!,#REF!,#REF!,#REF!,#REF!</definedName>
    <definedName name="selected" localSheetId="2">#REF!,#REF!,#REF!,#REF!,#REF!,#REF!,#REF!,#REF!,#REF!,#REF!,#REF!,#REF!,#REF!,#REF!,#REF!,#REF!,#REF!,#REF!,#REF!,#REF!,#REF!,#REF!,#REF!,#REF!,#REF!,#REF!,#REF!</definedName>
    <definedName name="selected">#REF!,#REF!,#REF!,#REF!,#REF!,#REF!,#REF!,#REF!,#REF!,#REF!,#REF!,#REF!,#REF!,#REF!,#REF!,#REF!,#REF!,#REF!,#REF!,#REF!,#REF!,#REF!,#REF!,#REF!,#REF!,#REF!,#REF!</definedName>
    <definedName name="semestrais_longa">#REF!</definedName>
    <definedName name="SEMESTRAL">#REF!</definedName>
    <definedName name="serieCCA" localSheetId="1">#REF!</definedName>
    <definedName name="serieCCA" localSheetId="2">#REF!</definedName>
    <definedName name="serieCCA">#REF!</definedName>
    <definedName name="serieEVA" localSheetId="1">#REF!</definedName>
    <definedName name="serieEVA" localSheetId="2">#REF!</definedName>
    <definedName name="serieEVA">#REF!</definedName>
    <definedName name="serv_imp_dce" localSheetId="1">#REF!</definedName>
    <definedName name="serv_imp_dce" localSheetId="2">#REF!</definedName>
    <definedName name="serv_imp_dce">#REF!</definedName>
    <definedName name="serv_nac_cs_asahi" localSheetId="1">#REF!</definedName>
    <definedName name="serv_nac_cs_asahi" localSheetId="2">#REF!</definedName>
    <definedName name="serv_nac_cs_asahi">#REF!</definedName>
    <definedName name="sfh_1617">#REF!</definedName>
    <definedName name="SIGLA_UF">#N/A</definedName>
    <definedName name="SIH" localSheetId="1">#REF!</definedName>
    <definedName name="SIH" localSheetId="2">#REF!</definedName>
    <definedName name="SIH">#REF!</definedName>
    <definedName name="simulação" localSheetId="1">#REF!</definedName>
    <definedName name="simulação" localSheetId="2">#REF!</definedName>
    <definedName name="simulação">#REF!</definedName>
    <definedName name="sin">#REF!</definedName>
    <definedName name="SIV" localSheetId="1">#REF!</definedName>
    <definedName name="SIV" localSheetId="2">#REF!</definedName>
    <definedName name="SIV">#REF!</definedName>
    <definedName name="SLD.000.C.0.00.0000.00.00.11201010035">200</definedName>
    <definedName name="SLD.000.C.0.00.0000.00.00.11306010019">90.63</definedName>
    <definedName name="SLD.000.C.0.00.0000.00.00.11306010031">13002</definedName>
    <definedName name="SLD.000.C.0.00.0000.00.00.11306010034">679.5</definedName>
    <definedName name="SLD.000.C.0.00.0000.00.00.11306010036">22315.38999999</definedName>
    <definedName name="SLD.000.C.0.00.0000.00.00.117">533634.32999992</definedName>
    <definedName name="SLD.000.C.0.00.0000.00.00.121">31439885.269989</definedName>
    <definedName name="SLD.000.C.0.00.0000.00.00.12301">997253.47000027</definedName>
    <definedName name="SLD.000.C.0.00.0000.00.00.131">0</definedName>
    <definedName name="SLD.000.C.0.00.0000.00.00.211">73815519.2800293</definedName>
    <definedName name="SLD.000.C.0.00.0000.00.00.2110202">10881502.85</definedName>
    <definedName name="SLD.000.C.0.00.0000.00.00.2110203">55226637.2899999</definedName>
    <definedName name="SLD.000.C.0.00.0000.00.00.2110302">28386509.52</definedName>
    <definedName name="SLD.000.C.0.00.0000.00.00.212">88033.35000002</definedName>
    <definedName name="SLD.000.C.0.00.0000.00.00.216">634076.36999989</definedName>
    <definedName name="SLD.000.C.0.00.0000.00.00.217">17315355.6300048</definedName>
    <definedName name="SLD.000.C.0.00.0000.00.00.21704010001">16653.00999999</definedName>
    <definedName name="SLD.000.C.0.00.0000.00.00.21704010003">0</definedName>
    <definedName name="SLD.000.C.0.00.0000.00.00.219">3513721.00999832</definedName>
    <definedName name="SLD.000.C.0.00.0000.00.00.221">290102726.669921</definedName>
    <definedName name="SLD.000.C.0.00.0000.00.00.2210202">19016801.05</definedName>
    <definedName name="SLD.000.C.0.00.0000.00.00.2210203">149251446.629999</definedName>
    <definedName name="SLD.000.C.0.00.0000.00.00.2210302">105877571.47</definedName>
    <definedName name="SLD.000.C.0.00.0000.00.00.222">21139278.8200073</definedName>
    <definedName name="SLD.000.C.0.00.0000.00.00.22201010001">6164913.85</definedName>
    <definedName name="SLD.000.C.0.00.0000.00.00.241">129974445.70996</definedName>
    <definedName name="SLD.000.C.0.00.0000.00.00.24101">129974445.70996</definedName>
    <definedName name="SLD.000.C.0.00.0000.00.00.244">2180449.56999969</definedName>
    <definedName name="SLD.000.C.0.00.0000.00.00.24501">18114451.8699951</definedName>
    <definedName name="SLD.000.C.0.00.0000.00.00.31">290217002.200195</definedName>
    <definedName name="SLD.000.C.0.00.0000.00.00.311">179585641.580078</definedName>
    <definedName name="SLD.000.C.0.00.0000.00.00.312">4954140.23999786</definedName>
    <definedName name="SLD.000.C.0.00.0000.00.00.32">-21064440.0299987</definedName>
    <definedName name="SLD.000.C.0.00.0000.00.00.34">363001.90999985</definedName>
    <definedName name="SLD.000.C.0.00.0000.00.00.41">-155587260.75</definedName>
    <definedName name="SLD.000.C.0.00.0000.00.00.42">-25368197.2900085</definedName>
    <definedName name="SLD.000.C.0.00.0000.00.00.44">-5557702.52999878</definedName>
    <definedName name="SLD.000.C.0.00.0000.00.00.4410101">-12315505.6900024</definedName>
    <definedName name="SLD.000.C.0.00.0000.00.00.44101010019">-2444251.44</definedName>
    <definedName name="SLD.000.C.0.00.0000.00.00.4410102">-21328703.7200012</definedName>
    <definedName name="SLD.000.C.0.00.0000.00.00.44101020008">-44908351.0199999</definedName>
    <definedName name="SLD.000.C.0.00.0000.00.00.45">-133099.42000008</definedName>
    <definedName name="SLD.000.C.0.00.0000.00.00.47101010001">-4710636.20999908</definedName>
    <definedName name="SLD.000.C.0.00.0000.00.00.47101010002">-1201172.17000008</definedName>
    <definedName name="SLD.000.C.0.00.0000.00.00.D1010">17989327</definedName>
    <definedName name="SLD.000.C.0.00.0000.00.00.D1011">9804813.5</definedName>
    <definedName name="SLD.000.C.0.00.0000.00.00.D1012">1992874.98999977</definedName>
    <definedName name="SLD.000.C.0.00.0000.00.00.D1013">7966124.47000122</definedName>
    <definedName name="SLD.000.C.0.00.0000.00.00.D1014">98873.1400001</definedName>
    <definedName name="SLD.000.C.0.00.0000.00.00.D1015">498771725.940429</definedName>
    <definedName name="SLD.000.C.0.00.0000.00.00.D1016">3861816.84998322</definedName>
    <definedName name="SLD.000.C.0.00.0000.00.00.D1017">6518375.77999878</definedName>
    <definedName name="SLD.000.C.0.00.0000.00.00.D1018">30428702.3901367</definedName>
    <definedName name="SLD.000.C.0.00.0000.00.00.D1025">-45744891.0900268</definedName>
    <definedName name="SLD.000.C.0.00.0000.00.00.D1026">-13650979.5200805</definedName>
    <definedName name="SLD.000.C.0.00.0000.00.00.D1030">-18147550.3200073</definedName>
    <definedName name="SLD.000.C.0.00.0000.00.00.D1074">3439383.08001709</definedName>
    <definedName name="SLD.000.C.0.00.0000.00.00.D1075">-7966124.47000122</definedName>
    <definedName name="SLD.000.C.0.00.0000.00.00.D1076">20221665.6099853</definedName>
    <definedName name="SLD.000.C.0.00.0000.00.00.D1093">1009504.21000004</definedName>
    <definedName name="SLD.000.C.0.00.0000.00.00.D1094">2896500.96999741</definedName>
    <definedName name="SLD.000.C.0.00.0000.00.00.D1155">25936.66999999</definedName>
    <definedName name="SLD.000.C.0.00.0000.00.00.D997">5050971.46000671</definedName>
    <definedName name="SLD.000.C.0.00.0000.00.00.DCRECEBER">1089681.6099987</definedName>
    <definedName name="SLD.000.C.0.00.0000.00.01.11306010036">22</definedName>
    <definedName name="SLD.000.C.0.00.0000.00.01.117">1001</definedName>
    <definedName name="SLD.000.C.0.00.0000.00.01.121">30082</definedName>
    <definedName name="SLD.000.C.0.00.0000.00.01.12301">997</definedName>
    <definedName name="SLD.000.C.0.00.0000.00.01.211">73607</definedName>
    <definedName name="SLD.000.C.0.00.0000.00.01.212">220</definedName>
    <definedName name="SLD.000.C.0.00.0000.00.01.216">555</definedName>
    <definedName name="SLD.000.C.0.00.0000.00.01.217">22702</definedName>
    <definedName name="SLD.000.C.0.00.0000.00.01.219">3514</definedName>
    <definedName name="SLD.000.C.0.00.0000.00.01.221">307226</definedName>
    <definedName name="SLD.000.C.0.00.0000.00.01.222">12514</definedName>
    <definedName name="SLD.000.C.0.00.0000.00.01.241">129974</definedName>
    <definedName name="SLD.000.C.0.00.0000.00.01.244">2180</definedName>
    <definedName name="SLD.000.C.0.00.0000.00.01.24501">18114</definedName>
    <definedName name="SLD.000.C.0.00.0000.00.01.D1010">14735</definedName>
    <definedName name="SLD.000.C.0.00.0000.00.01.D1011">36890</definedName>
    <definedName name="SLD.000.C.0.00.0000.00.01.D1012">1296</definedName>
    <definedName name="SLD.000.C.0.00.0000.00.01.D1013">8253</definedName>
    <definedName name="SLD.000.C.0.00.0000.00.01.D1014">99</definedName>
    <definedName name="SLD.000.C.0.00.0000.00.01.D1015">487300</definedName>
    <definedName name="SLD.000.C.0.00.0000.00.01.D1016">6062</definedName>
    <definedName name="SLD.000.C.0.00.0000.00.01.D1017">5130</definedName>
    <definedName name="SLD.000.C.0.00.0000.00.01.D1018">30429</definedName>
    <definedName name="SLD.000.C.0.00.0000.00.01.DCRECEBER">610</definedName>
    <definedName name="SLD.000.C.0.00.1999.00.00.117">386309.42000008</definedName>
    <definedName name="SLD.000.C.0.00.1999.00.00.121">32120074.2799987</definedName>
    <definedName name="SLD.000.C.0.00.1999.00.00.131">90000</definedName>
    <definedName name="SLD.000.C.0.00.1999.00.00.211">71813107.4799804</definedName>
    <definedName name="SLD.000.C.0.00.1999.00.00.212">988466.92000008</definedName>
    <definedName name="SLD.000.C.0.00.1999.00.00.217">30737899.1099853</definedName>
    <definedName name="SLD.000.C.0.00.1999.00.00.221">321088959</definedName>
    <definedName name="SLD.000.C.0.00.1999.00.00.222">12513945.7100067</definedName>
    <definedName name="SLD.000.C.0.00.1999.00.00.241">129974445.70996</definedName>
    <definedName name="SLD.000.C.0.00.1999.00.00.244">2180449.56999969</definedName>
    <definedName name="SLD.000.C.0.00.1999.00.00.31">244637695.850097</definedName>
    <definedName name="SLD.000.C.0.00.1999.00.00.32">-7509368.30000305</definedName>
    <definedName name="SLD.000.C.0.00.1999.00.00.34">14624027.0099945</definedName>
    <definedName name="SLD.000.C.0.00.1999.00.00.41">-137984469.360107</definedName>
    <definedName name="SLD.000.C.0.00.1999.00.00.42">-18822323.7999877</definedName>
    <definedName name="SLD.000.C.0.00.1999.00.00.45">1209821.75</definedName>
    <definedName name="SLD.000.C.0.00.1999.00.00.47101010001">6781028.15000153</definedName>
    <definedName name="SLD.000.C.0.00.1999.00.00.47101010002">1847856.37999916</definedName>
    <definedName name="SLD.000.C.0.00.1999.00.00.D1010">16016305.1600036</definedName>
    <definedName name="SLD.000.C.0.00.1999.00.00.D1011">25362635.7800293</definedName>
    <definedName name="SLD.000.C.0.00.1999.00.00.D1012">4699155.20999908</definedName>
    <definedName name="SLD.000.C.0.00.1999.00.00.D1013">8628884.52999878</definedName>
    <definedName name="SLD.000.C.0.00.1999.00.00.D1015">491398211.890625</definedName>
    <definedName name="SLD.000.C.0.00.1999.00.00.D1016">10463049.2499847</definedName>
    <definedName name="SLD.000.C.0.00.1999.00.00.D1017">2173749.31999969</definedName>
    <definedName name="SLD.000.C.0.00.1999.00.00.D1018">18114451.8701171</definedName>
    <definedName name="SLD.000.C.0.00.1999.00.00.D1025">-49193159.4400024</definedName>
    <definedName name="SLD.000.C.0.00.1999.00.00.D1026">-3587777.86999512</definedName>
    <definedName name="SLD.000.C.0.00.1999.00.00.D1030">-71352966.6400146</definedName>
    <definedName name="SLD.000.C.0.00.1999.00.00.D1074">-19349636.2700195</definedName>
    <definedName name="SLD.000.C.0.00.1999.00.00.D1075">-8628884.52999878</definedName>
    <definedName name="SLD.000.C.0.00.1999.00.00.D1076">77181160.7299804</definedName>
    <definedName name="SLD.000.C.0.00.1999.00.00.D1093">1255347.8599987</definedName>
    <definedName name="SLD.000.C.0.00.1999.00.00.D1094">1125951.77000046</definedName>
    <definedName name="SLD.000.C.0.00.1999.00.00.D997">52401126.4100341</definedName>
    <definedName name="SLD.000.C.0.00.1999.00.00.DCRECEBER">291453.08000183</definedName>
    <definedName name="SLD.000.C.0.00.2000.00.00.117">533634.32999992</definedName>
    <definedName name="SLD.000.C.0.00.2000.00.00.121">31439885.269989</definedName>
    <definedName name="SLD.000.C.0.00.2000.00.00.12301">1147792.02000046</definedName>
    <definedName name="SLD.000.C.0.00.2000.00.00.131">0</definedName>
    <definedName name="SLD.000.C.0.00.2000.00.00.211">73815519.2800293</definedName>
    <definedName name="SLD.000.C.0.00.2000.00.00.212">88033.35000002</definedName>
    <definedName name="SLD.000.C.0.00.2000.00.00.217">17315355.6300048</definedName>
    <definedName name="SLD.000.C.0.00.2000.00.00.221">290102726.669921</definedName>
    <definedName name="SLD.000.C.0.00.2000.00.00.222">21139278.8200073</definedName>
    <definedName name="SLD.000.C.0.00.2000.00.00.241">129974445.70996</definedName>
    <definedName name="SLD.000.C.0.00.2000.00.00.244">2180449.56999969</definedName>
    <definedName name="SLD.000.C.0.00.2000.00.00.31">290217002.200195</definedName>
    <definedName name="SLD.000.C.0.00.2000.00.00.311">67578450.3000488</definedName>
    <definedName name="SLD.000.C.0.00.2000.00.00.312">1710563.19000053</definedName>
    <definedName name="SLD.000.C.0.00.2000.00.00.32">-21064440.0299987</definedName>
    <definedName name="SLD.000.C.0.00.2000.00.00.34">7705475.12000275</definedName>
    <definedName name="SLD.000.C.0.00.2000.00.00.41">-155587260.75</definedName>
    <definedName name="SLD.000.C.0.00.2000.00.00.42">-25368197.2900085</definedName>
    <definedName name="SLD.000.C.0.00.2000.00.00.4410101">-12689636.2599945</definedName>
    <definedName name="SLD.000.C.0.00.2000.00.00.4410102">5623644.69000244</definedName>
    <definedName name="SLD.000.C.0.00.2000.00.00.45">-133099.42000008</definedName>
    <definedName name="SLD.000.C.0.00.2000.00.00.47101010001">-4710636.20999908</definedName>
    <definedName name="SLD.000.C.0.00.2000.00.00.47101010002">-1201172.17000008</definedName>
    <definedName name="SLD.000.C.0.00.2000.00.00.D1010">17989327</definedName>
    <definedName name="SLD.000.C.0.00.2000.00.00.D1011">9804813.5</definedName>
    <definedName name="SLD.000.C.0.00.2000.00.00.D1012">1992874.98999977</definedName>
    <definedName name="SLD.000.C.0.00.2000.00.00.D1013">7966124.47000122</definedName>
    <definedName name="SLD.000.C.0.00.2000.00.00.D1015">498771725.940429</definedName>
    <definedName name="SLD.000.C.0.00.2000.00.00.D1016">3861816.84998322</definedName>
    <definedName name="SLD.000.C.0.00.2000.00.00.D1017">6518375.77999878</definedName>
    <definedName name="SLD.000.C.0.00.2000.00.00.D1018">30428702.3901367</definedName>
    <definedName name="SLD.000.C.0.00.2000.00.00.D1025">-45744891.0900268</definedName>
    <definedName name="SLD.000.C.0.00.2000.00.00.D1026">-13650979.5200805</definedName>
    <definedName name="SLD.000.C.0.00.2000.00.00.D1030">-18147550.3200073</definedName>
    <definedName name="SLD.000.C.0.00.2000.00.00.D1093">1009504.21000004</definedName>
    <definedName name="SLD.000.C.0.00.2000.00.00.D1094">2896500.96999741</definedName>
    <definedName name="SLD.000.C.0.00.2000.00.00.D1155">19932.71000001</definedName>
    <definedName name="SLD.000.C.0.00.2000.00.00.DCRECEBER">1089681.6099987</definedName>
    <definedName name="SLD.000.C.0.00.2001.00.00.11306010034">679.5</definedName>
    <definedName name="SLD.000.C.0.00.2001.00.00.2110202">10881502.85</definedName>
    <definedName name="SLD.000.C.0.00.2001.00.00.2110203">55226637.2899999</definedName>
    <definedName name="SLD.000.C.0.00.2001.00.00.2110302">28386509.52</definedName>
    <definedName name="SLD.000.C.0.00.2001.00.00.2210202">19016801.05</definedName>
    <definedName name="SLD.000.C.0.00.2001.00.00.2210203">149251446.629999</definedName>
    <definedName name="SLD.000.C.0.00.2001.00.00.2210302">105877571.47</definedName>
    <definedName name="SLD.000.C.0.00.2001.00.00.22201010001">6164913.85</definedName>
    <definedName name="SLD.000.C.0.00.2001.00.00.44101010019">-2444251.44</definedName>
    <definedName name="SLD.000.C.0.00.2001.00.00.44101020008">-44908351.0199999</definedName>
    <definedName name="SLD.000.C.0.01.0000.00.00.34">363001.90999985</definedName>
    <definedName name="SLD.000.C.0.01.0000.00.00.44">-5557702.52999878</definedName>
    <definedName name="SLD.000.C.0.01.0000.00.00.D997">5050971.46000671</definedName>
    <definedName name="SLD.000.C.0.01.0000.00.01.11201010035">0</definedName>
    <definedName name="SLD.000.C.0.01.0000.00.01.11306010019">0</definedName>
    <definedName name="SLD.000.C.0.01.0000.00.01.11306010031">24</definedName>
    <definedName name="SLD.000.C.0.01.0000.00.01.117">1717</definedName>
    <definedName name="SLD.000.C.0.01.0000.00.01.121">31692</definedName>
    <definedName name="SLD.000.C.0.01.0000.00.01.131">0</definedName>
    <definedName name="SLD.000.C.0.01.0000.00.01.211">77172</definedName>
    <definedName name="SLD.000.C.0.01.0000.00.01.212">66</definedName>
    <definedName name="SLD.000.C.0.01.0000.00.01.217">21908</definedName>
    <definedName name="SLD.000.C.0.01.0000.00.01.21704010001">13</definedName>
    <definedName name="SLD.000.C.0.01.0000.00.01.221">289496</definedName>
    <definedName name="SLD.000.C.0.01.0000.00.01.222">21139</definedName>
    <definedName name="SLD.000.C.0.01.0000.00.01.241">129974</definedName>
    <definedName name="SLD.000.C.0.01.0000.00.01.244">3416</definedName>
    <definedName name="SLD.000.C.0.01.0000.00.01.31">27924</definedName>
    <definedName name="SLD.000.C.0.01.0000.00.01.32">-2329</definedName>
    <definedName name="SLD.000.C.0.01.0000.00.01.34">363</definedName>
    <definedName name="SLD.000.C.0.01.0000.00.01.41">-13778</definedName>
    <definedName name="SLD.000.C.0.01.0000.00.01.42">-1907</definedName>
    <definedName name="SLD.000.C.0.01.0000.00.01.44">-5558</definedName>
    <definedName name="SLD.000.C.0.01.0000.00.01.45">-37</definedName>
    <definedName name="SLD.000.C.0.01.0000.00.01.47101010001">-925</definedName>
    <definedName name="SLD.000.C.0.01.0000.00.01.47101010002">-313</definedName>
    <definedName name="SLD.000.C.0.01.0000.00.01.D1010">19322</definedName>
    <definedName name="SLD.000.C.0.01.0000.00.01.D1011">17931</definedName>
    <definedName name="SLD.000.C.0.01.0000.00.01.D1012">644</definedName>
    <definedName name="SLD.000.C.0.01.0000.00.01.D1013">7881</definedName>
    <definedName name="SLD.000.C.0.01.0000.00.01.D1015">498488</definedName>
    <definedName name="SLD.000.C.0.01.0000.00.01.D1016">3312</definedName>
    <definedName name="SLD.000.C.0.01.0000.00.01.D1017">5589</definedName>
    <definedName name="SLD.000.C.0.01.0000.00.01.D1018">32633</definedName>
    <definedName name="SLD.000.C.0.01.0000.00.01.D1025">-3644</definedName>
    <definedName name="SLD.000.C.0.01.0000.00.01.D1026">-222</definedName>
    <definedName name="SLD.000.C.0.01.0000.00.01.D1030">-1691</definedName>
    <definedName name="SLD.000.C.0.01.0000.00.01.D1093">1024</definedName>
    <definedName name="SLD.000.C.0.01.0000.00.01.D1094">2511</definedName>
    <definedName name="SLD.000.C.0.01.0000.00.01.D997">5051</definedName>
    <definedName name="SLD.000.C.0.01.0000.00.01.DCRECEBER">1892</definedName>
    <definedName name="SLD.000.C.0.01.2001.00.00.44101010019">-325631.57</definedName>
    <definedName name="SLD.000.C.0.01.2001.00.00.44101020008">-1320819.3</definedName>
    <definedName name="SLD.000.C.0.01.2001.00.01.44101010019">-326</definedName>
    <definedName name="SLD.000.C.0.01.2001.00.01.44101020008">-1321</definedName>
    <definedName name="SLD.000.C.0.02.0000.00.01.11201010035">0</definedName>
    <definedName name="SLD.000.C.0.02.0000.00.01.11306010019">0</definedName>
    <definedName name="SLD.000.C.0.02.0000.00.01.11306010031">15</definedName>
    <definedName name="SLD.000.C.0.02.0000.00.01.117">1635</definedName>
    <definedName name="SLD.000.C.0.02.0000.00.01.121">12967</definedName>
    <definedName name="SLD.000.C.0.02.0000.00.01.131">0</definedName>
    <definedName name="SLD.000.C.0.02.0000.00.01.211">81910</definedName>
    <definedName name="SLD.000.C.0.02.0000.00.01.212">62</definedName>
    <definedName name="SLD.000.C.0.02.0000.00.01.217">21957</definedName>
    <definedName name="SLD.000.C.0.02.0000.00.01.21704010001">16</definedName>
    <definedName name="SLD.000.C.0.02.0000.00.01.221">293759</definedName>
    <definedName name="SLD.000.C.0.02.0000.00.01.222">21139</definedName>
    <definedName name="SLD.000.C.0.02.0000.00.01.241">129974</definedName>
    <definedName name="SLD.000.C.0.02.0000.00.01.244">3416</definedName>
    <definedName name="SLD.000.C.0.02.0000.00.01.31">51359</definedName>
    <definedName name="SLD.000.C.0.02.0000.00.01.32">-4299</definedName>
    <definedName name="SLD.000.C.0.02.0000.00.01.34">1371</definedName>
    <definedName name="SLD.000.C.0.02.0000.00.01.41">-27355</definedName>
    <definedName name="SLD.000.C.0.02.0000.00.01.42">-3792</definedName>
    <definedName name="SLD.000.C.0.02.0000.00.01.44">-17386</definedName>
    <definedName name="SLD.000.C.0.02.0000.00.01.45">-39</definedName>
    <definedName name="SLD.000.C.0.02.0000.00.01.47101010001">49</definedName>
    <definedName name="SLD.000.C.0.02.0000.00.01.47101010002">59</definedName>
    <definedName name="SLD.000.C.0.02.0000.00.01.D1010">13552</definedName>
    <definedName name="SLD.000.C.0.02.0000.00.01.D1011">44891</definedName>
    <definedName name="SLD.000.C.0.02.0000.00.01.D1012">1986</definedName>
    <definedName name="SLD.000.C.0.02.0000.00.01.D1013">8151</definedName>
    <definedName name="SLD.000.C.0.02.0000.00.01.D1015">500198</definedName>
    <definedName name="SLD.000.C.0.02.0000.00.01.D1016">2762</definedName>
    <definedName name="SLD.000.C.0.02.0000.00.01.D1017">5516</definedName>
    <definedName name="SLD.000.C.0.02.0000.00.01.D1018">29160</definedName>
    <definedName name="SLD.000.C.0.02.0000.00.01.D1025">-7241</definedName>
    <definedName name="SLD.000.C.0.02.0000.00.01.D1026">-471</definedName>
    <definedName name="SLD.000.C.0.02.0000.00.01.D1030">-9674</definedName>
    <definedName name="SLD.000.C.0.02.0000.00.01.D1093">935</definedName>
    <definedName name="SLD.000.C.0.02.0000.00.01.D1094">2407</definedName>
    <definedName name="SLD.000.C.0.02.0000.00.01.D997">10081</definedName>
    <definedName name="SLD.000.C.0.02.0000.00.01.DCRECEBER">2225</definedName>
    <definedName name="SLD.000.C.0.02.2001.00.01.44101010019">-614</definedName>
    <definedName name="SLD.000.C.0.02.2001.00.01.44101020008">-7555</definedName>
    <definedName name="SLD.000.C.0.03.0000.00.00.12301">786499.5</definedName>
    <definedName name="SLD.000.C.0.03.0000.00.00.311">74384793.3399658</definedName>
    <definedName name="SLD.000.C.0.03.0000.00.00.312">2967049.86000061</definedName>
    <definedName name="SLD.000.C.0.03.0000.00.00.4410101">-12315505.6900024</definedName>
    <definedName name="SLD.000.C.0.03.0000.00.00.4410102">-21328703.7200012</definedName>
    <definedName name="SLD.000.C.0.03.0000.00.00.D1155">25936.66999999</definedName>
    <definedName name="SLD.000.C.0.03.0000.00.01.11201010035">0</definedName>
    <definedName name="SLD.000.C.0.03.0000.00.01.11306010019">0</definedName>
    <definedName name="SLD.000.C.0.03.0000.00.01.11306010031">21</definedName>
    <definedName name="SLD.000.C.0.03.0000.00.01.11306010036">22</definedName>
    <definedName name="SLD.000.C.0.03.0000.00.01.117">1555</definedName>
    <definedName name="SLD.000.C.0.03.0000.00.01.121">11</definedName>
    <definedName name="SLD.000.C.0.03.0000.00.01.12301">786</definedName>
    <definedName name="SLD.000.C.0.03.0000.00.01.131">0</definedName>
    <definedName name="SLD.000.C.0.03.0000.00.01.211">76191</definedName>
    <definedName name="SLD.000.C.0.03.0000.00.01.212">47</definedName>
    <definedName name="SLD.000.C.0.03.0000.00.01.217">21754</definedName>
    <definedName name="SLD.000.C.0.03.0000.00.01.21704010001">22</definedName>
    <definedName name="SLD.000.C.0.03.0000.00.01.221">279615</definedName>
    <definedName name="SLD.000.C.0.03.0000.00.01.222">21139</definedName>
    <definedName name="SLD.000.C.0.03.0000.00.01.241">129974</definedName>
    <definedName name="SLD.000.C.0.03.0000.00.01.244">3416</definedName>
    <definedName name="SLD.000.C.0.03.0000.00.01.31">77352</definedName>
    <definedName name="SLD.000.C.0.03.0000.00.01.311">74385</definedName>
    <definedName name="SLD.000.C.0.03.0000.00.01.312">2967</definedName>
    <definedName name="SLD.000.C.0.03.0000.00.01.32">-6480</definedName>
    <definedName name="SLD.000.C.0.03.0000.00.01.34">1803</definedName>
    <definedName name="SLD.000.C.0.03.0000.00.01.41">-40908</definedName>
    <definedName name="SLD.000.C.0.03.0000.00.01.42">-5902</definedName>
    <definedName name="SLD.000.C.0.03.0000.00.01.4410101">-12316</definedName>
    <definedName name="SLD.000.C.0.03.0000.00.01.4410102">-21329</definedName>
    <definedName name="SLD.000.C.0.03.0000.00.01.45">-39</definedName>
    <definedName name="SLD.000.C.0.03.0000.00.01.47101010001">1735</definedName>
    <definedName name="SLD.000.C.0.03.0000.00.01.47101010002">692</definedName>
    <definedName name="SLD.000.C.0.03.0000.00.01.D1010">14342</definedName>
    <definedName name="SLD.000.C.0.03.0000.00.01.D1011">28220</definedName>
    <definedName name="SLD.000.C.0.03.0000.00.01.D1012">2128</definedName>
    <definedName name="SLD.000.C.0.03.0000.00.01.D1013">10393</definedName>
    <definedName name="SLD.000.C.0.03.0000.00.01.D1015">502084</definedName>
    <definedName name="SLD.000.C.0.03.0000.00.01.D1016">2212</definedName>
    <definedName name="SLD.000.C.0.03.0000.00.01.D1017">5996</definedName>
    <definedName name="SLD.000.C.0.03.0000.00.01.D1018">23802</definedName>
    <definedName name="SLD.000.C.0.03.0000.00.01.D1025">-10820</definedName>
    <definedName name="SLD.000.C.0.03.0000.00.01.D1026">-1557</definedName>
    <definedName name="SLD.000.C.0.03.0000.00.01.D1030">-21268</definedName>
    <definedName name="SLD.000.C.0.03.0000.00.01.D1093">812</definedName>
    <definedName name="SLD.000.C.0.03.0000.00.01.D1094">2601</definedName>
    <definedName name="SLD.000.C.0.03.0000.00.01.D1155">26</definedName>
    <definedName name="SLD.000.C.0.03.0000.00.01.D997">15100</definedName>
    <definedName name="SLD.000.C.0.03.0000.00.01.DCRECEBER">2779</definedName>
    <definedName name="SLD.000.C.0.03.2000.00.00.12301">1147792.02000046</definedName>
    <definedName name="SLD.000.C.0.03.2000.00.00.311">67578450.3000488</definedName>
    <definedName name="SLD.000.C.0.03.2000.00.00.312">1710563.19000053</definedName>
    <definedName name="SLD.000.C.0.03.2000.00.00.4410101">-12689636.2599945</definedName>
    <definedName name="SLD.000.C.0.03.2000.00.00.4410102">5623644.69000244</definedName>
    <definedName name="SLD.000.C.0.03.2000.00.00.D1155">19932.71000001</definedName>
    <definedName name="SLD.000.C.0.03.2000.00.01.117">1664</definedName>
    <definedName name="SLD.000.C.0.03.2000.00.01.121">32468</definedName>
    <definedName name="SLD.000.C.0.03.2000.00.01.12301">1148</definedName>
    <definedName name="SLD.000.C.0.03.2000.00.01.131">0</definedName>
    <definedName name="SLD.000.C.0.03.2000.00.01.211">66461</definedName>
    <definedName name="SLD.000.C.0.03.2000.00.01.212">716</definedName>
    <definedName name="SLD.000.C.0.03.2000.00.01.217">17504</definedName>
    <definedName name="SLD.000.C.0.03.2000.00.01.221">308017</definedName>
    <definedName name="SLD.000.C.0.03.2000.00.01.222">12514</definedName>
    <definedName name="SLD.000.C.0.03.2000.00.01.241">129974</definedName>
    <definedName name="SLD.000.C.0.03.2000.00.01.244">2180</definedName>
    <definedName name="SLD.000.C.0.03.2000.00.01.31">69289</definedName>
    <definedName name="SLD.000.C.0.03.2000.00.01.311">67578</definedName>
    <definedName name="SLD.000.C.0.03.2000.00.01.312">1711</definedName>
    <definedName name="SLD.000.C.0.03.2000.00.01.32">-5908</definedName>
    <definedName name="SLD.000.C.0.03.2000.00.01.34">702</definedName>
    <definedName name="SLD.000.C.0.03.2000.00.01.41">-38038</definedName>
    <definedName name="SLD.000.C.0.03.2000.00.01.42">-6870</definedName>
    <definedName name="SLD.000.C.0.03.2000.00.01.4410101">-12690</definedName>
    <definedName name="SLD.000.C.0.03.2000.00.01.4410102">5624</definedName>
    <definedName name="SLD.000.C.0.03.2000.00.01.45">16</definedName>
    <definedName name="SLD.000.C.0.03.2000.00.01.47101010001">-3042</definedName>
    <definedName name="SLD.000.C.0.03.2000.00.01.47101010002">-741</definedName>
    <definedName name="SLD.000.C.0.03.2000.00.01.D1010">10225</definedName>
    <definedName name="SLD.000.C.0.03.2000.00.01.D1011">20778</definedName>
    <definedName name="SLD.000.C.0.03.2000.00.01.D1012">1700</definedName>
    <definedName name="SLD.000.C.0.03.2000.00.01.D1013">7763</definedName>
    <definedName name="SLD.000.C.0.03.2000.00.01.D1015">484462</definedName>
    <definedName name="SLD.000.C.0.03.2000.00.01.D1016">8813</definedName>
    <definedName name="SLD.000.C.0.03.2000.00.01.D1017">4556</definedName>
    <definedName name="SLD.000.C.0.03.2000.00.01.D1018">26457</definedName>
    <definedName name="SLD.000.C.0.03.2000.00.01.D1025">-11823</definedName>
    <definedName name="SLD.000.C.0.03.2000.00.01.D1026">-859</definedName>
    <definedName name="SLD.000.C.0.03.2000.00.01.D1030">5615</definedName>
    <definedName name="SLD.000.C.0.03.2000.00.01.D1093">1168</definedName>
    <definedName name="SLD.000.C.0.03.2000.00.01.D1094">1020</definedName>
    <definedName name="SLD.000.C.0.03.2000.00.01.D1155">20</definedName>
    <definedName name="SLD.000.C.0.03.2000.00.01.DCRECEBER">361</definedName>
    <definedName name="SLD.000.C.0.03.2001.00.01.44101010019">-928</definedName>
    <definedName name="SLD.000.C.0.03.2001.00.01.44101020008">-16402</definedName>
    <definedName name="SLD.000.C.0.04.0000.00.00.42">-8761611.38000488</definedName>
    <definedName name="SLD.000.C.0.04.0000.00.01.11201010035">0</definedName>
    <definedName name="SLD.000.C.0.04.0000.00.01.11306010019">0</definedName>
    <definedName name="SLD.000.C.0.04.0000.00.01.11306010031">49</definedName>
    <definedName name="SLD.000.C.0.04.0000.00.01.11306010036">0</definedName>
    <definedName name="SLD.000.C.0.04.0000.00.01.117">1408</definedName>
    <definedName name="SLD.000.C.0.04.0000.00.01.121">2</definedName>
    <definedName name="SLD.000.C.0.04.0000.00.01.12301">756</definedName>
    <definedName name="SLD.000.C.0.04.0000.00.01.131">0</definedName>
    <definedName name="SLD.000.C.0.04.0000.00.01.211">79269</definedName>
    <definedName name="SLD.000.C.0.04.0000.00.01.212">48</definedName>
    <definedName name="SLD.000.C.0.04.0000.00.01.217">20782</definedName>
    <definedName name="SLD.000.C.0.04.0000.00.01.21704010001">0</definedName>
    <definedName name="SLD.000.C.0.04.0000.00.01.221">279351</definedName>
    <definedName name="SLD.000.C.0.04.0000.00.01.222">21139</definedName>
    <definedName name="SLD.000.C.0.04.0000.00.01.241">137385</definedName>
    <definedName name="SLD.000.C.0.04.0000.00.01.244">3416</definedName>
    <definedName name="SLD.000.C.0.04.0000.00.01.311">98481</definedName>
    <definedName name="SLD.000.C.0.04.0000.00.01.312">3398</definedName>
    <definedName name="SLD.000.C.0.04.0000.00.01.32">-8560</definedName>
    <definedName name="SLD.000.C.0.04.0000.00.01.34">1877</definedName>
    <definedName name="SLD.000.C.0.04.0000.00.01.41">-54386</definedName>
    <definedName name="SLD.000.C.0.04.0000.00.01.42">-8762</definedName>
    <definedName name="SLD.000.C.0.04.0000.00.01.4410101">-15650</definedName>
    <definedName name="SLD.000.C.0.04.0000.00.01.4410102">-23583</definedName>
    <definedName name="SLD.000.C.0.04.0000.00.01.45">-39</definedName>
    <definedName name="SLD.000.C.0.04.0000.00.01.47101010001">1632</definedName>
    <definedName name="SLD.000.C.0.04.0000.00.01.47101010002">613</definedName>
    <definedName name="SLD.000.C.0.04.0000.00.01.D1010">12975</definedName>
    <definedName name="SLD.000.C.0.04.0000.00.01.D1011">31572</definedName>
    <definedName name="SLD.000.C.0.04.0000.00.01.D1012">2144</definedName>
    <definedName name="SLD.000.C.0.04.0000.00.01.D1013">10210</definedName>
    <definedName name="SLD.000.C.0.04.0000.00.01.D1015">503130</definedName>
    <definedName name="SLD.000.C.0.04.0000.00.01.D1016">1661</definedName>
    <definedName name="SLD.000.C.0.04.0000.00.01.D1017">6650</definedName>
    <definedName name="SLD.000.C.0.04.0000.00.01.D1018">16804</definedName>
    <definedName name="SLD.000.C.0.04.0000.00.01.D1094">1787</definedName>
    <definedName name="SLD.000.C.0.04.0000.00.01.D1155">26</definedName>
    <definedName name="SLD.000.C.0.04.0000.00.01.DCRECEBER">2746</definedName>
    <definedName name="SLD.000.C.0.05.0000.00.01.11201010035">0</definedName>
    <definedName name="SLD.000.C.0.05.0000.00.01.11306010019">0</definedName>
    <definedName name="SLD.000.C.0.05.0000.00.01.11306010031">12</definedName>
    <definedName name="SLD.000.C.0.05.0000.00.01.11306010036">0</definedName>
    <definedName name="SLD.000.C.0.05.0000.00.01.117">1336</definedName>
    <definedName name="SLD.000.C.0.05.0000.00.01.121">2</definedName>
    <definedName name="SLD.000.C.0.05.0000.00.01.12301">726</definedName>
    <definedName name="SLD.000.C.0.05.0000.00.01.131">0</definedName>
    <definedName name="SLD.000.C.0.05.0000.00.01.211">85487</definedName>
    <definedName name="SLD.000.C.0.05.0000.00.01.212">36</definedName>
    <definedName name="SLD.000.C.0.05.0000.00.01.217">21843</definedName>
    <definedName name="SLD.000.C.0.05.0000.00.01.221">286500</definedName>
    <definedName name="SLD.000.C.0.05.0000.00.01.222">21139</definedName>
    <definedName name="SLD.000.C.0.05.0000.00.01.241">137385</definedName>
    <definedName name="SLD.000.C.0.05.0000.00.01.244">3416</definedName>
    <definedName name="SLD.000.C.0.05.0000.00.01.311">123327</definedName>
    <definedName name="SLD.000.C.0.05.0000.00.01.312">3807</definedName>
    <definedName name="SLD.000.C.0.05.0000.00.01.32">-10702</definedName>
    <definedName name="SLD.000.C.0.05.0000.00.01.34">1981</definedName>
    <definedName name="SLD.000.C.0.05.0000.00.01.41">-67934</definedName>
    <definedName name="SLD.000.C.0.05.0000.00.01.42">-10975</definedName>
    <definedName name="SLD.000.C.0.05.0000.00.01.4410101">-19903</definedName>
    <definedName name="SLD.000.C.0.05.0000.00.01.4410102">-40685</definedName>
    <definedName name="SLD.000.C.0.05.0000.00.01.45">-42</definedName>
    <definedName name="SLD.000.C.0.05.0000.00.01.47101010001">5007</definedName>
    <definedName name="SLD.000.C.0.05.0000.00.01.47101010002">1864</definedName>
    <definedName name="SLD.000.C.0.05.0000.00.01.D1010">8692</definedName>
    <definedName name="SLD.000.C.0.05.0000.00.01.D1011">34264</definedName>
    <definedName name="SLD.000.C.0.05.0000.00.01.D1012">2164</definedName>
    <definedName name="SLD.000.C.0.05.0000.00.01.D1013">14838</definedName>
    <definedName name="SLD.000.C.0.05.0000.00.01.D1015">505997</definedName>
    <definedName name="SLD.000.C.0.05.0000.00.01.D1016">1111</definedName>
    <definedName name="SLD.000.C.0.05.0000.00.01.D1017">6505</definedName>
    <definedName name="SLD.000.C.0.05.0000.00.01.D1018">7528</definedName>
    <definedName name="SLD.000.C.0.05.0000.00.01.D1094">2028</definedName>
    <definedName name="SLD.000.C.0.05.0000.00.01.D1155">53</definedName>
    <definedName name="SLD.000.C.0.05.0000.00.01.DCRECEBER">2685</definedName>
    <definedName name="SLD.000.C.0.06.0000.00.01.11201010035">0</definedName>
    <definedName name="SLD.000.C.0.06.0000.00.01.11306010019">0</definedName>
    <definedName name="SLD.000.C.0.06.0000.00.01.11306010031">16</definedName>
    <definedName name="SLD.000.C.0.06.0000.00.01.11306010036">0</definedName>
    <definedName name="SLD.000.C.0.06.0000.00.01.117">1241</definedName>
    <definedName name="SLD.000.C.0.06.0000.00.01.121">1</definedName>
    <definedName name="SLD.000.C.0.06.0000.00.01.12301">696</definedName>
    <definedName name="SLD.000.C.0.06.0000.00.01.131">0</definedName>
    <definedName name="SLD.000.C.0.06.0000.00.01.211">85525</definedName>
    <definedName name="SLD.000.C.0.06.0000.00.01.212">35</definedName>
    <definedName name="SLD.000.C.0.06.0000.00.01.216">547</definedName>
    <definedName name="SLD.000.C.0.06.0000.00.01.217">23545</definedName>
    <definedName name="SLD.000.C.0.06.0000.00.01.21704010001">2</definedName>
    <definedName name="SLD.000.C.0.06.0000.00.01.219">1074</definedName>
    <definedName name="SLD.000.C.0.06.0000.00.01.221">280521</definedName>
    <definedName name="SLD.000.C.0.06.0000.00.01.222">21139</definedName>
    <definedName name="SLD.000.C.0.06.0000.00.01.241">137385</definedName>
    <definedName name="SLD.000.C.0.06.0000.00.01.244">3416</definedName>
    <definedName name="SLD.000.C.0.06.0000.00.01.311">146832</definedName>
    <definedName name="SLD.000.C.0.06.0000.00.01.312">4286</definedName>
    <definedName name="SLD.000.C.0.06.0000.00.01.32">-12733</definedName>
    <definedName name="SLD.000.C.0.06.0000.00.01.34">2062</definedName>
    <definedName name="SLD.000.C.0.06.0000.00.01.41">-81374</definedName>
    <definedName name="SLD.000.C.0.06.0000.00.01.42">-15127</definedName>
    <definedName name="SLD.000.C.0.06.0000.00.01.4410101">-23147</definedName>
    <definedName name="SLD.000.C.0.06.0000.00.01.4410102">-35398</definedName>
    <definedName name="SLD.000.C.0.06.0000.00.01.45">-40</definedName>
    <definedName name="SLD.000.C.0.06.0000.00.01.47101010001">3369</definedName>
    <definedName name="SLD.000.C.0.06.0000.00.01.47101010002">1275</definedName>
    <definedName name="SLD.000.C.0.06.0000.00.01.D1010">15222</definedName>
    <definedName name="SLD.000.C.0.06.0000.00.01.D1011">26430</definedName>
    <definedName name="SLD.000.C.0.06.0000.00.01.D1012">2184</definedName>
    <definedName name="SLD.000.C.0.06.0000.00.01.D1013">12610</definedName>
    <definedName name="SLD.000.C.0.06.0000.00.01.D1014">71</definedName>
    <definedName name="SLD.000.C.0.06.0000.00.01.D1015">510574</definedName>
    <definedName name="SLD.000.C.0.06.0000.00.01.D1016">561</definedName>
    <definedName name="SLD.000.C.0.06.0000.00.01.D1017">6692</definedName>
    <definedName name="SLD.000.C.0.06.0000.00.01.D1018">11786</definedName>
    <definedName name="SLD.000.C.0.06.0000.00.01.D1094">2221</definedName>
    <definedName name="SLD.000.C.0.06.0000.00.01.D1155">34</definedName>
    <definedName name="SLD.000.C.0.06.0000.00.01.DCRECEBER">2712</definedName>
    <definedName name="SLD.000.C.0.07.0000.00.00.311">154554758.300048</definedName>
    <definedName name="SLD.000.C.0.07.0000.00.00.312">4413838.41000366</definedName>
    <definedName name="SLD.000.C.0.07.0000.00.00.32">-11563047.550003</definedName>
    <definedName name="SLD.000.C.0.07.0000.00.00.34">3022147.54000092</definedName>
    <definedName name="SLD.000.C.0.07.0000.00.00.41">-89645674.040039</definedName>
    <definedName name="SLD.000.C.0.07.0000.00.00.42">-17457559.8999939</definedName>
    <definedName name="SLD.000.C.0.07.0000.00.00.44">-26895992.9599914</definedName>
    <definedName name="SLD.000.C.0.07.0000.00.00.45">-113299.85000002</definedName>
    <definedName name="SLD.000.C.0.07.0000.00.00.47101010001">-4095197.79000092</definedName>
    <definedName name="SLD.000.C.0.07.0000.00.00.47101010002">-1207791.98999977</definedName>
    <definedName name="SLD.000.C.0.07.0000.00.01.11201010035">0</definedName>
    <definedName name="SLD.000.C.0.07.0000.00.01.11306010019">0</definedName>
    <definedName name="SLD.000.C.0.07.0000.00.01.11306010031">12</definedName>
    <definedName name="SLD.000.C.0.07.0000.00.01.11306010036">0</definedName>
    <definedName name="SLD.000.C.0.07.0000.00.01.117">1087</definedName>
    <definedName name="SLD.000.C.0.07.0000.00.01.121">1</definedName>
    <definedName name="SLD.000.C.0.07.0000.00.01.12301">666</definedName>
    <definedName name="SLD.000.C.0.07.0000.00.01.131">0</definedName>
    <definedName name="SLD.000.C.0.07.0000.00.01.211">91549</definedName>
    <definedName name="SLD.000.C.0.07.0000.00.01.212">37</definedName>
    <definedName name="SLD.000.C.0.07.0000.00.01.216">548</definedName>
    <definedName name="SLD.000.C.0.07.0000.00.01.217">23062</definedName>
    <definedName name="SLD.000.C.0.07.0000.00.01.21704010001">0</definedName>
    <definedName name="SLD.000.C.0.07.0000.00.01.219">3346</definedName>
    <definedName name="SLD.000.C.0.07.0000.00.01.221">287690</definedName>
    <definedName name="SLD.000.C.0.07.0000.00.01.222">21139</definedName>
    <definedName name="SLD.000.C.0.07.0000.00.01.241">137385</definedName>
    <definedName name="SLD.000.C.0.07.0000.00.01.244">3416</definedName>
    <definedName name="SLD.000.C.0.07.0000.00.01.311">172282</definedName>
    <definedName name="SLD.000.C.0.07.0000.00.01.312">4712</definedName>
    <definedName name="SLD.000.C.0.07.0000.00.01.32">-14928</definedName>
    <definedName name="SLD.000.C.0.07.0000.00.01.34">2212</definedName>
    <definedName name="SLD.000.C.0.07.0000.00.01.41">-94807</definedName>
    <definedName name="SLD.000.C.0.07.0000.00.01.42">-19505</definedName>
    <definedName name="SLD.000.C.0.07.0000.00.01.4410101">-26998</definedName>
    <definedName name="SLD.000.C.0.07.0000.00.01.4410102">-47525</definedName>
    <definedName name="SLD.000.C.0.07.0000.00.01.45">-47</definedName>
    <definedName name="SLD.000.C.0.07.0000.00.01.47101010001">5852</definedName>
    <definedName name="SLD.000.C.0.07.0000.00.01.47101010002">2170</definedName>
    <definedName name="SLD.000.C.0.07.0000.00.01.D1010">12898</definedName>
    <definedName name="SLD.000.C.0.07.0000.00.01.D1011">30524</definedName>
    <definedName name="SLD.000.C.0.07.0000.00.01.D1012">2210</definedName>
    <definedName name="SLD.000.C.0.07.0000.00.01.D1013">15989</definedName>
    <definedName name="SLD.000.C.0.07.0000.00.01.D1014">51</definedName>
    <definedName name="SLD.000.C.0.07.0000.00.01.D1015">512573</definedName>
    <definedName name="SLD.000.C.0.07.0000.00.01.D1016">11</definedName>
    <definedName name="SLD.000.C.0.07.0000.00.01.D1017">7157</definedName>
    <definedName name="SLD.000.C.0.07.0000.00.01.D1018">5201</definedName>
    <definedName name="SLD.000.C.0.07.0000.00.01.D1094">2174</definedName>
    <definedName name="SLD.000.C.0.07.0000.00.01.D1155">30</definedName>
    <definedName name="SLD.000.C.0.07.0000.00.01.DCRECEBER">2822</definedName>
    <definedName name="SLD.000.C.0.07.2000.00.00.311">154554758.300048</definedName>
    <definedName name="SLD.000.C.0.07.2000.00.00.312">4413838.41000366</definedName>
    <definedName name="SLD.000.C.0.07.2000.00.00.32">-11563047.550003</definedName>
    <definedName name="SLD.000.C.0.07.2000.00.00.34">3022147.54000092</definedName>
    <definedName name="SLD.000.C.0.07.2000.00.00.41">-89645674.040039</definedName>
    <definedName name="SLD.000.C.0.07.2000.00.00.42">-17457559.8999939</definedName>
    <definedName name="SLD.000.C.0.07.2000.00.00.44">-26895992.9599914</definedName>
    <definedName name="SLD.000.C.0.07.2000.00.00.45">-113299.85000002</definedName>
    <definedName name="SLD.000.C.0.07.2000.00.00.47101010001">-4095197.79000092</definedName>
    <definedName name="SLD.000.C.0.07.2000.00.00.47101010002">-1207791.98999977</definedName>
    <definedName name="SLD.000.C.0.07.2000.00.01.311">154555</definedName>
    <definedName name="SLD.000.C.0.07.2000.00.01.312">4414</definedName>
    <definedName name="SLD.000.C.0.07.2000.00.01.32">-11563</definedName>
    <definedName name="SLD.000.C.0.07.2000.00.01.34">3022</definedName>
    <definedName name="SLD.000.C.0.07.2000.00.01.41">-89646</definedName>
    <definedName name="SLD.000.C.0.07.2000.00.01.42">-17458</definedName>
    <definedName name="SLD.000.C.0.07.2000.00.01.44">-26896</definedName>
    <definedName name="SLD.000.C.0.07.2000.00.01.45">-113</definedName>
    <definedName name="SLD.000.C.0.07.2000.00.01.47101010001">-4095</definedName>
    <definedName name="SLD.000.C.0.07.2000.00.01.47101010002">-1208</definedName>
    <definedName name="SLD.000.C.0.07.2001.00.01.11201010035">0</definedName>
    <definedName name="SLD.000.C.0.07.2001.00.01.11306010019">0</definedName>
    <definedName name="SLD.000.C.0.07.2001.00.01.11306010031">12</definedName>
    <definedName name="SLD.000.C.0.07.2001.00.01.11306010036">0</definedName>
    <definedName name="SLD.000.C.0.07.2001.00.01.121">1</definedName>
    <definedName name="SLD.000.C.0.07.2001.00.01.12301">666</definedName>
    <definedName name="SLD.000.C.0.07.2001.00.01.131">0</definedName>
    <definedName name="SLD.000.C.0.07.2001.00.01.211">91549</definedName>
    <definedName name="SLD.000.C.0.07.2001.00.01.212">37</definedName>
    <definedName name="SLD.000.C.0.07.2001.00.01.217">23062</definedName>
    <definedName name="SLD.000.C.0.07.2001.00.01.221">287690</definedName>
    <definedName name="SLD.000.C.0.07.2001.00.01.222">21139</definedName>
    <definedName name="SLD.000.C.0.07.2001.00.01.241">137385</definedName>
    <definedName name="SLD.000.C.0.07.2001.00.01.244">3416</definedName>
    <definedName name="SLD.000.C.0.07.2001.00.01.311">172282</definedName>
    <definedName name="SLD.000.C.0.07.2001.00.01.312">4712</definedName>
    <definedName name="SLD.000.C.0.07.2001.00.01.32">-14928</definedName>
    <definedName name="SLD.000.C.0.07.2001.00.01.34">2212</definedName>
    <definedName name="SLD.000.C.0.07.2001.00.01.41">-94807</definedName>
    <definedName name="SLD.000.C.0.07.2001.00.01.42">-19505</definedName>
    <definedName name="SLD.000.C.0.07.2001.00.01.4410101">-26998</definedName>
    <definedName name="SLD.000.C.0.07.2001.00.01.4410102">-47525</definedName>
    <definedName name="SLD.000.C.0.07.2001.00.01.45">-47</definedName>
    <definedName name="SLD.000.C.0.07.2001.00.01.47101010001">5852</definedName>
    <definedName name="SLD.000.C.0.07.2001.00.01.47101010002">2170</definedName>
    <definedName name="SLD.000.C.0.07.2001.00.01.D1013">15989</definedName>
    <definedName name="SLD.000.C.0.07.2001.00.01.D1015">512573</definedName>
    <definedName name="SLD.000.C.0.07.2001.00.01.D1016">11</definedName>
    <definedName name="SLD.000.C.0.07.2001.00.01.D1017">7157</definedName>
    <definedName name="SLD.000.C.0.07.2001.00.01.D1018">5201</definedName>
    <definedName name="SLD.000.C.0.07.2001.00.01.D1094">2174</definedName>
    <definedName name="SLD.000.C.0.07.2001.00.01.D1155">30</definedName>
    <definedName name="SLD.000.C.0.08.0000.00.00.11201010035">200</definedName>
    <definedName name="SLD.000.C.0.08.0000.00.00.11306010019">90.63</definedName>
    <definedName name="SLD.000.C.0.08.0000.00.00.11306010031">13002</definedName>
    <definedName name="SLD.000.C.0.08.0000.00.00.21704010001">16653.00999999</definedName>
    <definedName name="SLD.000.C.0.08.0000.00.01.117">1014</definedName>
    <definedName name="SLD.000.C.0.08.0000.00.01.121">30082</definedName>
    <definedName name="SLD.000.C.0.08.0000.00.01.12301">997</definedName>
    <definedName name="SLD.000.C.0.08.0000.00.01.211">73607</definedName>
    <definedName name="SLD.000.C.0.08.0000.00.01.212">220</definedName>
    <definedName name="SLD.000.C.0.08.0000.00.01.216">555</definedName>
    <definedName name="SLD.000.C.0.08.0000.00.01.217">22702</definedName>
    <definedName name="SLD.000.C.0.08.0000.00.01.219">3514</definedName>
    <definedName name="SLD.000.C.0.08.0000.00.01.221">307226</definedName>
    <definedName name="SLD.000.C.0.08.0000.00.01.222">12514</definedName>
    <definedName name="SLD.000.C.0.08.0000.00.01.241">129974</definedName>
    <definedName name="SLD.000.C.0.08.0000.00.01.244">2180</definedName>
    <definedName name="SLD.000.C.0.08.0000.00.01.D1010">21116</definedName>
    <definedName name="SLD.000.C.0.08.0000.00.01.D1011">25629</definedName>
    <definedName name="SLD.000.C.0.08.0000.00.01.D1012">2240</definedName>
    <definedName name="SLD.000.C.0.08.0000.00.01.D1013">8253</definedName>
    <definedName name="SLD.000.C.0.08.0000.00.01.D1014">99</definedName>
    <definedName name="SLD.000.C.0.08.0000.00.01.D1015">487300</definedName>
    <definedName name="SLD.000.C.0.08.0000.00.01.D1016">6062</definedName>
    <definedName name="SLD.000.C.0.08.0000.00.01.D1017">5130</definedName>
    <definedName name="SLD.000.C.0.08.0000.00.01.D1018">29703</definedName>
    <definedName name="SLD.000.C.0.08.0000.00.01.DCRECEBER">2722</definedName>
    <definedName name="SLD.000.C.0.08.2000.00.01.311">179586</definedName>
    <definedName name="SLD.000.C.0.08.2000.00.01.312">4954</definedName>
    <definedName name="SLD.000.C.0.08.2000.00.01.32">-13428</definedName>
    <definedName name="SLD.000.C.0.08.2000.00.01.34">4527</definedName>
    <definedName name="SLD.000.C.0.08.2000.00.01.41">-102632</definedName>
    <definedName name="SLD.000.C.0.08.2000.00.01.42">-18791</definedName>
    <definedName name="SLD.000.C.0.08.2000.00.01.44">-36837</definedName>
    <definedName name="SLD.000.C.0.08.2000.00.01.45">-114</definedName>
    <definedName name="SLD.000.C.0.08.2000.00.01.47101010001">-4419</definedName>
    <definedName name="SLD.000.C.0.08.2000.00.01.47101010002">-1257</definedName>
    <definedName name="SLD.000.C.0.08.2001.00.00.11306010034">679.5</definedName>
    <definedName name="SLD.000.C.0.08.2001.00.01.11201010035">0</definedName>
    <definedName name="SLD.000.C.0.08.2001.00.01.11306010019">1</definedName>
    <definedName name="SLD.000.C.0.08.2001.00.01.11306010031">0</definedName>
    <definedName name="SLD.000.C.0.08.2001.00.01.11306010034">1</definedName>
    <definedName name="SLD.000.C.0.08.2001.00.01.11306010036">43</definedName>
    <definedName name="SLD.000.C.0.08.2001.00.01.117">1014</definedName>
    <definedName name="SLD.000.C.0.08.2001.00.01.121">1</definedName>
    <definedName name="SLD.000.C.0.08.2001.00.01.12301">636</definedName>
    <definedName name="SLD.000.C.0.08.2001.00.01.131">0</definedName>
    <definedName name="SLD.000.C.0.08.2001.00.01.211">97618</definedName>
    <definedName name="SLD.000.C.0.08.2001.00.01.212">39</definedName>
    <definedName name="SLD.000.C.0.08.2001.00.01.217">21351</definedName>
    <definedName name="SLD.000.C.0.08.2001.00.01.221">294414</definedName>
    <definedName name="SLD.000.C.0.08.2001.00.01.222">21139</definedName>
    <definedName name="SLD.000.C.0.08.2001.00.01.241">137385</definedName>
    <definedName name="SLD.000.C.0.08.2001.00.01.244">3416</definedName>
    <definedName name="SLD.000.C.0.08.2001.00.01.311">199290</definedName>
    <definedName name="SLD.000.C.0.08.2001.00.01.312">5200</definedName>
    <definedName name="SLD.000.C.0.08.2001.00.01.32">-17264</definedName>
    <definedName name="SLD.000.C.0.08.2001.00.01.34">2360</definedName>
    <definedName name="SLD.000.C.0.08.2001.00.01.41">-109219</definedName>
    <definedName name="SLD.000.C.0.08.2001.00.01.42">-22060</definedName>
    <definedName name="SLD.000.C.0.08.2001.00.01.4410101">-31079</definedName>
    <definedName name="SLD.000.C.0.08.2001.00.01.4410102">-59077</definedName>
    <definedName name="SLD.000.C.0.08.2001.00.01.45">-45</definedName>
    <definedName name="SLD.000.C.0.08.2001.00.01.47101010001">7590</definedName>
    <definedName name="SLD.000.C.0.08.2001.00.01.47101010002">2796</definedName>
    <definedName name="SLD.000.C.0.08.2001.00.01.D1010">21116</definedName>
    <definedName name="SLD.000.C.0.08.2001.00.01.D1011">25629</definedName>
    <definedName name="SLD.000.C.0.08.2001.00.01.D1012">2240</definedName>
    <definedName name="SLD.000.C.0.08.2001.00.01.D1013">18353</definedName>
    <definedName name="SLD.000.C.0.08.2001.00.01.D1015">513622</definedName>
    <definedName name="SLD.000.C.0.08.2001.00.01.D1016">-1</definedName>
    <definedName name="SLD.000.C.0.08.2001.00.01.D1017">7552</definedName>
    <definedName name="SLD.000.C.0.08.2001.00.01.D1018">275</definedName>
    <definedName name="SLD.000.C.0.08.2001.00.01.D1094">2297</definedName>
    <definedName name="SLD.000.C.0.08.2001.00.01.D1155">154</definedName>
    <definedName name="SLD.000.C.0.08.2001.00.01.DCRECEBER">2722</definedName>
    <definedName name="SLD.000.C.0.09.0000.00.00.11201010035">200</definedName>
    <definedName name="SLD.000.C.0.09.0000.00.00.11306010019">321.67</definedName>
    <definedName name="SLD.000.C.0.09.0000.00.00.11306010031">13000</definedName>
    <definedName name="SLD.000.C.0.09.0000.00.00.21704010001">25308.86000001</definedName>
    <definedName name="SLD.000.C.0.09.0000.00.01.117">851</definedName>
    <definedName name="SLD.000.C.0.09.0000.00.01.121">29836</definedName>
    <definedName name="SLD.000.C.0.09.0000.00.01.12301">967</definedName>
    <definedName name="SLD.000.C.0.09.0000.00.01.211">64411</definedName>
    <definedName name="SLD.000.C.0.09.0000.00.01.212">221</definedName>
    <definedName name="SLD.000.C.0.09.0000.00.01.216">587</definedName>
    <definedName name="SLD.000.C.0.09.0000.00.01.217">25855</definedName>
    <definedName name="SLD.000.C.0.09.0000.00.01.219">3756</definedName>
    <definedName name="SLD.000.C.0.09.0000.00.01.221">289288</definedName>
    <definedName name="SLD.000.C.0.09.0000.00.01.222">12514</definedName>
    <definedName name="SLD.000.C.0.09.0000.00.01.241">129974</definedName>
    <definedName name="SLD.000.C.0.09.0000.00.01.244">2180</definedName>
    <definedName name="SLD.000.C.0.09.0000.00.01.D1010">11912</definedName>
    <definedName name="SLD.000.C.0.09.0000.00.01.D1011">15980</definedName>
    <definedName name="SLD.000.C.0.09.0000.00.01.D1012">283</definedName>
    <definedName name="SLD.000.C.0.09.0000.00.01.D1013">7967</definedName>
    <definedName name="SLD.000.C.0.09.0000.00.01.D1014">161</definedName>
    <definedName name="SLD.000.C.0.09.0000.00.01.D1015">490510</definedName>
    <definedName name="SLD.000.C.0.09.0000.00.01.D1016">5512</definedName>
    <definedName name="SLD.000.C.0.09.0000.00.01.D1017">3942</definedName>
    <definedName name="SLD.000.C.0.09.0000.00.01.D1018">32145</definedName>
    <definedName name="SLD.000.C.0.09.0000.00.01.DCRECEBER">895</definedName>
    <definedName name="SLD.000.C.0.09.2000.00.01.311">204201</definedName>
    <definedName name="SLD.000.C.0.09.2000.00.01.312">6945</definedName>
    <definedName name="SLD.000.C.0.09.2000.00.01.32">-15314</definedName>
    <definedName name="SLD.000.C.0.09.2000.00.01.34">5297</definedName>
    <definedName name="SLD.000.C.0.09.2000.00.01.41">-115820</definedName>
    <definedName name="SLD.000.C.0.09.2000.00.01.42">-21060</definedName>
    <definedName name="SLD.000.C.0.09.2000.00.01.44">-43166</definedName>
    <definedName name="SLD.000.C.0.09.2000.00.01.45">-124</definedName>
    <definedName name="SLD.000.C.0.09.2000.00.01.47101010001">-5349</definedName>
    <definedName name="SLD.000.C.0.09.2000.00.01.47101010002">-1581</definedName>
    <definedName name="SLD.000.C.0.09.2001.00.01.11201010035">0</definedName>
    <definedName name="SLD.000.C.0.09.2001.00.01.11306010019">1</definedName>
    <definedName name="SLD.000.C.0.09.2001.00.01.11306010031">0</definedName>
    <definedName name="SLD.000.C.0.09.2001.00.01.11306010034">0</definedName>
    <definedName name="SLD.000.C.0.09.2001.00.01.11306010036">43</definedName>
    <definedName name="SLD.000.C.0.09.2001.00.01.117">912</definedName>
    <definedName name="SLD.000.C.0.09.2001.00.01.121">1</definedName>
    <definedName name="SLD.000.C.0.09.2001.00.01.12301">606</definedName>
    <definedName name="SLD.000.C.0.09.2001.00.01.131">0</definedName>
    <definedName name="SLD.000.C.0.09.2001.00.01.211">92146</definedName>
    <definedName name="SLD.000.C.0.09.2001.00.01.212">41</definedName>
    <definedName name="SLD.000.C.0.09.2001.00.01.217">22556</definedName>
    <definedName name="SLD.000.C.0.09.2001.00.01.221">273889</definedName>
    <definedName name="SLD.000.C.0.09.2001.00.01.222">21139</definedName>
    <definedName name="SLD.000.C.0.09.2001.00.01.241">137385</definedName>
    <definedName name="SLD.000.C.0.09.2001.00.01.244">3416</definedName>
    <definedName name="SLD.000.C.0.09.2001.00.01.311">226450</definedName>
    <definedName name="SLD.000.C.0.09.2001.00.01.312">7103</definedName>
    <definedName name="SLD.000.C.0.09.2001.00.01.32">-19667</definedName>
    <definedName name="SLD.000.C.0.09.2001.00.01.34">2426</definedName>
    <definedName name="SLD.000.C.0.09.2001.00.01.41">-120059</definedName>
    <definedName name="SLD.000.C.0.09.2001.00.01.42">-24899</definedName>
    <definedName name="SLD.000.C.0.09.2001.00.01.4410101">-35193</definedName>
    <definedName name="SLD.000.C.0.09.2001.00.01.4410102">-70926</definedName>
    <definedName name="SLD.000.C.0.09.2001.00.01.45">-46</definedName>
    <definedName name="SLD.000.C.0.09.2001.00.01.47101010001">8304</definedName>
    <definedName name="SLD.000.C.0.09.2001.00.01.47101010002">3054</definedName>
    <definedName name="SLD.000.C.0.09.2001.00.01.D1010">12920</definedName>
    <definedName name="SLD.000.C.0.09.2001.00.01.D1011">7375</definedName>
    <definedName name="SLD.000.C.0.09.2001.00.01.D1012">2248</definedName>
    <definedName name="SLD.000.C.0.09.2001.00.01.D1013">19324</definedName>
    <definedName name="SLD.000.C.0.09.2001.00.01.D1015">513718</definedName>
    <definedName name="SLD.000.C.0.09.2001.00.01.D1016">0</definedName>
    <definedName name="SLD.000.C.0.09.2001.00.01.D1017">7923</definedName>
    <definedName name="SLD.000.C.0.09.2001.00.01.D1018">-1670</definedName>
    <definedName name="SLD.000.C.0.09.2001.00.01.D1094">2893</definedName>
    <definedName name="SLD.000.C.0.09.2001.00.01.D1155">158</definedName>
    <definedName name="SLD.000.C.0.09.2001.00.01.DCRECEBER">2456</definedName>
    <definedName name="SLD.000.C.0.10.0000.00.00.11201010035">0</definedName>
    <definedName name="SLD.000.C.0.10.0000.00.00.11306010019">202.83</definedName>
    <definedName name="SLD.000.C.0.10.0000.00.00.11306010031">15275.16</definedName>
    <definedName name="SLD.000.C.0.10.0000.00.00.21704010001">23924.80000001</definedName>
    <definedName name="SLD.000.C.0.10.0000.00.01.11201010035">0</definedName>
    <definedName name="SLD.000.C.0.10.0000.00.01.11306010019">0</definedName>
    <definedName name="SLD.000.C.0.10.0000.00.01.11306010031">15</definedName>
    <definedName name="SLD.000.C.0.10.0000.00.01.117">695</definedName>
    <definedName name="SLD.000.C.0.10.0000.00.01.121">30859</definedName>
    <definedName name="SLD.000.C.0.10.0000.00.01.12301">937</definedName>
    <definedName name="SLD.000.C.0.10.0000.00.01.211">68903</definedName>
    <definedName name="SLD.000.C.0.10.0000.00.01.212">210</definedName>
    <definedName name="SLD.000.C.0.10.0000.00.01.216">545</definedName>
    <definedName name="SLD.000.C.0.10.0000.00.01.217">27330</definedName>
    <definedName name="SLD.000.C.0.10.0000.00.01.21704010001">24</definedName>
    <definedName name="SLD.000.C.0.10.0000.00.01.219">2428</definedName>
    <definedName name="SLD.000.C.0.10.0000.00.01.221">293045</definedName>
    <definedName name="SLD.000.C.0.10.0000.00.01.222">12514</definedName>
    <definedName name="SLD.000.C.0.10.0000.00.01.241">129974</definedName>
    <definedName name="SLD.000.C.0.10.0000.00.01.244">2180</definedName>
    <definedName name="SLD.000.C.0.10.0000.00.01.D1010">17271</definedName>
    <definedName name="SLD.000.C.0.10.0000.00.01.D1011">15613</definedName>
    <definedName name="SLD.000.C.0.10.0000.00.01.D1012">944</definedName>
    <definedName name="SLD.000.C.0.10.0000.00.01.D1013">7459</definedName>
    <definedName name="SLD.000.C.0.10.0000.00.01.D1014">323</definedName>
    <definedName name="SLD.000.C.0.10.0000.00.01.D1015">494149</definedName>
    <definedName name="SLD.000.C.0.10.0000.00.01.D1016">4962</definedName>
    <definedName name="SLD.000.C.0.10.0000.00.01.D1017">4190</definedName>
    <definedName name="SLD.000.C.0.10.0000.00.01.D1018">32726</definedName>
    <definedName name="SLD.000.C.0.10.0000.00.01.DCRECEBER">835</definedName>
    <definedName name="SLD.000.C.0.10.2000.00.01.311">229304</definedName>
    <definedName name="SLD.000.C.0.10.2000.00.01.312">7482</definedName>
    <definedName name="SLD.000.C.0.10.2000.00.01.32">-17176</definedName>
    <definedName name="SLD.000.C.0.10.2000.00.01.34">6787</definedName>
    <definedName name="SLD.000.C.0.10.2000.00.01.41">-129050</definedName>
    <definedName name="SLD.000.C.0.10.2000.00.01.42">-21320</definedName>
    <definedName name="SLD.000.C.0.10.2000.00.01.44">-54208</definedName>
    <definedName name="SLD.000.C.0.10.2000.00.01.45">-94</definedName>
    <definedName name="SLD.000.C.0.10.2000.00.01.47101010001">-5574</definedName>
    <definedName name="SLD.000.C.0.10.2000.00.01.47101010002">-1539</definedName>
    <definedName name="SLD.000.C.0.10.2001.00.00.2110202">10881502.85</definedName>
    <definedName name="SLD.000.C.0.10.2001.00.00.2110203">55226637.2899999</definedName>
    <definedName name="SLD.000.C.0.10.2001.00.00.2110302">28386509.52</definedName>
    <definedName name="SLD.000.C.0.10.2001.00.00.2210202">19016801.05</definedName>
    <definedName name="SLD.000.C.0.10.2001.00.00.2210203">149251446.629999</definedName>
    <definedName name="SLD.000.C.0.10.2001.00.00.2210302">105877571.47</definedName>
    <definedName name="SLD.000.C.0.10.2001.00.00.22201010001">5556543.48</definedName>
    <definedName name="SLD.000.C.0.10.2001.00.01.11201010035">0</definedName>
    <definedName name="SLD.000.C.0.10.2001.00.01.11306010019">0</definedName>
    <definedName name="SLD.000.C.0.10.2001.00.01.11306010031">0</definedName>
    <definedName name="SLD.000.C.0.10.2001.00.01.11306010034">0</definedName>
    <definedName name="SLD.000.C.0.10.2001.00.01.11306010036">73</definedName>
    <definedName name="SLD.000.C.0.10.2001.00.01.117">769</definedName>
    <definedName name="SLD.000.C.0.10.2001.00.01.121">0</definedName>
    <definedName name="SLD.000.C.0.10.2001.00.01.12301">576</definedName>
    <definedName name="SLD.000.C.0.10.2001.00.01.131">0</definedName>
    <definedName name="SLD.000.C.0.10.2001.00.01.211">94495</definedName>
    <definedName name="SLD.000.C.0.10.2001.00.01.2110202">10882</definedName>
    <definedName name="SLD.000.C.0.10.2001.00.01.2110203">55227</definedName>
    <definedName name="SLD.000.C.0.10.2001.00.01.2110302">28387</definedName>
    <definedName name="SLD.000.C.0.10.2001.00.01.212">130</definedName>
    <definedName name="SLD.000.C.0.10.2001.00.01.217">23634</definedName>
    <definedName name="SLD.000.C.0.10.2001.00.01.221">274146</definedName>
    <definedName name="SLD.000.C.0.10.2001.00.01.2210202">19017</definedName>
    <definedName name="SLD.000.C.0.10.2001.00.01.2210203">149251</definedName>
    <definedName name="SLD.000.C.0.10.2001.00.01.2210302">105878</definedName>
    <definedName name="SLD.000.C.0.10.2001.00.01.222">26696</definedName>
    <definedName name="SLD.000.C.0.10.2001.00.01.22201010001">5557</definedName>
    <definedName name="SLD.000.C.0.10.2001.00.01.241">137385</definedName>
    <definedName name="SLD.000.C.0.10.2001.00.01.244">3416</definedName>
    <definedName name="SLD.000.C.0.10.2001.00.01.311">255345</definedName>
    <definedName name="SLD.000.C.0.10.2001.00.01.312">10093</definedName>
    <definedName name="SLD.000.C.0.10.2001.00.01.32">-22260</definedName>
    <definedName name="SLD.000.C.0.10.2001.00.01.34">3447</definedName>
    <definedName name="SLD.000.C.0.10.2001.00.01.41">-134494</definedName>
    <definedName name="SLD.000.C.0.10.2001.00.01.42">-27702</definedName>
    <definedName name="SLD.000.C.0.10.2001.00.01.4410101">-38411</definedName>
    <definedName name="SLD.000.C.0.10.2001.00.01.4410102">-73993</definedName>
    <definedName name="SLD.000.C.0.10.2001.00.01.45">-43</definedName>
    <definedName name="SLD.000.C.0.10.2001.00.01.47101010001">6600</definedName>
    <definedName name="SLD.000.C.0.10.2001.00.01.47101010002">2441</definedName>
    <definedName name="SLD.000.C.0.10.2001.00.01.D1010">16116</definedName>
    <definedName name="SLD.000.C.0.10.2001.00.01.D1011">11907</definedName>
    <definedName name="SLD.000.C.0.10.2001.00.01.D1012">2246</definedName>
    <definedName name="SLD.000.C.0.10.2001.00.01.D1013">17007</definedName>
    <definedName name="SLD.000.C.0.10.2001.00.01.D1015">514760</definedName>
    <definedName name="SLD.000.C.0.10.2001.00.01.D1016">0</definedName>
    <definedName name="SLD.000.C.0.10.2001.00.01.D1017">2896</definedName>
    <definedName name="SLD.000.C.0.10.2001.00.01.D1018">2805</definedName>
    <definedName name="SLD.000.C.0.10.2001.00.01.D1094">3050</definedName>
    <definedName name="SLD.000.C.0.10.2001.00.01.D1155">3862</definedName>
    <definedName name="SLD.000.C.0.10.2001.00.01.DCRECEBER">1408</definedName>
    <definedName name="SLD.000.C.0.11.0000.00.01.11201010035">0</definedName>
    <definedName name="SLD.000.C.0.11.0000.00.01.11306010019">0</definedName>
    <definedName name="SLD.000.C.0.11.0000.00.01.11306010031">29</definedName>
    <definedName name="SLD.000.C.0.11.0000.00.01.117">593</definedName>
    <definedName name="SLD.000.C.0.11.0000.00.01.121">31536</definedName>
    <definedName name="SLD.000.C.0.11.0000.00.01.12301">907</definedName>
    <definedName name="SLD.000.C.0.11.0000.00.01.211">72049</definedName>
    <definedName name="SLD.000.C.0.11.0000.00.01.212">95</definedName>
    <definedName name="SLD.000.C.0.11.0000.00.01.216">559</definedName>
    <definedName name="SLD.000.C.0.11.0000.00.01.217">27062</definedName>
    <definedName name="SLD.000.C.0.11.0000.00.01.21704010001">19</definedName>
    <definedName name="SLD.000.C.0.11.0000.00.01.219">2531</definedName>
    <definedName name="SLD.000.C.0.11.0000.00.01.221">292325</definedName>
    <definedName name="SLD.000.C.0.11.0000.00.01.222">12514</definedName>
    <definedName name="SLD.000.C.0.11.0000.00.01.241">129974</definedName>
    <definedName name="SLD.000.C.0.11.0000.00.01.244">2180</definedName>
    <definedName name="SLD.000.C.0.11.0000.00.01.D1010">14444</definedName>
    <definedName name="SLD.000.C.0.11.0000.00.01.D1011">16290</definedName>
    <definedName name="SLD.000.C.0.11.0000.00.01.D1012">1130</definedName>
    <definedName name="SLD.000.C.0.11.0000.00.01.D1013">7601</definedName>
    <definedName name="SLD.000.C.0.11.0000.00.01.D1014">382</definedName>
    <definedName name="SLD.000.C.0.11.0000.00.01.D1015">497806</definedName>
    <definedName name="SLD.000.C.0.11.0000.00.01.D1016">4412</definedName>
    <definedName name="SLD.000.C.0.11.0000.00.01.D1017">4464</definedName>
    <definedName name="SLD.000.C.0.11.0000.00.01.D1018">32313</definedName>
    <definedName name="SLD.000.C.0.11.0000.00.01.DCRECEBER">964</definedName>
    <definedName name="SLD.000.C.0.11.2000.00.01.311">254101</definedName>
    <definedName name="SLD.000.C.0.11.2000.00.01.312">7993</definedName>
    <definedName name="SLD.000.C.0.11.2000.00.01.32">-19017</definedName>
    <definedName name="SLD.000.C.0.11.2000.00.01.34">7665</definedName>
    <definedName name="SLD.000.C.0.11.2000.00.01.41">-142242</definedName>
    <definedName name="SLD.000.C.0.11.2000.00.01.42">-23374</definedName>
    <definedName name="SLD.000.C.0.11.2000.00.01.44">-63917</definedName>
    <definedName name="SLD.000.C.0.11.2000.00.01.45">-133</definedName>
    <definedName name="SLD.000.C.0.11.2000.00.01.47101010001">-5412</definedName>
    <definedName name="SLD.000.C.0.11.2000.00.01.47101010002">-1465</definedName>
    <definedName name="SLD.000.C.0.11.2001.00.01.11201010035">0</definedName>
    <definedName name="SLD.000.C.0.11.2001.00.01.11306010019">0</definedName>
    <definedName name="SLD.000.C.0.11.2001.00.01.11306010031">0</definedName>
    <definedName name="SLD.000.C.0.11.2001.00.01.11306010034">5</definedName>
    <definedName name="SLD.000.C.0.11.2001.00.01.11306010036">73</definedName>
    <definedName name="SLD.000.C.0.11.2001.00.01.117">646</definedName>
    <definedName name="SLD.000.C.0.11.2001.00.01.121">0</definedName>
    <definedName name="SLD.000.C.0.11.2001.00.01.12301">546</definedName>
    <definedName name="SLD.000.C.0.11.2001.00.01.131">0</definedName>
    <definedName name="SLD.000.C.0.11.2001.00.01.211">90706</definedName>
    <definedName name="SLD.000.C.0.11.2001.00.01.2110202">9681</definedName>
    <definedName name="SLD.000.C.0.11.2001.00.01.2110203">52642</definedName>
    <definedName name="SLD.000.C.0.11.2001.00.01.2110302">28383</definedName>
    <definedName name="SLD.000.C.0.11.2001.00.01.212">39</definedName>
    <definedName name="SLD.000.C.0.11.2001.00.01.217">23618</definedName>
    <definedName name="SLD.000.C.0.11.2001.00.01.221">256947</definedName>
    <definedName name="SLD.000.C.0.11.2001.00.01.2210202">13645</definedName>
    <definedName name="SLD.000.C.0.11.2001.00.01.2210203">139416</definedName>
    <definedName name="SLD.000.C.0.11.2001.00.01.2210302">103886</definedName>
    <definedName name="SLD.000.C.0.11.2001.00.01.222">26992</definedName>
    <definedName name="SLD.000.C.0.11.2001.00.01.22201010001">5853</definedName>
    <definedName name="SLD.000.C.0.11.2001.00.01.241">137385</definedName>
    <definedName name="SLD.000.C.0.11.2001.00.01.244">3416</definedName>
    <definedName name="SLD.000.C.0.11.2001.00.01.311">284127</definedName>
    <definedName name="SLD.000.C.0.11.2001.00.01.312">10976</definedName>
    <definedName name="SLD.000.C.0.11.2001.00.01.32">-24765</definedName>
    <definedName name="SLD.000.C.0.11.2001.00.01.34">3546</definedName>
    <definedName name="SLD.000.C.0.11.2001.00.01.41">-148549</definedName>
    <definedName name="SLD.000.C.0.11.2001.00.01.42">-30247</definedName>
    <definedName name="SLD.000.C.0.11.2001.00.01.4410101">-41836</definedName>
    <definedName name="SLD.000.C.0.11.2001.00.01.4410102">-58702</definedName>
    <definedName name="SLD.000.C.0.11.2001.00.01.45">-43</definedName>
    <definedName name="SLD.000.C.0.11.2001.00.01.47101010001">886</definedName>
    <definedName name="SLD.000.C.0.11.2001.00.01.47101010002">411</definedName>
    <definedName name="SLD.000.C.0.11.2001.00.01.D1010">15204</definedName>
    <definedName name="SLD.000.C.0.11.2001.00.01.D1011">11953</definedName>
    <definedName name="SLD.000.C.0.11.2001.00.01.D1012">2247</definedName>
    <definedName name="SLD.000.C.0.11.2001.00.01.D1013">9263</definedName>
    <definedName name="SLD.000.C.0.11.2001.00.01.D1015">517243</definedName>
    <definedName name="SLD.000.C.0.11.2001.00.01.D1016">0</definedName>
    <definedName name="SLD.000.C.0.11.2001.00.01.D1017">2872</definedName>
    <definedName name="SLD.000.C.0.11.2001.00.01.D1018">17587</definedName>
    <definedName name="SLD.000.C.0.11.2001.00.01.D1094">3197</definedName>
    <definedName name="SLD.000.C.0.11.2001.00.01.D1155">3819</definedName>
    <definedName name="SLD.000.C.0.11.2001.00.01.DCRECEBER">1838</definedName>
    <definedName name="SLD.000.C.0.12.0000.00.01.11201010035">0</definedName>
    <definedName name="SLD.000.C.0.12.0000.00.01.11306010019">0</definedName>
    <definedName name="SLD.000.C.0.12.0000.00.01.11306010031">0</definedName>
    <definedName name="SLD.000.C.0.12.0000.00.01.117">0</definedName>
    <definedName name="SLD.000.C.0.12.0000.00.01.121">0</definedName>
    <definedName name="SLD.000.C.0.12.0000.00.01.131">0</definedName>
    <definedName name="SLD.000.C.0.12.0000.00.01.211">0</definedName>
    <definedName name="SLD.000.C.0.12.0000.00.01.212">0</definedName>
    <definedName name="SLD.000.C.0.12.0000.00.01.217">0</definedName>
    <definedName name="SLD.000.C.0.12.0000.00.01.21704010001">0</definedName>
    <definedName name="SLD.000.C.0.12.0000.00.01.221">0</definedName>
    <definedName name="SLD.000.C.0.12.0000.00.01.222">0</definedName>
    <definedName name="SLD.000.C.0.12.0000.00.01.241">0</definedName>
    <definedName name="SLD.000.C.0.12.0000.00.01.244">0</definedName>
    <definedName name="SLD.000.C.0.12.0000.00.01.31">0</definedName>
    <definedName name="SLD.000.C.0.12.0000.00.01.32">0</definedName>
    <definedName name="SLD.000.C.0.12.0000.00.01.34">0</definedName>
    <definedName name="SLD.000.C.0.12.0000.00.01.41">0</definedName>
    <definedName name="SLD.000.C.0.12.0000.00.01.42">0</definedName>
    <definedName name="SLD.000.C.0.12.0000.00.01.45">0</definedName>
    <definedName name="SLD.000.C.0.12.0000.00.01.47101010001">0</definedName>
    <definedName name="SLD.000.C.0.12.0000.00.01.47101010002">0</definedName>
    <definedName name="SLD.000.C.0.12.0000.00.01.D1010">0</definedName>
    <definedName name="SLD.000.C.0.12.0000.00.01.D1011">0</definedName>
    <definedName name="SLD.000.C.0.12.0000.00.01.D1012">0</definedName>
    <definedName name="SLD.000.C.0.12.0000.00.01.D1013">0</definedName>
    <definedName name="SLD.000.C.0.12.0000.00.01.D1015">0</definedName>
    <definedName name="SLD.000.C.0.12.0000.00.01.D1016">0</definedName>
    <definedName name="SLD.000.C.0.12.0000.00.01.D1017">0</definedName>
    <definedName name="SLD.000.C.0.12.0000.00.01.D1018">0</definedName>
    <definedName name="SLD.000.C.0.12.0000.00.01.D1025">0</definedName>
    <definedName name="SLD.000.C.0.12.0000.00.01.D1026">0</definedName>
    <definedName name="SLD.000.C.0.12.0000.00.01.D1030">0</definedName>
    <definedName name="SLD.000.C.0.12.0000.00.01.D1093">0</definedName>
    <definedName name="SLD.000.C.0.12.0000.00.01.D1094">0</definedName>
    <definedName name="SLD.000.C.0.12.0000.00.01.DCRECEBER">0</definedName>
    <definedName name="SLD.000.C.0.12.1999.00.00.117">386309.42000008</definedName>
    <definedName name="SLD.000.C.0.12.1999.00.00.121">32120074.2799987</definedName>
    <definedName name="SLD.000.C.0.12.1999.00.00.131">90000</definedName>
    <definedName name="SLD.000.C.0.12.1999.00.00.211">71813107.4799804</definedName>
    <definedName name="SLD.000.C.0.12.1999.00.00.212">988466.92000008</definedName>
    <definedName name="SLD.000.C.0.12.1999.00.00.217">30737899.1099853</definedName>
    <definedName name="SLD.000.C.0.12.1999.00.00.221">321088959</definedName>
    <definedName name="SLD.000.C.0.12.1999.00.00.222">12513945.7100067</definedName>
    <definedName name="SLD.000.C.0.12.1999.00.00.241">129974445.70996</definedName>
    <definedName name="SLD.000.C.0.12.1999.00.00.244">2180449.56999969</definedName>
    <definedName name="SLD.000.C.0.12.1999.00.00.31">244637695.850097</definedName>
    <definedName name="SLD.000.C.0.12.1999.00.00.32">-7509368.30000305</definedName>
    <definedName name="SLD.000.C.0.12.1999.00.00.34">14624027.0099945</definedName>
    <definedName name="SLD.000.C.0.12.1999.00.00.41">-137984469.360107</definedName>
    <definedName name="SLD.000.C.0.12.1999.00.00.42">-18822323.7999877</definedName>
    <definedName name="SLD.000.C.0.12.1999.00.00.45">1209821.75</definedName>
    <definedName name="SLD.000.C.0.12.1999.00.00.47101010001">6781028.15000153</definedName>
    <definedName name="SLD.000.C.0.12.1999.00.00.47101010002">1847856.37999916</definedName>
    <definedName name="SLD.000.C.0.12.1999.00.00.D1010">16016305.1600036</definedName>
    <definedName name="SLD.000.C.0.12.1999.00.00.D1011">25362635.7800293</definedName>
    <definedName name="SLD.000.C.0.12.1999.00.00.D1012">4699155.20999908</definedName>
    <definedName name="SLD.000.C.0.12.1999.00.00.D1013">8628884.52999878</definedName>
    <definedName name="SLD.000.C.0.12.1999.00.00.D1015">491398211.890625</definedName>
    <definedName name="SLD.000.C.0.12.1999.00.00.D1016">10463049.2499847</definedName>
    <definedName name="SLD.000.C.0.12.1999.00.00.D1017">2173749.31999969</definedName>
    <definedName name="SLD.000.C.0.12.1999.00.00.D1018">18114451.8701171</definedName>
    <definedName name="SLD.000.C.0.12.1999.00.00.D1025">-49193159.4400024</definedName>
    <definedName name="SLD.000.C.0.12.1999.00.00.D1026">-3587777.86999512</definedName>
    <definedName name="SLD.000.C.0.12.1999.00.00.D1030">-71352966.6400146</definedName>
    <definedName name="SLD.000.C.0.12.1999.00.00.D1074">-19349636.2700195</definedName>
    <definedName name="SLD.000.C.0.12.1999.00.00.D1075">-8628884.52999878</definedName>
    <definedName name="SLD.000.C.0.12.1999.00.00.D1076">77181160.7299804</definedName>
    <definedName name="SLD.000.C.0.12.1999.00.00.D1093">1255347.8599987</definedName>
    <definedName name="SLD.000.C.0.12.1999.00.00.D1094">1125951.77000046</definedName>
    <definedName name="SLD.000.C.0.12.1999.00.00.D997">52401126.4100341</definedName>
    <definedName name="SLD.000.C.0.12.1999.00.00.DCRECEBER">291453.08000183</definedName>
    <definedName name="SLD.000.C.0.12.1999.00.01.117">386</definedName>
    <definedName name="SLD.000.C.0.12.1999.00.01.121">32120</definedName>
    <definedName name="SLD.000.C.0.12.1999.00.01.131">90</definedName>
    <definedName name="SLD.000.C.0.12.1999.00.01.211">71813</definedName>
    <definedName name="SLD.000.C.0.12.1999.00.01.212">988</definedName>
    <definedName name="SLD.000.C.0.12.1999.00.01.217">30738</definedName>
    <definedName name="SLD.000.C.0.12.1999.00.01.221">321089</definedName>
    <definedName name="SLD.000.C.0.12.1999.00.01.222">12514</definedName>
    <definedName name="SLD.000.C.0.12.1999.00.01.241">129974</definedName>
    <definedName name="SLD.000.C.0.12.1999.00.01.244">2180</definedName>
    <definedName name="SLD.000.C.0.12.1999.00.01.31">244638</definedName>
    <definedName name="SLD.000.C.0.12.1999.00.01.32">-7509</definedName>
    <definedName name="SLD.000.C.0.12.1999.00.01.34">14624</definedName>
    <definedName name="SLD.000.C.0.12.1999.00.01.41">-137984</definedName>
    <definedName name="SLD.000.C.0.12.1999.00.01.42">-18822</definedName>
    <definedName name="SLD.000.C.0.12.1999.00.01.45">1210</definedName>
    <definedName name="SLD.000.C.0.12.1999.00.01.47101010001">6781</definedName>
    <definedName name="SLD.000.C.0.12.1999.00.01.47101010002">1848</definedName>
    <definedName name="SLD.000.C.0.12.1999.00.01.D1010">16016</definedName>
    <definedName name="SLD.000.C.0.12.1999.00.01.D1011">25363</definedName>
    <definedName name="SLD.000.C.0.12.1999.00.01.D1012">4699</definedName>
    <definedName name="SLD.000.C.0.12.1999.00.01.D1013">8629</definedName>
    <definedName name="SLD.000.C.0.12.1999.00.01.D1015">491398</definedName>
    <definedName name="SLD.000.C.0.12.1999.00.01.D1016">10463</definedName>
    <definedName name="SLD.000.C.0.12.1999.00.01.D1017">2174</definedName>
    <definedName name="SLD.000.C.0.12.1999.00.01.D1018">18114</definedName>
    <definedName name="SLD.000.C.0.12.1999.00.01.D1025">-49193</definedName>
    <definedName name="SLD.000.C.0.12.1999.00.01.D1026">-3588</definedName>
    <definedName name="SLD.000.C.0.12.1999.00.01.D1030">-71353</definedName>
    <definedName name="SLD.000.C.0.12.1999.00.01.D1074">-19350</definedName>
    <definedName name="SLD.000.C.0.12.1999.00.01.D1075">-8629</definedName>
    <definedName name="SLD.000.C.0.12.1999.00.01.D1076">77181</definedName>
    <definedName name="SLD.000.C.0.12.1999.00.01.D1093">1255</definedName>
    <definedName name="SLD.000.C.0.12.1999.00.01.D1094">1126</definedName>
    <definedName name="SLD.000.C.0.12.1999.00.01.D997">52401</definedName>
    <definedName name="SLD.000.C.0.12.1999.00.01.DCRECEBER">291</definedName>
    <definedName name="SLD.000.C.0.12.2000.00.00.117">533634.32999992</definedName>
    <definedName name="SLD.000.C.0.12.2000.00.00.121">31439885.269989</definedName>
    <definedName name="SLD.000.C.0.12.2000.00.00.131">0</definedName>
    <definedName name="SLD.000.C.0.12.2000.00.00.211">73815519.2800293</definedName>
    <definedName name="SLD.000.C.0.12.2000.00.00.212">88033.35000002</definedName>
    <definedName name="SLD.000.C.0.12.2000.00.00.217">17315355.6300048</definedName>
    <definedName name="SLD.000.C.0.12.2000.00.00.221">290102726.669921</definedName>
    <definedName name="SLD.000.C.0.12.2000.00.00.222">21139278.8200073</definedName>
    <definedName name="SLD.000.C.0.12.2000.00.00.241">129974445.70996</definedName>
    <definedName name="SLD.000.C.0.12.2000.00.00.244">2180449.56999969</definedName>
    <definedName name="SLD.000.C.0.12.2000.00.00.31">290217002.200195</definedName>
    <definedName name="SLD.000.C.0.12.2000.00.00.32">-21064440.0299987</definedName>
    <definedName name="SLD.000.C.0.12.2000.00.00.34">7705475.12000275</definedName>
    <definedName name="SLD.000.C.0.12.2000.00.00.41">-155587260.75</definedName>
    <definedName name="SLD.000.C.0.12.2000.00.00.42">-25368197.2900085</definedName>
    <definedName name="SLD.000.C.0.12.2000.00.00.45">-133099.42000008</definedName>
    <definedName name="SLD.000.C.0.12.2000.00.00.47101010001">-4710636.20999908</definedName>
    <definedName name="SLD.000.C.0.12.2000.00.00.47101010002">-1201172.17000008</definedName>
    <definedName name="SLD.000.C.0.12.2000.00.00.D1010">17989327</definedName>
    <definedName name="SLD.000.C.0.12.2000.00.00.D1011">9804813.5</definedName>
    <definedName name="SLD.000.C.0.12.2000.00.00.D1012">1992874.98999977</definedName>
    <definedName name="SLD.000.C.0.12.2000.00.00.D1013">7966124.47000122</definedName>
    <definedName name="SLD.000.C.0.12.2000.00.00.D1015">498771725.940429</definedName>
    <definedName name="SLD.000.C.0.12.2000.00.00.D1016">3861816.84998322</definedName>
    <definedName name="SLD.000.C.0.12.2000.00.00.D1017">6518375.77999878</definedName>
    <definedName name="SLD.000.C.0.12.2000.00.00.D1018">30428702.3901367</definedName>
    <definedName name="SLD.000.C.0.12.2000.00.00.D1025">-45744891.0900268</definedName>
    <definedName name="SLD.000.C.0.12.2000.00.00.D1026">-13650979.5200805</definedName>
    <definedName name="SLD.000.C.0.12.2000.00.00.D1030">-18147550.3200073</definedName>
    <definedName name="SLD.000.C.0.12.2000.00.00.D1093">1009504.21000004</definedName>
    <definedName name="SLD.000.C.0.12.2000.00.00.D1094">2896500.96999741</definedName>
    <definedName name="SLD.000.C.0.12.2000.00.00.DCRECEBER">1089681.6099987</definedName>
    <definedName name="SLD.000.C.0.12.2000.00.01.117">534</definedName>
    <definedName name="SLD.000.C.0.12.2000.00.01.121">31440</definedName>
    <definedName name="SLD.000.C.0.12.2000.00.01.131">0</definedName>
    <definedName name="SLD.000.C.0.12.2000.00.01.211">73816</definedName>
    <definedName name="SLD.000.C.0.12.2000.00.01.212">88</definedName>
    <definedName name="SLD.000.C.0.12.2000.00.01.217">17315</definedName>
    <definedName name="SLD.000.C.0.12.2000.00.01.221">290103</definedName>
    <definedName name="SLD.000.C.0.12.2000.00.01.222">21139</definedName>
    <definedName name="SLD.000.C.0.12.2000.00.01.241">129974</definedName>
    <definedName name="SLD.000.C.0.12.2000.00.01.244">3416</definedName>
    <definedName name="SLD.000.C.0.12.2000.00.01.31">290217</definedName>
    <definedName name="SLD.000.C.0.12.2000.00.01.32">-21064</definedName>
    <definedName name="SLD.000.C.0.12.2000.00.01.34">7705</definedName>
    <definedName name="SLD.000.C.0.12.2000.00.01.41">-155587</definedName>
    <definedName name="SLD.000.C.0.12.2000.00.01.42">-25368</definedName>
    <definedName name="SLD.000.C.0.12.2000.00.01.45">-133</definedName>
    <definedName name="SLD.000.C.0.12.2000.00.01.47101010001">-4711</definedName>
    <definedName name="SLD.000.C.0.12.2000.00.01.47101010002">-1201</definedName>
    <definedName name="SLD.000.C.0.12.2000.00.01.D1010">17989</definedName>
    <definedName name="SLD.000.C.0.12.2000.00.01.D1011">9805</definedName>
    <definedName name="SLD.000.C.0.12.2000.00.01.D1012">1993</definedName>
    <definedName name="SLD.000.C.0.12.2000.00.01.D1013">7966</definedName>
    <definedName name="SLD.000.C.0.12.2000.00.01.D1015">498772</definedName>
    <definedName name="SLD.000.C.0.12.2000.00.01.D1016">3862</definedName>
    <definedName name="SLD.000.C.0.12.2000.00.01.D1017">6518</definedName>
    <definedName name="SLD.000.C.0.12.2000.00.01.D1018">29193</definedName>
    <definedName name="SLD.000.C.0.12.2000.00.01.D1025">-45745</definedName>
    <definedName name="SLD.000.C.0.12.2000.00.01.D1026">-13651</definedName>
    <definedName name="SLD.000.C.0.12.2000.00.01.D1030">-18148</definedName>
    <definedName name="SLD.000.C.0.12.2000.00.01.D1093">1010</definedName>
    <definedName name="SLD.000.C.0.12.2000.00.01.D1094">2897</definedName>
    <definedName name="SLD.000.C.0.12.2000.00.01.DCRECEBER">1090</definedName>
    <definedName name="SLD.000.C.0.12.2001.00.01.11201010035">0</definedName>
    <definedName name="SLD.000.C.0.12.2001.00.01.11306010019">1</definedName>
    <definedName name="SLD.000.C.0.12.2001.00.01.11306010031">0</definedName>
    <definedName name="SLD.000.C.0.12.2001.00.01.11306010034">3</definedName>
    <definedName name="SLD.000.C.0.12.2001.00.01.11306010036">73</definedName>
    <definedName name="SLD.087.C.0.01.0000.00.01.21102">54378</definedName>
    <definedName name="SLD.087.C.0.01.0000.00.01.21103">22794</definedName>
    <definedName name="SLD.087.C.0.01.0000.00.01.22102">165826</definedName>
    <definedName name="SLD.087.C.0.01.0000.00.01.22103">123670</definedName>
    <definedName name="SLD.087.C.0.01.0000.00.01.24501">29193</definedName>
    <definedName name="SLD.087.C.0.01.0000.00.01.D1035">6124</definedName>
    <definedName name="SLD.087.C.0.01.0000.00.01.D1074">3439</definedName>
    <definedName name="SLD.087.C.0.01.2000.00.01.24501010001">-2740</definedName>
    <definedName name="SLD.087.C.0.02.0000.00.01.21102">58143</definedName>
    <definedName name="SLD.087.C.0.02.0000.00.01.21103">23767</definedName>
    <definedName name="SLD.087.C.0.02.0000.00.01.22102">172060</definedName>
    <definedName name="SLD.087.C.0.02.0000.00.01.22103">121699</definedName>
    <definedName name="SLD.087.C.0.02.0000.00.01.24501">29193</definedName>
    <definedName name="SLD.087.C.0.02.0000.00.01.D1035">15542</definedName>
    <definedName name="SLD.087.C.0.02.0000.00.01.D1074">-33</definedName>
    <definedName name="SLD.087.C.0.03.0000.00.01.21102">52333</definedName>
    <definedName name="SLD.087.C.0.03.0000.00.01.21103">23858</definedName>
    <definedName name="SLD.087.C.0.03.0000.00.01.22102">159867</definedName>
    <definedName name="SLD.087.C.0.03.0000.00.01.22103">119748</definedName>
    <definedName name="SLD.087.C.0.03.0000.00.01.24501">29193</definedName>
    <definedName name="SLD.087.C.0.03.0000.00.01.D1035">23151</definedName>
    <definedName name="SLD.087.C.0.03.0000.00.01.D1074">-5391</definedName>
    <definedName name="SLD.087.C.0.03.2000.00.01.34">702</definedName>
    <definedName name="SLD.087.C.0.03.2000.00.01.44">-7066</definedName>
    <definedName name="SLD.087.C.0.03.2000.00.01.D1074">8342</definedName>
    <definedName name="SLD.087.C.0.03.2000.00.01.D997">14663</definedName>
    <definedName name="SLD.087.C.0.03.2001.00.01.34">1803</definedName>
    <definedName name="SLD.087.C.0.03.2001.00.01.44">-33644</definedName>
    <definedName name="SLD.087.C.0.03.2001.00.01.D1074">-5391</definedName>
    <definedName name="SLD.087.C.0.03.2001.00.01.D1075">-10393</definedName>
    <definedName name="SLD.087.C.0.03.2001.00.01.D997">15100</definedName>
    <definedName name="SLD.087.C.0.04.0000.00.01.21102">54372</definedName>
    <definedName name="SLD.087.C.0.04.0000.00.01.21103">24897</definedName>
    <definedName name="SLD.087.C.0.04.0000.00.01.22102">161575</definedName>
    <definedName name="SLD.087.C.0.04.0000.00.01.22103">117776</definedName>
    <definedName name="SLD.087.C.0.04.0000.00.01.D1035">30760</definedName>
    <definedName name="SLD.087.C.0.04.0000.00.01.D1074">-4979</definedName>
    <definedName name="SLD.087.C.0.05.0000.00.01.21102">59405</definedName>
    <definedName name="SLD.087.C.0.05.0000.00.01.21103">26083</definedName>
    <definedName name="SLD.087.C.0.05.0000.00.01.22102">170697</definedName>
    <definedName name="SLD.087.C.0.05.0000.00.01.22103">115804</definedName>
    <definedName name="SLD.087.C.0.05.0000.00.01.D1035">38369</definedName>
    <definedName name="SLD.087.C.0.05.0000.00.01.D1074">-14254</definedName>
    <definedName name="SLD.087.C.0.06.0000.00.01.21102">59510</definedName>
    <definedName name="SLD.087.C.0.06.0000.00.01.21103">26015</definedName>
    <definedName name="SLD.087.C.0.06.0000.00.01.22102">166711</definedName>
    <definedName name="SLD.087.C.0.06.0000.00.01.22103">113810</definedName>
    <definedName name="SLD.087.C.0.06.0000.00.01.D1035">45978</definedName>
    <definedName name="SLD.087.C.0.06.0000.00.01.D1074">-9997</definedName>
    <definedName name="SLD.087.C.0.07.0000.00.01.21102">64399</definedName>
    <definedName name="SLD.087.C.0.07.0000.00.01.21103">27149</definedName>
    <definedName name="SLD.087.C.0.07.0000.00.01.22102">175854</definedName>
    <definedName name="SLD.087.C.0.07.0000.00.01.22103">111837</definedName>
    <definedName name="SLD.087.C.0.07.0000.00.01.D1035">53587</definedName>
    <definedName name="SLD.087.C.0.07.0000.00.01.D1074">-16582</definedName>
    <definedName name="SLD.087.C.0.07.2001.00.01.21102">64399</definedName>
    <definedName name="SLD.087.C.0.07.2001.00.01.21103">27149</definedName>
    <definedName name="SLD.087.C.0.07.2001.00.01.22102">175854</definedName>
    <definedName name="SLD.087.C.0.07.2001.00.01.22103">111837</definedName>
    <definedName name="SLD.087.C.0.07.2001.00.01.D1035">53587</definedName>
    <definedName name="SLD.087.C.0.07.2001.00.01.D1074">-16582</definedName>
    <definedName name="SLD.087.C.0.08.2000.00.01.21102">52598</definedName>
    <definedName name="SLD.087.C.0.08.2000.00.01.21103">21009</definedName>
    <definedName name="SLD.087.C.0.08.2000.00.01.22102">174915</definedName>
    <definedName name="SLD.087.C.0.08.2000.00.01.22103">132310</definedName>
    <definedName name="SLD.087.C.0.08.2000.00.01.24101010001">129974</definedName>
    <definedName name="SLD.087.C.0.08.2000.00.01.24401010001">1982</definedName>
    <definedName name="SLD.087.C.0.08.2000.00.01.24401010002">198</definedName>
    <definedName name="SLD.087.C.0.08.2000.00.01.24501">18114</definedName>
    <definedName name="SLD.087.C.0.08.2000.00.01.D1035">56850</definedName>
    <definedName name="SLD.087.C.0.08.2000.00.01.D1074">11588</definedName>
    <definedName name="SLD.087.C.0.08.2001.00.01.21102">69295</definedName>
    <definedName name="SLD.087.C.0.08.2001.00.01.21103">28322</definedName>
    <definedName name="SLD.087.C.0.08.2001.00.01.22102">184562</definedName>
    <definedName name="SLD.087.C.0.08.2001.00.01.22103">109852</definedName>
    <definedName name="SLD.087.C.0.08.2001.00.01.D1035">62490</definedName>
    <definedName name="SLD.087.C.0.08.2001.00.01.D1074">-21507</definedName>
    <definedName name="SLD.087.C.0.09.1999.00.01.24101010001">124174</definedName>
    <definedName name="SLD.087.C.0.09.1999.00.01.24401010001">1982</definedName>
    <definedName name="SLD.087.C.0.09.1999.00.01.24401010002">198</definedName>
    <definedName name="SLD.087.C.0.09.2000.00.01.11201010035">0</definedName>
    <definedName name="SLD.087.C.0.09.2000.00.01.11306010019">0</definedName>
    <definedName name="SLD.087.C.0.09.2000.00.01.21102">44925</definedName>
    <definedName name="SLD.087.C.0.09.2000.00.01.21103">19486</definedName>
    <definedName name="SLD.087.C.0.09.2000.00.01.2110302">19486</definedName>
    <definedName name="SLD.087.C.0.09.2000.00.01.22102">158111</definedName>
    <definedName name="SLD.087.C.0.09.2000.00.01.22103">131178</definedName>
    <definedName name="SLD.087.C.0.09.2000.00.01.24101010001">129974</definedName>
    <definedName name="SLD.087.C.0.09.2000.00.01.24401010001">1982</definedName>
    <definedName name="SLD.087.C.0.09.2000.00.01.24401010002">198</definedName>
    <definedName name="SLD.087.C.0.09.2000.00.01.24501">18114</definedName>
    <definedName name="SLD.087.C.0.09.2000.00.01.24501010001">-2740</definedName>
    <definedName name="SLD.087.C.0.09.2000.00.01.D1035">64621</definedName>
    <definedName name="SLD.087.C.0.09.2000.00.01.D1074">14031</definedName>
    <definedName name="SLD.087.C.0.09.2001.00.01.D1035">71452</definedName>
    <definedName name="SLD.087.C.0.09.2001.00.01.D1074">-23452</definedName>
    <definedName name="SLD.087.C.0.10.2000.00.01.21102">48321</definedName>
    <definedName name="SLD.087.C.0.10.2000.00.01.21103">20582</definedName>
    <definedName name="SLD.087.C.0.10.2000.00.01.22102">163710</definedName>
    <definedName name="SLD.087.C.0.10.2000.00.01.22103">129335</definedName>
    <definedName name="SLD.087.C.0.10.2000.00.01.D1035">72392</definedName>
    <definedName name="SLD.087.C.0.10.2000.00.01.D1074">14611</definedName>
    <definedName name="SLD.087.C.0.10.2001.00.01.D1035">80208</definedName>
    <definedName name="SLD.087.C.0.10.2001.00.01.D1074">-18978</definedName>
    <definedName name="SLD.087.C.0.11.2000.00.01.21102">50410</definedName>
    <definedName name="SLD.087.C.0.11.2000.00.01.21103">21639</definedName>
    <definedName name="SLD.087.C.0.11.2000.00.01.22102">164858</definedName>
    <definedName name="SLD.087.C.0.11.2000.00.01.22103">127467</definedName>
    <definedName name="SLD.087.C.0.11.2000.00.01.D1035">80163</definedName>
    <definedName name="SLD.087.C.0.11.2000.00.01.D1074">14199</definedName>
    <definedName name="SLD.087.C.0.11.2001.00.01.D1035">88567</definedName>
    <definedName name="SLD.087.C.0.11.2001.00.01.D1074">-4196</definedName>
    <definedName name="SLD.087.C.0.12.0000.00.01.21102">0</definedName>
    <definedName name="SLD.087.C.0.12.0000.00.01.21103">0</definedName>
    <definedName name="SLD.087.C.0.12.0000.00.01.22102">0</definedName>
    <definedName name="SLD.087.C.0.12.0000.00.01.22103">0</definedName>
    <definedName name="SLD.087.C.0.12.0000.00.01.24501">0</definedName>
    <definedName name="SLD.087.C.0.12.0000.00.01.D1035">0</definedName>
    <definedName name="SLD.087.C.0.12.0000.00.01.D1074">0</definedName>
    <definedName name="SLD.087.C.0.12.1999.00.00.24101010001">129974445.70996</definedName>
    <definedName name="SLD.087.C.0.12.1999.00.00.24401010001">1982226.87999916</definedName>
    <definedName name="SLD.087.C.0.12.1999.00.00.24401010002">198222.69000006</definedName>
    <definedName name="SLD.087.C.0.12.1999.00.00.24501010001">16609303.7200012</definedName>
    <definedName name="SLD.087.C.0.12.1999.00.01.24101010001">129974</definedName>
    <definedName name="SLD.087.C.0.12.1999.00.01.24401010001">1982</definedName>
    <definedName name="SLD.087.C.0.12.1999.00.01.24401010002">198</definedName>
    <definedName name="SLD.087.C.0.12.1999.00.01.24501010001">16609</definedName>
    <definedName name="SLD.087.C.0.12.2000.00.01.21102">52123</definedName>
    <definedName name="SLD.087.C.0.12.2000.00.01.21103">21692</definedName>
    <definedName name="SLD.087.C.0.12.2000.00.01.22102">164505</definedName>
    <definedName name="SLD.087.C.0.12.2000.00.01.22103">125598</definedName>
    <definedName name="SLD.087.C.0.12.2000.00.01.24101010001">129974</definedName>
    <definedName name="SLD.087.C.0.12.2000.00.01.24401010001">3105</definedName>
    <definedName name="SLD.087.C.0.12.2000.00.01.24401010002">311</definedName>
    <definedName name="SLD.087.C.0.12.2000.00.01.24501">16879</definedName>
    <definedName name="SLD.087.C.0.12.2000.00.01.24501010001">0</definedName>
    <definedName name="SLD.087.C.0.12.2000.00.01.D1035">87934</definedName>
    <definedName name="SLD.087.C.0.12.2000.00.01.D1074">12314</definedName>
    <definedName name="SLD.087.C.0.12.2001.00.01.D1035">97125</definedName>
    <definedName name="SLD.087.C.0.IN.2000.00.01.24101010001">129974</definedName>
    <definedName name="SLD.087.C.0.IN.2000.00.01.24401010001">1982</definedName>
    <definedName name="SLD.087.C.0.IN.2000.00.01.24401010002">198</definedName>
    <definedName name="SLD.087.C.0.IN.2000.00.01.24501">18114</definedName>
    <definedName name="SM">#REF!</definedName>
    <definedName name="SMC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19.66</definedName>
    <definedName name="SOMA1">#REF!</definedName>
    <definedName name="SOMA2">#REF!</definedName>
    <definedName name="SOMA3">#REF!</definedName>
    <definedName name="soma4" localSheetId="1">#REF!</definedName>
    <definedName name="soma4" localSheetId="2">#REF!</definedName>
    <definedName name="soma4">#REF!</definedName>
    <definedName name="sqdsad">#N/A</definedName>
    <definedName name="ss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dfdf">#N/A</definedName>
    <definedName name="SUDENE">#N/A</definedName>
    <definedName name="Swvu.PLANILHA2." hidden="1">#REF!</definedName>
    <definedName name="t">#N/A</definedName>
    <definedName name="tab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elão">#REF!</definedName>
    <definedName name="tabelão1">#REF!</definedName>
    <definedName name="tabelão2">#REF!</definedName>
    <definedName name="TAC_Ant" localSheetId="1">#REF!</definedName>
    <definedName name="TAC_Ant" localSheetId="2">#REF!</definedName>
    <definedName name="TAC_Ant">#REF!</definedName>
    <definedName name="Tac_Atual" localSheetId="1">#REF!</definedName>
    <definedName name="Tac_Atual" localSheetId="2">#REF!</definedName>
    <definedName name="Tac_Atual">#REF!</definedName>
    <definedName name="taxa" localSheetId="1">#REF!</definedName>
    <definedName name="taxa" localSheetId="2">#REF!</definedName>
    <definedName name="taxa">#REF!</definedName>
    <definedName name="taxa_cap">#REF!</definedName>
    <definedName name="TBdbName" hidden="1">"88D5BF544BE111D2B8C5006097494125.mdb"</definedName>
    <definedName name="TELECOM">#REF!</definedName>
    <definedName name="temp" localSheetId="1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r">#REF!</definedName>
    <definedName name="TERR">#REF!</definedName>
    <definedName name="terra">#REF!</definedName>
    <definedName name="teste" localSheetId="1">#REF!</definedName>
    <definedName name="teste" localSheetId="2">#REF!</definedName>
    <definedName name="teste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7">#REF!</definedName>
    <definedName name="TextRefCopy18">#REF!</definedName>
    <definedName name="TextRefCopy19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2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6">#REF!</definedName>
    <definedName name="TextRefCopy67">#REF!</definedName>
    <definedName name="TextRefCopy68">#REF!</definedName>
    <definedName name="TextRefCopy7">#REF!</definedName>
    <definedName name="TextRefCopy8">#REF!</definedName>
    <definedName name="TextRefCopy9">#REF!</definedName>
    <definedName name="TextRefCopyRangeCount" hidden="1">68</definedName>
    <definedName name="th">#N/A</definedName>
    <definedName name="TIP" localSheetId="1">#REF!</definedName>
    <definedName name="TIP" localSheetId="2">#REF!</definedName>
    <definedName name="TIP">#REF!</definedName>
    <definedName name="Tipo_de_Contratação" localSheetId="1">#REF!</definedName>
    <definedName name="Tipo_de_Contratação" localSheetId="2">#REF!</definedName>
    <definedName name="Tipo_de_Contratação">#REF!</definedName>
    <definedName name="Tipo_de_Contratação_Ext" localSheetId="1">#REF!</definedName>
    <definedName name="Tipo_de_Contratação_Ext" localSheetId="2">#REF!</definedName>
    <definedName name="Tipo_de_Contratação_Ext">#REF!</definedName>
    <definedName name="TÍTULO1">#REF!</definedName>
    <definedName name="TÍTULO2">#REF!</definedName>
    <definedName name="TÍTULO3">#REF!</definedName>
    <definedName name="TÍTULO4">#REF!</definedName>
    <definedName name="_xlnm.Print_Titles" localSheetId="14">Moedas!$1:$1</definedName>
    <definedName name="_xlnm.Print_Titles" localSheetId="13">Nacional!$1:$1</definedName>
    <definedName name="_xlnm.Print_Titles">#N/A</definedName>
    <definedName name="TK">#REF!</definedName>
    <definedName name="TOLUENO">#REF!</definedName>
    <definedName name="TOTAL">#REF!</definedName>
    <definedName name="TOTAL1">#REF!</definedName>
    <definedName name="TOTAL2">#REF!</definedName>
    <definedName name="TPrazoObra">#REF!</definedName>
    <definedName name="tr">#N/A</definedName>
    <definedName name="TRANS" localSheetId="1">#REF!</definedName>
    <definedName name="TRANS" localSheetId="2">#REF!</definedName>
    <definedName name="TRANS">#REF!</definedName>
    <definedName name="transferencia" localSheetId="1">#REF!</definedName>
    <definedName name="transferencia" localSheetId="2">#REF!</definedName>
    <definedName name="transferencia">#REF!</definedName>
    <definedName name="trech" hidden="1">#REF!</definedName>
    <definedName name="trhfbnghmn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trhfbnghmn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trhfbnghmn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trhfbnghmn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trhfbnghmn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trhfbnghm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TRP" localSheetId="1">#REF!</definedName>
    <definedName name="TRP" localSheetId="2">#REF!</definedName>
    <definedName name="TRP">#REF!</definedName>
    <definedName name="trtrt">#N/A</definedName>
    <definedName name="tttt">#N/A</definedName>
    <definedName name="TUDO">#REF!</definedName>
    <definedName name="TUDO2">#REF!</definedName>
    <definedName name="tx">#REF!</definedName>
    <definedName name="tx_br_frete" localSheetId="1">#REF!</definedName>
    <definedName name="tx_br_frete" localSheetId="2">#REF!</definedName>
    <definedName name="tx_br_frete">#REF!</definedName>
    <definedName name="tx_br_serv" localSheetId="1">#REF!</definedName>
    <definedName name="tx_br_serv" localSheetId="2">#REF!</definedName>
    <definedName name="tx_br_serv">#REF!</definedName>
    <definedName name="tx_crescimento" localSheetId="1">#REF!</definedName>
    <definedName name="tx_crescimento" localSheetId="2">#REF!</definedName>
    <definedName name="tx_crescimento">#REF!</definedName>
    <definedName name="Tx_Juros1" localSheetId="1">#REF!</definedName>
    <definedName name="Tx_Juros1" localSheetId="2">#REF!</definedName>
    <definedName name="Tx_Juros1">#REF!</definedName>
    <definedName name="Tx_Juros2" localSheetId="1">#REF!</definedName>
    <definedName name="Tx_Juros2" localSheetId="2">#REF!</definedName>
    <definedName name="Tx_Juros2">#REF!</definedName>
    <definedName name="tx_us_serv" localSheetId="1">#REF!</definedName>
    <definedName name="tx_us_serv" localSheetId="2">#REF!</definedName>
    <definedName name="tx_us_serv">#REF!</definedName>
    <definedName name="tx_VPL_sem_alav" localSheetId="1">#REF!</definedName>
    <definedName name="tx_VPL_sem_alav" localSheetId="2">#REF!</definedName>
    <definedName name="tx_VPL_sem_alav">#REF!</definedName>
    <definedName name="txDez00">#REF!</definedName>
    <definedName name="u">#N/A</definedName>
    <definedName name="ufg">#REF!</definedName>
    <definedName name="UFIR" localSheetId="1">#REF!</definedName>
    <definedName name="UFIR" localSheetId="2">#REF!</definedName>
    <definedName name="UFIR">#REF!</definedName>
    <definedName name="UFIR94" localSheetId="1">#REF!</definedName>
    <definedName name="UFIR94" localSheetId="2">#REF!</definedName>
    <definedName name="UFIR94">#REF!</definedName>
    <definedName name="under">#REF!</definedName>
    <definedName name="unit" localSheetId="1">#REF!</definedName>
    <definedName name="unit" localSheetId="2">#REF!</definedName>
    <definedName name="unit">#REF!</definedName>
    <definedName name="UNS" localSheetId="1">#REF!</definedName>
    <definedName name="UNS" localSheetId="2">#REF!</definedName>
    <definedName name="UNS">#REF!</definedName>
    <definedName name="URV">#REF!</definedName>
    <definedName name="uu">#N/A</definedName>
    <definedName name="uuu">#N/A</definedName>
    <definedName name="uuuu">#N/A</definedName>
    <definedName name="uuuuu">#N/A</definedName>
    <definedName name="uuuuuu">#N/A</definedName>
    <definedName name="v">#N/A</definedName>
    <definedName name="V15NITRO">#REF!</definedName>
    <definedName name="V15PROPPET">#REF!</definedName>
    <definedName name="V15PVC">#REF!</definedName>
    <definedName name="V42NITRO">#REF!</definedName>
    <definedName name="V42OPPCAM">#REF!</definedName>
    <definedName name="V42PROPPET">#REF!</definedName>
    <definedName name="V42PVC">#REF!</definedName>
    <definedName name="VALOR_MEDIO" localSheetId="1">#REF!</definedName>
    <definedName name="VALOR_MEDIO" localSheetId="2">#REF!</definedName>
    <definedName name="VALOR_MEDIO">#REF!</definedName>
    <definedName name="VALOR_MEDIO2" localSheetId="1">#REF!</definedName>
    <definedName name="VALOR_MEDIO2" localSheetId="2">#REF!</definedName>
    <definedName name="VALOR_MEDIO2">#REF!</definedName>
    <definedName name="VALOR2" localSheetId="1">#REF!</definedName>
    <definedName name="VALOR2" localSheetId="2">#REF!</definedName>
    <definedName name="VALOR2">#REF!</definedName>
    <definedName name="Variacao" localSheetId="1">#REF!</definedName>
    <definedName name="Variacao" localSheetId="2">#REF!</definedName>
    <definedName name="Variacao">#REF!</definedName>
    <definedName name="VE">#REF!</definedName>
    <definedName name="VEE">#REF!</definedName>
    <definedName name="venda_existente_HCl">#REF!</definedName>
    <definedName name="venda_existente_hipo">#REF!</definedName>
    <definedName name="venda_existente_soda">#REF!</definedName>
    <definedName name="Venda_VIPE_Participação_Percentual" localSheetId="1">#REF!</definedName>
    <definedName name="Venda_VIPE_Participação_Percentual" localSheetId="2">#REF!</definedName>
    <definedName name="Venda_VIPE_Participação_Percentual">#REF!</definedName>
    <definedName name="VENDAS_DE_OUTROS_PRODUTOS" localSheetId="1">#REF!</definedName>
    <definedName name="VENDAS_DE_OUTROS_PRODUTOS" localSheetId="2">#REF!</definedName>
    <definedName name="VENDAS_DE_OUTROS_PRODUTOS">#REF!</definedName>
    <definedName name="vfrt">#N/A</definedName>
    <definedName name="vgv_incorp">#REF!</definedName>
    <definedName name="VIEW_2" localSheetId="1">#REF!</definedName>
    <definedName name="VIEW_2" localSheetId="2">#REF!</definedName>
    <definedName name="VIEW_2">#REF!</definedName>
    <definedName name="VIEW_3" localSheetId="1">#REF!</definedName>
    <definedName name="VIEW_3" localSheetId="2">#REF!</definedName>
    <definedName name="VIEW_3">#REF!</definedName>
    <definedName name="VIEW_4" localSheetId="1">#REF!</definedName>
    <definedName name="VIEW_4" localSheetId="2">#REF!</definedName>
    <definedName name="VIEW_4">#REF!</definedName>
    <definedName name="visões" localSheetId="1">#REF!</definedName>
    <definedName name="visões" localSheetId="2">#REF!</definedName>
    <definedName name="visões">#REF!</definedName>
    <definedName name="vlr_mensal" localSheetId="1">#REF!</definedName>
    <definedName name="vlr_mensal" localSheetId="2">#REF!</definedName>
    <definedName name="vlr_mensal">#REF!</definedName>
    <definedName name="VPL">#REF!</definedName>
    <definedName name="vv">#REF!</definedName>
    <definedName name="vvbb" localSheetId="12" hidden="1">{"tabela",#N/A,FALSE,"Tabela";"decoração",#N/A,FALSE,"Decor.";"Informações",#N/A,FALSE,"Inform."}</definedName>
    <definedName name="vvbb" localSheetId="1" hidden="1">{"tabela",#N/A,FALSE,"Tabela";"decoração",#N/A,FALSE,"Decor.";"Informações",#N/A,FALSE,"Inform."}</definedName>
    <definedName name="vvbb" localSheetId="4" hidden="1">{"tabela",#N/A,FALSE,"Tabela";"decoração",#N/A,FALSE,"Decor.";"Informações",#N/A,FALSE,"Inform."}</definedName>
    <definedName name="vvbb" localSheetId="0" hidden="1">{"tabela",#N/A,FALSE,"Tabela";"decoração",#N/A,FALSE,"Decor.";"Informações",#N/A,FALSE,"Inform."}</definedName>
    <definedName name="vvbb" localSheetId="2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12" hidden="1">{#N/A,#N/A,FALSE,"Plan1";#N/A,#N/A,FALSE,"Plan2"}</definedName>
    <definedName name="vvcbnb" localSheetId="1" hidden="1">{#N/A,#N/A,FALSE,"Plan1";#N/A,#N/A,FALSE,"Plan2"}</definedName>
    <definedName name="vvcbnb" localSheetId="4" hidden="1">{#N/A,#N/A,FALSE,"Plan1";#N/A,#N/A,FALSE,"Plan2"}</definedName>
    <definedName name="vvcbnb" localSheetId="0" hidden="1">{#N/A,#N/A,FALSE,"Plan1";#N/A,#N/A,FALSE,"Plan2"}</definedName>
    <definedName name="vvcbnb" localSheetId="2" hidden="1">{#N/A,#N/A,FALSE,"Plan1";#N/A,#N/A,FALSE,"Plan2"}</definedName>
    <definedName name="vvcbnb" hidden="1">{#N/A,#N/A,FALSE,"Plan1";#N/A,#N/A,FALSE,"Plan2"}</definedName>
    <definedName name="vvvvv" localSheetId="12" hidden="1">{#N/A,#N/A,FALSE,"Plan1";#N/A,#N/A,FALSE,"Plan2"}</definedName>
    <definedName name="vvvvv" localSheetId="1" hidden="1">{#N/A,#N/A,FALSE,"Plan1";#N/A,#N/A,FALSE,"Plan2"}</definedName>
    <definedName name="vvvvv" localSheetId="4" hidden="1">{#N/A,#N/A,FALSE,"Plan1";#N/A,#N/A,FALSE,"Plan2"}</definedName>
    <definedName name="vvvvv" localSheetId="0" hidden="1">{#N/A,#N/A,FALSE,"Plan1";#N/A,#N/A,FALSE,"Plan2"}</definedName>
    <definedName name="vvvvv" localSheetId="2" hidden="1">{#N/A,#N/A,FALSE,"Plan1";#N/A,#N/A,FALSE,"Plan2"}</definedName>
    <definedName name="vvvvv" hidden="1">{#N/A,#N/A,FALSE,"Plan1";#N/A,#N/A,FALSE,"Plan2"}</definedName>
    <definedName name="vvvvvv" localSheetId="12" hidden="1">{#N/A,#N/A,FALSE,"Plan1";#N/A,#N/A,FALSE,"Plan2"}</definedName>
    <definedName name="vvvvvv" localSheetId="1" hidden="1">{#N/A,#N/A,FALSE,"Plan1";#N/A,#N/A,FALSE,"Plan2"}</definedName>
    <definedName name="vvvvvv" localSheetId="4" hidden="1">{#N/A,#N/A,FALSE,"Plan1";#N/A,#N/A,FALSE,"Plan2"}</definedName>
    <definedName name="vvvvvv" localSheetId="0" hidden="1">{#N/A,#N/A,FALSE,"Plan1";#N/A,#N/A,FALSE,"Plan2"}</definedName>
    <definedName name="vvvvvv" localSheetId="2" hidden="1">{#N/A,#N/A,FALSE,"Plan1";#N/A,#N/A,FALSE,"Plan2"}</definedName>
    <definedName name="vvvvvv" hidden="1">{#N/A,#N/A,FALSE,"Plan1";#N/A,#N/A,FALSE,"Plan2"}</definedName>
    <definedName name="w">#N/A</definedName>
    <definedName name="wacc">#REF!</definedName>
    <definedName name="WERDF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ERDF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ERDF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ER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ERDF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ER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ewe">#N/A</definedName>
    <definedName name="WK" localSheetId="1">#REF!</definedName>
    <definedName name="WK" localSheetId="2">#REF!</definedName>
    <definedName name="WK">#REF!</definedName>
    <definedName name="wq" localSheetId="1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wq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wq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wq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wq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wq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wqwq">#N/A</definedName>
    <definedName name="wrn.Aging._.and._.Trend._.Analysis." localSheetId="1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impresión.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O." localSheetId="12" hidden="1">{#N/A,#N/A,FALSE,"Plan1";#N/A,#N/A,FALSE,"Plan2"}</definedName>
    <definedName name="wrn.IMPRESSO." localSheetId="1" hidden="1">{#N/A,#N/A,FALSE,"Plan1";#N/A,#N/A,FALSE,"Plan2"}</definedName>
    <definedName name="wrn.IMPRESSO." localSheetId="4" hidden="1">{#N/A,#N/A,FALSE,"Plan1";#N/A,#N/A,FALSE,"Plan2"}</definedName>
    <definedName name="wrn.IMPRESSO." localSheetId="0" hidden="1">{#N/A,#N/A,FALSE,"Plan1";#N/A,#N/A,FALSE,"Plan2"}</definedName>
    <definedName name="wrn.IMPRESSO." localSheetId="2" hidden="1">{#N/A,#N/A,FALSE,"Plan1";#N/A,#N/A,FALSE,"Plan2"}</definedName>
    <definedName name="wrn.IMPRESSO." hidden="1">{#N/A,#N/A,FALSE,"Plan1";#N/A,#N/A,FALSE,"Plan2"}</definedName>
    <definedName name="wrn.Imprimir." localSheetId="12" hidden="1">{"tabela",#N/A,FALSE,"Tabela";"decoração",#N/A,FALSE,"Decor.";"Informações",#N/A,FALSE,"Inform."}</definedName>
    <definedName name="wrn.Imprimir." localSheetId="1" hidden="1">{"tabela",#N/A,FALSE,"Tabela";"decoração",#N/A,FALSE,"Decor.";"Informações",#N/A,FALSE,"Inform."}</definedName>
    <definedName name="wrn.Imprimir." localSheetId="4" hidden="1">{"tabela",#N/A,FALSE,"Tabela";"decoração",#N/A,FALSE,"Decor.";"Informações",#N/A,FALSE,"Inform."}</definedName>
    <definedName name="wrn.Imprimir." localSheetId="0" hidden="1">{"tabela",#N/A,FALSE,"Tabela";"decoração",#N/A,FALSE,"Decor.";"Informações",#N/A,FALSE,"Inform."}</definedName>
    <definedName name="wrn.Imprimir." localSheetId="2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Model." localSheetId="1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OPP." localSheetId="12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OPP." localSheetId="1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OPP." localSheetId="4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OPP." localSheetId="0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OPP." localSheetId="2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OPP.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TESTE." localSheetId="12" hidden="1">{#N/A,#N/A,FALSE,"Plan1"}</definedName>
    <definedName name="wrn.TESTE." localSheetId="1" hidden="1">{#N/A,#N/A,FALSE,"Plan1"}</definedName>
    <definedName name="wrn.TESTE." localSheetId="4" hidden="1">{#N/A,#N/A,FALSE,"Plan1"}</definedName>
    <definedName name="wrn.TESTE." localSheetId="0" hidden="1">{#N/A,#N/A,FALSE,"Plan1"}</definedName>
    <definedName name="wrn.TESTE." localSheetId="2" hidden="1">{#N/A,#N/A,FALSE,"Plan1"}</definedName>
    <definedName name="wrn.TESTE." hidden="1">{#N/A,#N/A,FALSE,"Plan1"}</definedName>
    <definedName name="wrn.VENTAS." localSheetId="1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1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s">#REF!</definedName>
    <definedName name="wsa">#N/A</definedName>
    <definedName name="wvu.PLANILHA2.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int_Todo." localSheetId="1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localSheetId="1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q">#N/A</definedName>
    <definedName name="wwqq">#N/A</definedName>
    <definedName name="wwqqww">#N/A</definedName>
    <definedName name="www" localSheetId="12" hidden="1">{#N/A,#N/A,FALSE,"Plan1";#N/A,#N/A,FALSE,"Plan2"}</definedName>
    <definedName name="www" localSheetId="1" hidden="1">{#N/A,#N/A,FALSE,"Plan1";#N/A,#N/A,FALSE,"Plan2"}</definedName>
    <definedName name="www" localSheetId="4" hidden="1">{#N/A,#N/A,FALSE,"Plan1";#N/A,#N/A,FALSE,"Plan2"}</definedName>
    <definedName name="www" localSheetId="0" hidden="1">{#N/A,#N/A,FALSE,"Plan1";#N/A,#N/A,FALSE,"Plan2"}</definedName>
    <definedName name="www" localSheetId="2" hidden="1">{#N/A,#N/A,FALSE,"Plan1";#N/A,#N/A,FALSE,"Plan2"}</definedName>
    <definedName name="www" hidden="1">{#N/A,#N/A,FALSE,"Plan1";#N/A,#N/A,FALSE,"Plan2"}</definedName>
    <definedName name="wwww">#N/A</definedName>
    <definedName name="wwwwww">#N/A</definedName>
    <definedName name="wwwwwwww">#N/A</definedName>
    <definedName name="x">#N/A</definedName>
    <definedName name="XCFV" localSheetId="12" hidden="1">{#N/A,#N/A,FALSE,"Plan1";#N/A,#N/A,FALSE,"Plan2"}</definedName>
    <definedName name="XCFV" localSheetId="1" hidden="1">{#N/A,#N/A,FALSE,"Plan1";#N/A,#N/A,FALSE,"Plan2"}</definedName>
    <definedName name="XCFV" localSheetId="4" hidden="1">{#N/A,#N/A,FALSE,"Plan1";#N/A,#N/A,FALSE,"Plan2"}</definedName>
    <definedName name="XCFV" localSheetId="0" hidden="1">{#N/A,#N/A,FALSE,"Plan1";#N/A,#N/A,FALSE,"Plan2"}</definedName>
    <definedName name="XCFV" localSheetId="2" hidden="1">{#N/A,#N/A,FALSE,"Plan1";#N/A,#N/A,FALSE,"Plan2"}</definedName>
    <definedName name="XCFV" hidden="1">{#N/A,#N/A,FALSE,"Plan1";#N/A,#N/A,FALSE,"Plan2"}</definedName>
    <definedName name="XCV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V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V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gnfgh" localSheetId="1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fgnfgh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fgnfgh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fgnfgh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fgnfgh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fgnfg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" localSheetId="1">#REF!</definedName>
    <definedName name="xx" localSheetId="2">#REF!</definedName>
    <definedName name="xx">#REF!</definedName>
    <definedName name="xxx" localSheetId="1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" localSheetId="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x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y">#N/A</definedName>
    <definedName name="yt">#N/A</definedName>
    <definedName name="ytyt">#N/A</definedName>
    <definedName name="ytytyt">#N/A</definedName>
    <definedName name="yyyy">#N/A</definedName>
    <definedName name="yyyyyy">#N/A</definedName>
    <definedName name="yyyyyyyy">#N/A</definedName>
    <definedName name="Z">#REF!</definedName>
    <definedName name="zcd" localSheetId="1">#REF!</definedName>
    <definedName name="zcd" localSheetId="2">#REF!</definedName>
    <definedName name="zcd">#REF!</definedName>
    <definedName name="zdfvsd" localSheetId="1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zdfvsd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zdfvsd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zdfvsd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zdfvsd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zdfvsd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zerofin1">#N/A</definedName>
    <definedName name="ZonaInsercaoOESP" localSheetId="1">#REF!,#REF!,#REF!,#REF!</definedName>
    <definedName name="ZonaInsercaoOESP" localSheetId="2">#REF!,#REF!,#REF!,#REF!</definedName>
    <definedName name="ZonaInsercaoOESP">#REF!,#REF!,#REF!,#REF!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6" i="1" l="1"/>
  <c r="X77" i="6"/>
  <c r="C22" i="2"/>
  <c r="C21" i="2"/>
  <c r="C20" i="2"/>
  <c r="C16" i="2"/>
  <c r="C15" i="2"/>
  <c r="C14" i="2"/>
  <c r="W64" i="6"/>
  <c r="W66" i="6" s="1"/>
  <c r="W65" i="6"/>
  <c r="X42" i="6"/>
  <c r="X41" i="6"/>
  <c r="X43" i="6" s="1"/>
  <c r="X58" i="6"/>
  <c r="X59" i="6"/>
  <c r="X60" i="6"/>
  <c r="X40" i="6"/>
  <c r="W83" i="6"/>
  <c r="W82" i="6"/>
  <c r="W76" i="6"/>
  <c r="W77" i="6"/>
  <c r="W78" i="6"/>
  <c r="W75" i="6"/>
  <c r="W58" i="6"/>
  <c r="W59" i="6"/>
  <c r="W60" i="6"/>
  <c r="W57" i="6"/>
  <c r="W72" i="6"/>
  <c r="X54" i="6"/>
  <c r="W54" i="6"/>
  <c r="X36" i="6"/>
  <c r="X65" i="6"/>
  <c r="X61" i="6"/>
  <c r="X66" i="6" s="1"/>
  <c r="X83" i="6"/>
  <c r="X47" i="6"/>
  <c r="X57" i="6"/>
  <c r="X72" i="6"/>
  <c r="AC4" i="6"/>
  <c r="AC6" i="6"/>
  <c r="AC7" i="6"/>
  <c r="AC8" i="6"/>
  <c r="AC9" i="6"/>
  <c r="AC10" i="6"/>
  <c r="AC11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8" i="6"/>
  <c r="AC29" i="6"/>
  <c r="AC33" i="6"/>
  <c r="AC34" i="6"/>
  <c r="AC36" i="6"/>
  <c r="AC37" i="6"/>
  <c r="AC39" i="6"/>
  <c r="AC41" i="6"/>
  <c r="AC42" i="6"/>
  <c r="AC46" i="6"/>
  <c r="AC47" i="6"/>
  <c r="AC54" i="6"/>
  <c r="AC55" i="6"/>
  <c r="AC57" i="6"/>
  <c r="AC58" i="6"/>
  <c r="AC59" i="6"/>
  <c r="AC60" i="6"/>
  <c r="AC64" i="6"/>
  <c r="AC65" i="6"/>
  <c r="AC66" i="6"/>
  <c r="AC69" i="6"/>
  <c r="AC70" i="6"/>
  <c r="AC72" i="6"/>
  <c r="AC73" i="6"/>
  <c r="AC75" i="6"/>
  <c r="AC76" i="6"/>
  <c r="AC77" i="6"/>
  <c r="AC78" i="6"/>
  <c r="AC81" i="6"/>
  <c r="AC82" i="6"/>
  <c r="AC83" i="6"/>
  <c r="AC3" i="6"/>
  <c r="X97" i="6"/>
  <c r="X78" i="6"/>
  <c r="W47" i="6"/>
  <c r="W46" i="6"/>
  <c r="W42" i="6"/>
  <c r="W97" i="6"/>
  <c r="V98" i="6"/>
  <c r="V97" i="6"/>
  <c r="V96" i="6"/>
  <c r="Y95" i="6"/>
  <c r="Y94" i="6"/>
  <c r="V95" i="6"/>
  <c r="X29" i="6"/>
  <c r="X3" i="6"/>
  <c r="S90" i="6"/>
  <c r="S89" i="6"/>
  <c r="S91" i="6" s="1"/>
  <c r="S92" i="6" s="1"/>
  <c r="O72" i="6"/>
  <c r="E22" i="47" s="1"/>
  <c r="O90" i="6"/>
  <c r="O91" i="6" s="1"/>
  <c r="O92" i="6" s="1"/>
  <c r="O89" i="6"/>
  <c r="K90" i="6"/>
  <c r="K91" i="6" s="1"/>
  <c r="K92" i="6" s="1"/>
  <c r="K89" i="6"/>
  <c r="K72" i="6"/>
  <c r="G90" i="6"/>
  <c r="G89" i="6"/>
  <c r="G91" i="6" s="1"/>
  <c r="G92" i="6" s="1"/>
  <c r="C72" i="6"/>
  <c r="C90" i="6" s="1"/>
  <c r="G72" i="6"/>
  <c r="S72" i="6"/>
  <c r="S82" i="6" s="1"/>
  <c r="W29" i="6"/>
  <c r="W28" i="6"/>
  <c r="W15" i="6"/>
  <c r="W16" i="6"/>
  <c r="W17" i="6"/>
  <c r="W18" i="6"/>
  <c r="W19" i="6"/>
  <c r="W20" i="6"/>
  <c r="W21" i="6"/>
  <c r="W22" i="6"/>
  <c r="W23" i="6"/>
  <c r="W24" i="6"/>
  <c r="W14" i="6"/>
  <c r="W11" i="6"/>
  <c r="W9" i="6"/>
  <c r="W7" i="6"/>
  <c r="W3" i="6"/>
  <c r="I28" i="2"/>
  <c r="I27" i="2"/>
  <c r="I26" i="2"/>
  <c r="C28" i="2"/>
  <c r="C27" i="2"/>
  <c r="C26" i="2"/>
  <c r="S60" i="6"/>
  <c r="S42" i="6"/>
  <c r="S77" i="6"/>
  <c r="S59" i="6"/>
  <c r="S41" i="6"/>
  <c r="R78" i="6"/>
  <c r="R60" i="6"/>
  <c r="R42" i="6"/>
  <c r="R77" i="6"/>
  <c r="R59" i="6"/>
  <c r="S12" i="6"/>
  <c r="S76" i="6" s="1"/>
  <c r="S10" i="6"/>
  <c r="S58" i="6" s="1"/>
  <c r="S8" i="6"/>
  <c r="S40" i="6" s="1"/>
  <c r="S4" i="6"/>
  <c r="S28" i="6" s="1"/>
  <c r="R20" i="6"/>
  <c r="R70" i="6"/>
  <c r="S64" i="6"/>
  <c r="R52" i="6"/>
  <c r="S46" i="6"/>
  <c r="R34" i="6"/>
  <c r="S29" i="6"/>
  <c r="S47" i="6" s="1"/>
  <c r="R3" i="6"/>
  <c r="G185" i="1"/>
  <c r="G106" i="1"/>
  <c r="G32" i="1"/>
  <c r="F32" i="1"/>
  <c r="G174" i="1"/>
  <c r="G45" i="1"/>
  <c r="G49" i="1"/>
  <c r="G37" i="1"/>
  <c r="G6" i="1"/>
  <c r="G16" i="1"/>
  <c r="G12" i="1"/>
  <c r="F12" i="1"/>
  <c r="G20" i="1"/>
  <c r="G41" i="1"/>
  <c r="G72" i="1"/>
  <c r="G66" i="1"/>
  <c r="G63" i="1"/>
  <c r="G39" i="1"/>
  <c r="G38" i="1"/>
  <c r="G8" i="1"/>
  <c r="G7" i="1" s="1"/>
  <c r="G129" i="1"/>
  <c r="G166" i="1"/>
  <c r="G130" i="1"/>
  <c r="G173" i="1"/>
  <c r="G131" i="1"/>
  <c r="G93" i="1"/>
  <c r="G86" i="1"/>
  <c r="O46" i="6"/>
  <c r="E7" i="47" s="1"/>
  <c r="E13" i="47"/>
  <c r="E4" i="47"/>
  <c r="F45" i="1"/>
  <c r="F49" i="1"/>
  <c r="F106" i="1"/>
  <c r="F129" i="1"/>
  <c r="F190" i="1"/>
  <c r="F152" i="1"/>
  <c r="F83" i="1"/>
  <c r="F213" i="1"/>
  <c r="E32" i="1"/>
  <c r="F150" i="1"/>
  <c r="F174" i="1"/>
  <c r="F16" i="1"/>
  <c r="F37" i="1"/>
  <c r="F6" i="1"/>
  <c r="F72" i="1"/>
  <c r="F66" i="1"/>
  <c r="F63" i="1"/>
  <c r="F41" i="1"/>
  <c r="F20" i="1"/>
  <c r="F86" i="1"/>
  <c r="F54" i="1"/>
  <c r="F79" i="1"/>
  <c r="F25" i="1"/>
  <c r="F39" i="1"/>
  <c r="F38" i="1" s="1"/>
  <c r="F8" i="1"/>
  <c r="F7" i="1" s="1"/>
  <c r="F173" i="1"/>
  <c r="F185" i="1"/>
  <c r="F178" i="1"/>
  <c r="F130" i="1"/>
  <c r="F131" i="1"/>
  <c r="E185" i="1"/>
  <c r="E173" i="1"/>
  <c r="F93" i="1"/>
  <c r="W4" i="6"/>
  <c r="J20" i="6"/>
  <c r="O12" i="6"/>
  <c r="O76" i="6" s="1"/>
  <c r="O10" i="6"/>
  <c r="O58" i="6" s="1"/>
  <c r="O8" i="6"/>
  <c r="O40" i="6" s="1"/>
  <c r="N20" i="6"/>
  <c r="N3" i="6"/>
  <c r="O82" i="6"/>
  <c r="E25" i="47" s="1"/>
  <c r="N70" i="6"/>
  <c r="O64" i="6"/>
  <c r="E16" i="47" s="1"/>
  <c r="N52" i="6"/>
  <c r="N34" i="6"/>
  <c r="O29" i="6"/>
  <c r="D22" i="47"/>
  <c r="D13" i="47"/>
  <c r="D4" i="47"/>
  <c r="E41" i="1"/>
  <c r="D189" i="1"/>
  <c r="D188" i="1"/>
  <c r="C189" i="1"/>
  <c r="C188" i="1"/>
  <c r="E189" i="1"/>
  <c r="E188" i="1"/>
  <c r="A17" i="2"/>
  <c r="A29" i="2" s="1"/>
  <c r="E86" i="1"/>
  <c r="D86" i="1"/>
  <c r="C86" i="1"/>
  <c r="E123" i="1"/>
  <c r="E129" i="1"/>
  <c r="O53" i="1"/>
  <c r="B53" i="1"/>
  <c r="O52" i="1"/>
  <c r="B52" i="1"/>
  <c r="E213" i="1"/>
  <c r="K12" i="6"/>
  <c r="K76" i="6" s="1"/>
  <c r="K10" i="6"/>
  <c r="K58" i="6" s="1"/>
  <c r="K8" i="6"/>
  <c r="K40" i="6" s="1"/>
  <c r="K4" i="6"/>
  <c r="K28" i="6" s="1"/>
  <c r="J70" i="6"/>
  <c r="J52" i="6"/>
  <c r="J34" i="6"/>
  <c r="K82" i="6"/>
  <c r="D25" i="47" s="1"/>
  <c r="K64" i="6"/>
  <c r="D16" i="47" s="1"/>
  <c r="K46" i="6"/>
  <c r="D7" i="47" s="1"/>
  <c r="K29" i="6"/>
  <c r="J3" i="6"/>
  <c r="M3" i="6" s="1"/>
  <c r="AD3" i="6" l="1"/>
  <c r="W96" i="6"/>
  <c r="W98" i="6" s="1"/>
  <c r="S65" i="6"/>
  <c r="S83" i="6"/>
  <c r="T4" i="6"/>
  <c r="T3" i="6"/>
  <c r="U3" i="6"/>
  <c r="P4" i="6"/>
  <c r="O28" i="6"/>
  <c r="Q3" i="6"/>
  <c r="P3" i="6"/>
  <c r="L4" i="6"/>
  <c r="L3" i="6"/>
  <c r="E159" i="1"/>
  <c r="E106" i="1"/>
  <c r="E105" i="1"/>
  <c r="E37" i="1"/>
  <c r="E6" i="1"/>
  <c r="E49" i="1"/>
  <c r="E63" i="1"/>
  <c r="E20" i="1"/>
  <c r="E16" i="1"/>
  <c r="E12" i="1"/>
  <c r="E39" i="1"/>
  <c r="E38" i="1" s="1"/>
  <c r="E8" i="1"/>
  <c r="E7" i="1" s="1"/>
  <c r="D174" i="1"/>
  <c r="C174" i="1"/>
  <c r="E174" i="1"/>
  <c r="E45" i="1"/>
  <c r="E130" i="1"/>
  <c r="E66" i="1"/>
  <c r="E131" i="1"/>
  <c r="E93" i="1"/>
  <c r="E72" i="1"/>
  <c r="D72" i="1"/>
  <c r="D131" i="1"/>
  <c r="D130" i="1"/>
  <c r="D129" i="1"/>
  <c r="B100" i="72"/>
  <c r="B15" i="54"/>
  <c r="B14" i="54"/>
  <c r="E60" i="1" l="1"/>
  <c r="B65" i="72"/>
  <c r="J119" i="72"/>
  <c r="I119" i="72"/>
  <c r="H119" i="72"/>
  <c r="G119" i="72"/>
  <c r="F119" i="72"/>
  <c r="E119" i="72"/>
  <c r="D119" i="72"/>
  <c r="O118" i="72"/>
  <c r="N118" i="72"/>
  <c r="M118" i="72"/>
  <c r="L118" i="72"/>
  <c r="K118" i="72"/>
  <c r="J118" i="72"/>
  <c r="I118" i="72"/>
  <c r="H118" i="72"/>
  <c r="G118" i="72"/>
  <c r="F118" i="72"/>
  <c r="E118" i="72"/>
  <c r="D118" i="72"/>
  <c r="J117" i="72"/>
  <c r="I117" i="72"/>
  <c r="H117" i="72"/>
  <c r="G117" i="72"/>
  <c r="F117" i="72"/>
  <c r="E117" i="72"/>
  <c r="D117" i="72"/>
  <c r="B14" i="1"/>
  <c r="O14" i="1"/>
  <c r="B22" i="1"/>
  <c r="O22" i="1"/>
  <c r="B35" i="1"/>
  <c r="O35" i="1"/>
  <c r="B43" i="1"/>
  <c r="O43" i="1"/>
  <c r="D23" i="71" l="1"/>
  <c r="E23" i="71"/>
  <c r="F23" i="71"/>
  <c r="G23" i="71"/>
  <c r="R28" i="6" s="1"/>
  <c r="H23" i="71"/>
  <c r="J28" i="6" s="1"/>
  <c r="I23" i="71"/>
  <c r="J23" i="71"/>
  <c r="K23" i="71"/>
  <c r="L23" i="71"/>
  <c r="N28" i="6" s="1"/>
  <c r="M23" i="71"/>
  <c r="N23" i="71"/>
  <c r="C23" i="71"/>
  <c r="B23" i="71" l="1"/>
  <c r="V28" i="6"/>
  <c r="D213" i="1"/>
  <c r="C213" i="1"/>
  <c r="E137" i="1"/>
  <c r="K21" i="6" s="1"/>
  <c r="F137" i="1"/>
  <c r="O21" i="6" s="1"/>
  <c r="G137" i="1"/>
  <c r="S21" i="6" s="1"/>
  <c r="H137" i="1"/>
  <c r="I137" i="1"/>
  <c r="J137" i="1"/>
  <c r="K137" i="1"/>
  <c r="L137" i="1"/>
  <c r="M137" i="1"/>
  <c r="N137" i="1"/>
  <c r="B139" i="1"/>
  <c r="B140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24" i="71" l="1"/>
  <c r="A41" i="74"/>
  <c r="A23" i="74" l="1"/>
  <c r="A24" i="74"/>
  <c r="A25" i="74"/>
  <c r="A37" i="74" s="1"/>
  <c r="A26" i="74"/>
  <c r="A27" i="74"/>
  <c r="A38" i="74" s="1"/>
  <c r="A29" i="74"/>
  <c r="A31" i="74"/>
  <c r="A22" i="74"/>
  <c r="A36" i="74" s="1"/>
  <c r="A21" i="74"/>
  <c r="A35" i="74" s="1"/>
  <c r="A20" i="74"/>
  <c r="B4" i="74"/>
  <c r="B3" i="74"/>
  <c r="B2" i="74"/>
  <c r="B6" i="74" s="1"/>
  <c r="G4" i="6"/>
  <c r="C15" i="54" s="1"/>
  <c r="D9" i="1"/>
  <c r="B9" i="1" s="1"/>
  <c r="D36" i="1"/>
  <c r="O18" i="1"/>
  <c r="D141" i="1"/>
  <c r="D137" i="1" s="1"/>
  <c r="D185" i="1"/>
  <c r="D106" i="1"/>
  <c r="G58" i="6"/>
  <c r="G40" i="6"/>
  <c r="G29" i="6"/>
  <c r="G12" i="6"/>
  <c r="G76" i="6" s="1"/>
  <c r="G10" i="6"/>
  <c r="G8" i="6"/>
  <c r="F28" i="6"/>
  <c r="F20" i="6"/>
  <c r="F3" i="6"/>
  <c r="I3" i="6" s="1"/>
  <c r="V29" i="6"/>
  <c r="Z3" i="6"/>
  <c r="D37" i="1"/>
  <c r="D6" i="1"/>
  <c r="D84" i="1"/>
  <c r="D93" i="1"/>
  <c r="D49" i="1"/>
  <c r="D70" i="1"/>
  <c r="D192" i="1"/>
  <c r="D20" i="1"/>
  <c r="D66" i="1"/>
  <c r="D63" i="1"/>
  <c r="D60" i="1" s="1"/>
  <c r="D38" i="1"/>
  <c r="D7" i="1"/>
  <c r="D16" i="1"/>
  <c r="D45" i="1"/>
  <c r="D41" i="1"/>
  <c r="D12" i="1"/>
  <c r="D32" i="1"/>
  <c r="D34" i="1"/>
  <c r="O34" i="1" s="1"/>
  <c r="D14" i="54"/>
  <c r="D30" i="1" l="1"/>
  <c r="G57" i="6" s="1"/>
  <c r="H4" i="6"/>
  <c r="G28" i="6"/>
  <c r="B5" i="74"/>
  <c r="B8" i="74" s="1"/>
  <c r="H3" i="6"/>
  <c r="B34" i="1"/>
  <c r="C196" i="72"/>
  <c r="C194" i="72"/>
  <c r="C193" i="72"/>
  <c r="C192" i="72"/>
  <c r="O190" i="72"/>
  <c r="O189" i="72"/>
  <c r="H188" i="72"/>
  <c r="G188" i="72"/>
  <c r="F188" i="72"/>
  <c r="E188" i="72"/>
  <c r="D188" i="72"/>
  <c r="C188" i="72"/>
  <c r="O188" i="72" s="1"/>
  <c r="O187" i="72"/>
  <c r="C186" i="72"/>
  <c r="A9" i="54"/>
  <c r="D3" i="54"/>
  <c r="C14" i="47" l="1"/>
  <c r="C191" i="72"/>
  <c r="C4" i="47" l="1"/>
  <c r="G46" i="6"/>
  <c r="C7" i="47" s="1"/>
  <c r="C22" i="47"/>
  <c r="G82" i="6"/>
  <c r="C25" i="47" s="1"/>
  <c r="C13" i="47"/>
  <c r="G64" i="6"/>
  <c r="C16" i="47" s="1"/>
  <c r="F27" i="47"/>
  <c r="G27" i="47"/>
  <c r="H27" i="47"/>
  <c r="I27" i="47"/>
  <c r="J27" i="47"/>
  <c r="K27" i="47"/>
  <c r="L27" i="47"/>
  <c r="M27" i="47"/>
  <c r="F18" i="47"/>
  <c r="G18" i="47"/>
  <c r="H18" i="47"/>
  <c r="I18" i="47"/>
  <c r="J18" i="47"/>
  <c r="K18" i="47"/>
  <c r="L18" i="47"/>
  <c r="M18" i="47"/>
  <c r="F9" i="47"/>
  <c r="G9" i="47"/>
  <c r="H9" i="47"/>
  <c r="I9" i="47"/>
  <c r="J9" i="47"/>
  <c r="K9" i="47"/>
  <c r="L9" i="47"/>
  <c r="M9" i="47"/>
  <c r="K4" i="2" l="1"/>
  <c r="K3" i="2"/>
  <c r="K2" i="2"/>
  <c r="B29" i="6"/>
  <c r="B28" i="6"/>
  <c r="B20" i="6"/>
  <c r="B3" i="6"/>
  <c r="D3" i="6" s="1"/>
  <c r="B179" i="72"/>
  <c r="B178" i="72"/>
  <c r="B177" i="72"/>
  <c r="B176" i="72"/>
  <c r="B175" i="72"/>
  <c r="O174" i="72"/>
  <c r="N174" i="72"/>
  <c r="M174" i="72"/>
  <c r="L174" i="72"/>
  <c r="K174" i="72"/>
  <c r="J174" i="72"/>
  <c r="I174" i="72"/>
  <c r="H174" i="72"/>
  <c r="G174" i="72"/>
  <c r="F174" i="72"/>
  <c r="E174" i="72"/>
  <c r="D174" i="72"/>
  <c r="B173" i="72"/>
  <c r="B172" i="72"/>
  <c r="B171" i="72"/>
  <c r="B170" i="72"/>
  <c r="O169" i="72"/>
  <c r="O162" i="72" s="1"/>
  <c r="B169" i="72"/>
  <c r="B168" i="72"/>
  <c r="B167" i="72"/>
  <c r="B166" i="72"/>
  <c r="B165" i="72"/>
  <c r="B164" i="72"/>
  <c r="B163" i="72"/>
  <c r="N162" i="72"/>
  <c r="M162" i="72"/>
  <c r="L162" i="72"/>
  <c r="K162" i="72"/>
  <c r="J162" i="72"/>
  <c r="I162" i="72"/>
  <c r="H162" i="72"/>
  <c r="G162" i="72"/>
  <c r="F162" i="72"/>
  <c r="E162" i="72"/>
  <c r="D162" i="72"/>
  <c r="B161" i="72"/>
  <c r="B160" i="72"/>
  <c r="B159" i="72"/>
  <c r="B158" i="72"/>
  <c r="B157" i="72"/>
  <c r="O156" i="72"/>
  <c r="N156" i="72"/>
  <c r="M156" i="72"/>
  <c r="L156" i="72"/>
  <c r="K156" i="72"/>
  <c r="J156" i="72"/>
  <c r="I156" i="72"/>
  <c r="H156" i="72"/>
  <c r="G156" i="72"/>
  <c r="F156" i="72"/>
  <c r="E156" i="72"/>
  <c r="D156" i="72"/>
  <c r="B155" i="72"/>
  <c r="B154" i="72"/>
  <c r="B153" i="72"/>
  <c r="O152" i="72"/>
  <c r="N152" i="72"/>
  <c r="M152" i="72"/>
  <c r="L152" i="72"/>
  <c r="K152" i="72"/>
  <c r="J152" i="72"/>
  <c r="I152" i="72"/>
  <c r="H152" i="72"/>
  <c r="G152" i="72"/>
  <c r="F152" i="72"/>
  <c r="E152" i="72"/>
  <c r="D152" i="72"/>
  <c r="B151" i="72"/>
  <c r="O150" i="72"/>
  <c r="O146" i="72" s="1"/>
  <c r="B150" i="72"/>
  <c r="B149" i="72"/>
  <c r="B148" i="72"/>
  <c r="B147" i="72"/>
  <c r="N146" i="72"/>
  <c r="M146" i="72"/>
  <c r="L146" i="72"/>
  <c r="K146" i="72"/>
  <c r="J146" i="72"/>
  <c r="I146" i="72"/>
  <c r="H146" i="72"/>
  <c r="G146" i="72"/>
  <c r="F146" i="72"/>
  <c r="E146" i="72"/>
  <c r="D146" i="72"/>
  <c r="B145" i="72"/>
  <c r="B144" i="72"/>
  <c r="B143" i="72"/>
  <c r="B142" i="72"/>
  <c r="B141" i="72"/>
  <c r="B140" i="72"/>
  <c r="B139" i="72"/>
  <c r="B138" i="72"/>
  <c r="B137" i="72"/>
  <c r="B136" i="72"/>
  <c r="B135" i="72"/>
  <c r="B134" i="72"/>
  <c r="B133" i="72"/>
  <c r="B132" i="72"/>
  <c r="B131" i="72"/>
  <c r="B130" i="72"/>
  <c r="O129" i="72"/>
  <c r="O193" i="72" s="1"/>
  <c r="N129" i="72"/>
  <c r="M129" i="72"/>
  <c r="L129" i="72"/>
  <c r="K129" i="72"/>
  <c r="K193" i="72" s="1"/>
  <c r="J129" i="72"/>
  <c r="J193" i="72" s="1"/>
  <c r="I129" i="72"/>
  <c r="H129" i="72"/>
  <c r="G129" i="72"/>
  <c r="F129" i="72"/>
  <c r="E129" i="72"/>
  <c r="E193" i="72" s="1"/>
  <c r="F59" i="6" s="1"/>
  <c r="D129" i="72"/>
  <c r="O128" i="72"/>
  <c r="N128" i="72"/>
  <c r="M128" i="72"/>
  <c r="L128" i="72"/>
  <c r="K128" i="72"/>
  <c r="J128" i="72"/>
  <c r="I128" i="72"/>
  <c r="H128" i="72"/>
  <c r="G128" i="72"/>
  <c r="F128" i="72"/>
  <c r="E128" i="72"/>
  <c r="D128" i="72"/>
  <c r="O127" i="72"/>
  <c r="N127" i="72"/>
  <c r="N125" i="72" s="1"/>
  <c r="M127" i="72"/>
  <c r="M125" i="72" s="1"/>
  <c r="L127" i="72"/>
  <c r="K127" i="72"/>
  <c r="K125" i="72" s="1"/>
  <c r="J127" i="72"/>
  <c r="I127" i="72"/>
  <c r="H127" i="72"/>
  <c r="G127" i="72"/>
  <c r="F127" i="72"/>
  <c r="F125" i="72" s="1"/>
  <c r="E127" i="72"/>
  <c r="E194" i="72" s="1"/>
  <c r="F77" i="6" s="1"/>
  <c r="D127" i="72"/>
  <c r="D194" i="72" s="1"/>
  <c r="B77" i="6" s="1"/>
  <c r="B126" i="72"/>
  <c r="B124" i="72"/>
  <c r="B123" i="72"/>
  <c r="O122" i="72"/>
  <c r="N122" i="72"/>
  <c r="M122" i="72"/>
  <c r="L122" i="72"/>
  <c r="K122" i="72"/>
  <c r="J122" i="72"/>
  <c r="I122" i="72"/>
  <c r="H122" i="72"/>
  <c r="G122" i="72"/>
  <c r="F122" i="72"/>
  <c r="E122" i="72"/>
  <c r="D122" i="72"/>
  <c r="J121" i="72"/>
  <c r="K121" i="72" s="1"/>
  <c r="L121" i="72" s="1"/>
  <c r="B120" i="72"/>
  <c r="J194" i="72"/>
  <c r="I194" i="72"/>
  <c r="G194" i="72"/>
  <c r="N77" i="6" s="1"/>
  <c r="F193" i="72"/>
  <c r="J59" i="6" s="1"/>
  <c r="D193" i="72"/>
  <c r="B59" i="6" s="1"/>
  <c r="M116" i="72"/>
  <c r="H116" i="72"/>
  <c r="I116" i="72" s="1"/>
  <c r="J116" i="72" s="1"/>
  <c r="K116" i="72" s="1"/>
  <c r="L116" i="72" s="1"/>
  <c r="O116" i="72" s="1"/>
  <c r="G116" i="72"/>
  <c r="F116" i="72"/>
  <c r="E116" i="72"/>
  <c r="D116" i="72"/>
  <c r="B115" i="72"/>
  <c r="B114" i="72"/>
  <c r="D113" i="72"/>
  <c r="D192" i="72" s="1"/>
  <c r="B41" i="6" s="1"/>
  <c r="B111" i="72"/>
  <c r="O110" i="72"/>
  <c r="N110" i="72"/>
  <c r="M110" i="72"/>
  <c r="L110" i="72"/>
  <c r="K110" i="72"/>
  <c r="J110" i="72"/>
  <c r="I110" i="72"/>
  <c r="H110" i="72"/>
  <c r="G110" i="72"/>
  <c r="F110" i="72"/>
  <c r="E110" i="72"/>
  <c r="D110" i="72"/>
  <c r="B109" i="72"/>
  <c r="B108" i="72"/>
  <c r="M107" i="72"/>
  <c r="N107" i="72" s="1"/>
  <c r="O107" i="72" s="1"/>
  <c r="B106" i="72"/>
  <c r="E105" i="72"/>
  <c r="B103" i="72"/>
  <c r="I102" i="72"/>
  <c r="B102" i="72" s="1"/>
  <c r="B101" i="72"/>
  <c r="M99" i="72"/>
  <c r="N99" i="72" s="1"/>
  <c r="L98" i="72"/>
  <c r="K13" i="71" s="1"/>
  <c r="K98" i="72"/>
  <c r="J13" i="71" s="1"/>
  <c r="J98" i="72"/>
  <c r="I13" i="71" s="1"/>
  <c r="H98" i="72"/>
  <c r="G13" i="71" s="1"/>
  <c r="R17" i="6" s="1"/>
  <c r="G98" i="72"/>
  <c r="F13" i="71" s="1"/>
  <c r="N17" i="6" s="1"/>
  <c r="F98" i="72"/>
  <c r="E13" i="71" s="1"/>
  <c r="J17" i="6" s="1"/>
  <c r="E98" i="72"/>
  <c r="D13" i="71" s="1"/>
  <c r="D98" i="72"/>
  <c r="C13" i="71" s="1"/>
  <c r="B97" i="72"/>
  <c r="B96" i="72"/>
  <c r="B95" i="72"/>
  <c r="B94" i="72"/>
  <c r="B93" i="72"/>
  <c r="I92" i="72"/>
  <c r="J92" i="72" s="1"/>
  <c r="K92" i="72" s="1"/>
  <c r="L92" i="72" s="1"/>
  <c r="M92" i="72" s="1"/>
  <c r="N92" i="72" s="1"/>
  <c r="O92" i="72" s="1"/>
  <c r="F91" i="72"/>
  <c r="G91" i="72" s="1"/>
  <c r="G84" i="72" s="1"/>
  <c r="B90" i="72"/>
  <c r="B89" i="72"/>
  <c r="B88" i="72"/>
  <c r="B87" i="72"/>
  <c r="B86" i="72"/>
  <c r="B85" i="72"/>
  <c r="E84" i="72"/>
  <c r="D84" i="72"/>
  <c r="B83" i="72"/>
  <c r="B82" i="72"/>
  <c r="O81" i="72"/>
  <c r="N81" i="72"/>
  <c r="M81" i="72"/>
  <c r="L81" i="72"/>
  <c r="K81" i="72"/>
  <c r="J81" i="72"/>
  <c r="I81" i="72"/>
  <c r="H81" i="72"/>
  <c r="G81" i="72"/>
  <c r="F81" i="72"/>
  <c r="E81" i="72"/>
  <c r="D81" i="72"/>
  <c r="B80" i="72"/>
  <c r="E79" i="72"/>
  <c r="F79" i="72" s="1"/>
  <c r="B78" i="72"/>
  <c r="B77" i="72"/>
  <c r="D76" i="72"/>
  <c r="H75" i="72"/>
  <c r="I75" i="72" s="1"/>
  <c r="K75" i="72" s="1"/>
  <c r="G75" i="72"/>
  <c r="F75" i="72"/>
  <c r="E75" i="72"/>
  <c r="D75" i="72"/>
  <c r="B73" i="72"/>
  <c r="B72" i="72"/>
  <c r="O71" i="72"/>
  <c r="N71" i="72"/>
  <c r="M71" i="72"/>
  <c r="L71" i="72"/>
  <c r="K71" i="72"/>
  <c r="J71" i="72"/>
  <c r="I71" i="72"/>
  <c r="H71" i="72"/>
  <c r="G71" i="72"/>
  <c r="F71" i="72"/>
  <c r="E71" i="72"/>
  <c r="D71" i="72"/>
  <c r="B70" i="72"/>
  <c r="B69" i="72"/>
  <c r="B68" i="72"/>
  <c r="B67" i="72"/>
  <c r="B66" i="72"/>
  <c r="B64" i="72"/>
  <c r="O63" i="72"/>
  <c r="N63" i="72"/>
  <c r="M63" i="72"/>
  <c r="L63" i="72"/>
  <c r="K63" i="72"/>
  <c r="J63" i="72"/>
  <c r="I63" i="72"/>
  <c r="H63" i="72"/>
  <c r="G63" i="72"/>
  <c r="F63" i="72"/>
  <c r="E63" i="72"/>
  <c r="D63" i="72"/>
  <c r="B62" i="72"/>
  <c r="E61" i="72"/>
  <c r="B61" i="72" s="1"/>
  <c r="D60" i="72"/>
  <c r="E60" i="72" s="1"/>
  <c r="B59" i="72"/>
  <c r="M58" i="72"/>
  <c r="N58" i="72" s="1"/>
  <c r="D57" i="72"/>
  <c r="E57" i="72" s="1"/>
  <c r="F57" i="72" s="1"/>
  <c r="G57" i="72" s="1"/>
  <c r="H57" i="72" s="1"/>
  <c r="I57" i="72" s="1"/>
  <c r="J57" i="72" s="1"/>
  <c r="K57" i="72" s="1"/>
  <c r="L57" i="72" s="1"/>
  <c r="M57" i="72" s="1"/>
  <c r="N57" i="72" s="1"/>
  <c r="O57" i="72" s="1"/>
  <c r="D56" i="72"/>
  <c r="E56" i="72" s="1"/>
  <c r="D55" i="72"/>
  <c r="D54" i="72"/>
  <c r="E54" i="72" s="1"/>
  <c r="B52" i="72"/>
  <c r="B51" i="72"/>
  <c r="B50" i="72"/>
  <c r="B49" i="72"/>
  <c r="B48" i="72"/>
  <c r="M47" i="72"/>
  <c r="N47" i="72" s="1"/>
  <c r="D46" i="72"/>
  <c r="D45" i="72"/>
  <c r="E45" i="72" s="1"/>
  <c r="F45" i="72" s="1"/>
  <c r="G45" i="72" s="1"/>
  <c r="H45" i="72" s="1"/>
  <c r="I45" i="72" s="1"/>
  <c r="J45" i="72" s="1"/>
  <c r="K45" i="72" s="1"/>
  <c r="L45" i="72" s="1"/>
  <c r="M45" i="72" s="1"/>
  <c r="N45" i="72" s="1"/>
  <c r="O45" i="72" s="1"/>
  <c r="B44" i="72"/>
  <c r="B43" i="72"/>
  <c r="L42" i="72"/>
  <c r="M42" i="72" s="1"/>
  <c r="N42" i="72" s="1"/>
  <c r="O42" i="72" s="1"/>
  <c r="K42" i="72"/>
  <c r="J42" i="72"/>
  <c r="I42" i="72"/>
  <c r="H42" i="72"/>
  <c r="G42" i="72"/>
  <c r="F42" i="72"/>
  <c r="E42" i="72"/>
  <c r="D42" i="72"/>
  <c r="D41" i="72"/>
  <c r="E41" i="72" s="1"/>
  <c r="F41" i="72" s="1"/>
  <c r="G41" i="72" s="1"/>
  <c r="H41" i="72" s="1"/>
  <c r="I41" i="72" s="1"/>
  <c r="J41" i="72" s="1"/>
  <c r="K41" i="72" s="1"/>
  <c r="L41" i="72" s="1"/>
  <c r="M41" i="72" s="1"/>
  <c r="N41" i="72" s="1"/>
  <c r="O41" i="72" s="1"/>
  <c r="D40" i="72"/>
  <c r="E40" i="72" s="1"/>
  <c r="F40" i="72" s="1"/>
  <c r="G40" i="72" s="1"/>
  <c r="H40" i="72" s="1"/>
  <c r="I40" i="72" s="1"/>
  <c r="J40" i="72" s="1"/>
  <c r="K40" i="72" s="1"/>
  <c r="L40" i="72" s="1"/>
  <c r="M40" i="72" s="1"/>
  <c r="N40" i="72" s="1"/>
  <c r="O40" i="72" s="1"/>
  <c r="B39" i="72"/>
  <c r="M38" i="72"/>
  <c r="N38" i="72" s="1"/>
  <c r="D37" i="72"/>
  <c r="D36" i="72"/>
  <c r="E36" i="72" s="1"/>
  <c r="F36" i="72" s="1"/>
  <c r="G36" i="72" s="1"/>
  <c r="H36" i="72" s="1"/>
  <c r="I36" i="72" s="1"/>
  <c r="J36" i="72" s="1"/>
  <c r="K36" i="72" s="1"/>
  <c r="L36" i="72" s="1"/>
  <c r="M36" i="72" s="1"/>
  <c r="N36" i="72" s="1"/>
  <c r="O36" i="72" s="1"/>
  <c r="B35" i="72"/>
  <c r="L34" i="72"/>
  <c r="M34" i="72" s="1"/>
  <c r="N34" i="72" s="1"/>
  <c r="O34" i="72" s="1"/>
  <c r="K34" i="72"/>
  <c r="J34" i="72"/>
  <c r="I34" i="72"/>
  <c r="H34" i="72"/>
  <c r="G34" i="72"/>
  <c r="F34" i="72"/>
  <c r="E34" i="72"/>
  <c r="D34" i="72"/>
  <c r="D33" i="72"/>
  <c r="D32" i="72"/>
  <c r="E32" i="72" s="1"/>
  <c r="F32" i="72" s="1"/>
  <c r="M31" i="72"/>
  <c r="N31" i="72" s="1"/>
  <c r="O31" i="72" s="1"/>
  <c r="D30" i="72"/>
  <c r="D29" i="72"/>
  <c r="E29" i="72" s="1"/>
  <c r="B27" i="72"/>
  <c r="B26" i="72"/>
  <c r="B25" i="72"/>
  <c r="B24" i="72"/>
  <c r="B23" i="72"/>
  <c r="B22" i="72"/>
  <c r="B21" i="72"/>
  <c r="B20" i="72"/>
  <c r="M19" i="72"/>
  <c r="N19" i="72" s="1"/>
  <c r="O19" i="72" s="1"/>
  <c r="D18" i="72"/>
  <c r="E18" i="72" s="1"/>
  <c r="F18" i="72" s="1"/>
  <c r="G18" i="72" s="1"/>
  <c r="H18" i="72" s="1"/>
  <c r="I18" i="72" s="1"/>
  <c r="J18" i="72" s="1"/>
  <c r="K18" i="72" s="1"/>
  <c r="L18" i="72" s="1"/>
  <c r="M18" i="72" s="1"/>
  <c r="N18" i="72" s="1"/>
  <c r="O18" i="72" s="1"/>
  <c r="D17" i="72"/>
  <c r="B16" i="72"/>
  <c r="B15" i="72"/>
  <c r="E14" i="72"/>
  <c r="F14" i="72" s="1"/>
  <c r="G14" i="72" s="1"/>
  <c r="H14" i="72" s="1"/>
  <c r="I14" i="72" s="1"/>
  <c r="J14" i="72" s="1"/>
  <c r="K14" i="72" s="1"/>
  <c r="L14" i="72" s="1"/>
  <c r="M14" i="72" s="1"/>
  <c r="N14" i="72" s="1"/>
  <c r="O14" i="72" s="1"/>
  <c r="D13" i="72"/>
  <c r="E13" i="72" s="1"/>
  <c r="F13" i="72" s="1"/>
  <c r="G13" i="72" s="1"/>
  <c r="H13" i="72" s="1"/>
  <c r="I13" i="72" s="1"/>
  <c r="J13" i="72" s="1"/>
  <c r="K13" i="72" s="1"/>
  <c r="L13" i="72" s="1"/>
  <c r="M13" i="72" s="1"/>
  <c r="D12" i="72"/>
  <c r="D11" i="72"/>
  <c r="E11" i="72" s="1"/>
  <c r="D10" i="72"/>
  <c r="D9" i="72"/>
  <c r="E9" i="72" s="1"/>
  <c r="F9" i="72" s="1"/>
  <c r="G9" i="72" s="1"/>
  <c r="H9" i="72" s="1"/>
  <c r="I9" i="72" s="1"/>
  <c r="J9" i="72" s="1"/>
  <c r="K9" i="72" s="1"/>
  <c r="L9" i="72" s="1"/>
  <c r="M9" i="72" s="1"/>
  <c r="N9" i="72" s="1"/>
  <c r="O9" i="72" s="1"/>
  <c r="E8" i="72"/>
  <c r="F8" i="72" s="1"/>
  <c r="G8" i="72" s="1"/>
  <c r="H8" i="72" s="1"/>
  <c r="I8" i="72" s="1"/>
  <c r="J8" i="72" s="1"/>
  <c r="K8" i="72" s="1"/>
  <c r="L8" i="72" s="1"/>
  <c r="M8" i="72" s="1"/>
  <c r="D7" i="72"/>
  <c r="E7" i="72" s="1"/>
  <c r="F7" i="72" s="1"/>
  <c r="G7" i="72" s="1"/>
  <c r="H7" i="72" s="1"/>
  <c r="I7" i="72" s="1"/>
  <c r="J7" i="72" s="1"/>
  <c r="K7" i="72" s="1"/>
  <c r="L7" i="72" s="1"/>
  <c r="M7" i="72" s="1"/>
  <c r="N7" i="72" s="1"/>
  <c r="O7" i="72" s="1"/>
  <c r="D6" i="72"/>
  <c r="E6" i="72" s="1"/>
  <c r="B4" i="72"/>
  <c r="B3" i="72"/>
  <c r="N137" i="71"/>
  <c r="M137" i="71"/>
  <c r="L137" i="71"/>
  <c r="K137" i="71"/>
  <c r="J137" i="71"/>
  <c r="I137" i="71"/>
  <c r="H137" i="71"/>
  <c r="G137" i="71"/>
  <c r="F137" i="71"/>
  <c r="E137" i="71"/>
  <c r="D137" i="71"/>
  <c r="B137" i="71"/>
  <c r="N96" i="71"/>
  <c r="M96" i="71"/>
  <c r="L96" i="71"/>
  <c r="K96" i="71"/>
  <c r="J96" i="71"/>
  <c r="I96" i="71"/>
  <c r="H96" i="71"/>
  <c r="G96" i="71"/>
  <c r="F96" i="71"/>
  <c r="E96" i="71"/>
  <c r="D96" i="71"/>
  <c r="B96" i="71"/>
  <c r="A19" i="71"/>
  <c r="A30" i="74" s="1"/>
  <c r="B16" i="71"/>
  <c r="V20" i="6" s="1"/>
  <c r="B3" i="71"/>
  <c r="B162" i="72" l="1"/>
  <c r="V3" i="6"/>
  <c r="B20" i="74"/>
  <c r="B174" i="72"/>
  <c r="O125" i="72"/>
  <c r="F194" i="72"/>
  <c r="J77" i="6" s="1"/>
  <c r="M98" i="72"/>
  <c r="L13" i="71" s="1"/>
  <c r="B152" i="72"/>
  <c r="I98" i="72"/>
  <c r="H13" i="71" s="1"/>
  <c r="E104" i="72"/>
  <c r="B129" i="72"/>
  <c r="B156" i="72"/>
  <c r="H193" i="72"/>
  <c r="D125" i="72"/>
  <c r="G193" i="72"/>
  <c r="N59" i="6" s="1"/>
  <c r="H194" i="72"/>
  <c r="B110" i="72"/>
  <c r="I193" i="72"/>
  <c r="G125" i="72"/>
  <c r="F104" i="72"/>
  <c r="E14" i="71" s="1"/>
  <c r="J18" i="6" s="1"/>
  <c r="B146" i="72"/>
  <c r="E113" i="72"/>
  <c r="E192" i="72" s="1"/>
  <c r="F41" i="6" s="1"/>
  <c r="I125" i="72"/>
  <c r="H125" i="72"/>
  <c r="M193" i="72"/>
  <c r="L193" i="72"/>
  <c r="J125" i="72"/>
  <c r="D53" i="72"/>
  <c r="D201" i="72" s="1"/>
  <c r="D104" i="72"/>
  <c r="N193" i="72"/>
  <c r="L125" i="72"/>
  <c r="A3" i="2"/>
  <c r="A15" i="2" s="1"/>
  <c r="A27" i="2" s="1"/>
  <c r="A9" i="2"/>
  <c r="A21" i="2" s="1"/>
  <c r="A2" i="2"/>
  <c r="A14" i="2" s="1"/>
  <c r="A26" i="2" s="1"/>
  <c r="A8" i="2"/>
  <c r="A20" i="2" s="1"/>
  <c r="A4" i="2"/>
  <c r="A16" i="2" s="1"/>
  <c r="A28" i="2" s="1"/>
  <c r="A10" i="2"/>
  <c r="A22" i="2" s="1"/>
  <c r="O58" i="72"/>
  <c r="B58" i="72" s="1"/>
  <c r="O99" i="72"/>
  <c r="O98" i="72" s="1"/>
  <c r="N13" i="71" s="1"/>
  <c r="N98" i="72"/>
  <c r="M13" i="71" s="1"/>
  <c r="D191" i="72"/>
  <c r="H91" i="72"/>
  <c r="I91" i="72" s="1"/>
  <c r="D28" i="72"/>
  <c r="D200" i="72" s="1"/>
  <c r="N13" i="72"/>
  <c r="O13" i="72" s="1"/>
  <c r="L75" i="72"/>
  <c r="F11" i="72"/>
  <c r="G11" i="72" s="1"/>
  <c r="H11" i="72" s="1"/>
  <c r="I11" i="72" s="1"/>
  <c r="J11" i="72" s="1"/>
  <c r="K11" i="72" s="1"/>
  <c r="L11" i="72" s="1"/>
  <c r="M11" i="72" s="1"/>
  <c r="N11" i="72" s="1"/>
  <c r="O11" i="72" s="1"/>
  <c r="E55" i="72"/>
  <c r="F55" i="72" s="1"/>
  <c r="G55" i="72" s="1"/>
  <c r="H55" i="72" s="1"/>
  <c r="I55" i="72" s="1"/>
  <c r="J55" i="72" s="1"/>
  <c r="K55" i="72" s="1"/>
  <c r="L55" i="72" s="1"/>
  <c r="M55" i="72" s="1"/>
  <c r="N55" i="72" s="1"/>
  <c r="O55" i="72" s="1"/>
  <c r="F29" i="72"/>
  <c r="O38" i="72"/>
  <c r="B38" i="72" s="1"/>
  <c r="O47" i="72"/>
  <c r="B47" i="72" s="1"/>
  <c r="B81" i="72"/>
  <c r="B9" i="72"/>
  <c r="B18" i="72"/>
  <c r="B31" i="72"/>
  <c r="B34" i="72"/>
  <c r="G32" i="72"/>
  <c r="H32" i="72" s="1"/>
  <c r="I32" i="72" s="1"/>
  <c r="J32" i="72" s="1"/>
  <c r="K32" i="72" s="1"/>
  <c r="L32" i="72" s="1"/>
  <c r="M32" i="72" s="1"/>
  <c r="N32" i="72" s="1"/>
  <c r="O32" i="72" s="1"/>
  <c r="E10" i="72"/>
  <c r="F10" i="72" s="1"/>
  <c r="G10" i="72" s="1"/>
  <c r="H10" i="72" s="1"/>
  <c r="I10" i="72" s="1"/>
  <c r="J10" i="72" s="1"/>
  <c r="K10" i="72" s="1"/>
  <c r="L10" i="72" s="1"/>
  <c r="M10" i="72" s="1"/>
  <c r="N10" i="72" s="1"/>
  <c r="O10" i="72" s="1"/>
  <c r="F6" i="72"/>
  <c r="B42" i="72"/>
  <c r="B63" i="72"/>
  <c r="N116" i="72"/>
  <c r="B116" i="72" s="1"/>
  <c r="M121" i="72"/>
  <c r="N121" i="72" s="1"/>
  <c r="O121" i="72" s="1"/>
  <c r="E12" i="72"/>
  <c r="F12" i="72" s="1"/>
  <c r="G12" i="72" s="1"/>
  <c r="H12" i="72" s="1"/>
  <c r="I12" i="72" s="1"/>
  <c r="J12" i="72" s="1"/>
  <c r="K12" i="72" s="1"/>
  <c r="L12" i="72" s="1"/>
  <c r="M12" i="72" s="1"/>
  <c r="N12" i="72" s="1"/>
  <c r="O12" i="72" s="1"/>
  <c r="E33" i="72"/>
  <c r="F33" i="72" s="1"/>
  <c r="G33" i="72" s="1"/>
  <c r="H33" i="72" s="1"/>
  <c r="I33" i="72" s="1"/>
  <c r="J33" i="72" s="1"/>
  <c r="K33" i="72" s="1"/>
  <c r="L33" i="72" s="1"/>
  <c r="M33" i="72" s="1"/>
  <c r="N33" i="72" s="1"/>
  <c r="O33" i="72" s="1"/>
  <c r="E46" i="72"/>
  <c r="F46" i="72" s="1"/>
  <c r="G46" i="72" s="1"/>
  <c r="H46" i="72" s="1"/>
  <c r="I46" i="72" s="1"/>
  <c r="J46" i="72" s="1"/>
  <c r="K46" i="72" s="1"/>
  <c r="L46" i="72" s="1"/>
  <c r="M46" i="72" s="1"/>
  <c r="N46" i="72" s="1"/>
  <c r="O46" i="72" s="1"/>
  <c r="F56" i="72"/>
  <c r="G56" i="72" s="1"/>
  <c r="H56" i="72" s="1"/>
  <c r="I56" i="72" s="1"/>
  <c r="J56" i="72" s="1"/>
  <c r="K56" i="72" s="1"/>
  <c r="L56" i="72" s="1"/>
  <c r="M56" i="72" s="1"/>
  <c r="N56" i="72" s="1"/>
  <c r="O56" i="72" s="1"/>
  <c r="D5" i="72"/>
  <c r="B8" i="72"/>
  <c r="B36" i="72"/>
  <c r="G79" i="72"/>
  <c r="H79" i="72" s="1"/>
  <c r="I79" i="72" s="1"/>
  <c r="J79" i="72" s="1"/>
  <c r="K79" i="72" s="1"/>
  <c r="L79" i="72" s="1"/>
  <c r="M79" i="72" s="1"/>
  <c r="N79" i="72" s="1"/>
  <c r="O79" i="72" s="1"/>
  <c r="B92" i="72"/>
  <c r="B122" i="72"/>
  <c r="B127" i="72"/>
  <c r="E125" i="72"/>
  <c r="B45" i="72"/>
  <c r="E37" i="72"/>
  <c r="F37" i="72" s="1"/>
  <c r="G37" i="72" s="1"/>
  <c r="H37" i="72" s="1"/>
  <c r="I37" i="72" s="1"/>
  <c r="J37" i="72" s="1"/>
  <c r="K37" i="72" s="1"/>
  <c r="L37" i="72" s="1"/>
  <c r="M37" i="72" s="1"/>
  <c r="N37" i="72" s="1"/>
  <c r="O37" i="72" s="1"/>
  <c r="J75" i="72"/>
  <c r="B118" i="72"/>
  <c r="D112" i="72"/>
  <c r="E17" i="72"/>
  <c r="F17" i="72" s="1"/>
  <c r="G17" i="72" s="1"/>
  <c r="H17" i="72" s="1"/>
  <c r="I17" i="72" s="1"/>
  <c r="J17" i="72" s="1"/>
  <c r="K17" i="72" s="1"/>
  <c r="L17" i="72" s="1"/>
  <c r="M17" i="72" s="1"/>
  <c r="N17" i="72" s="1"/>
  <c r="O17" i="72" s="1"/>
  <c r="E30" i="72"/>
  <c r="F30" i="72" s="1"/>
  <c r="G30" i="72" s="1"/>
  <c r="H30" i="72" s="1"/>
  <c r="I30" i="72" s="1"/>
  <c r="J30" i="72" s="1"/>
  <c r="K30" i="72" s="1"/>
  <c r="L30" i="72" s="1"/>
  <c r="M30" i="72" s="1"/>
  <c r="N30" i="72" s="1"/>
  <c r="O30" i="72" s="1"/>
  <c r="B41" i="72"/>
  <c r="B71" i="72"/>
  <c r="E76" i="72"/>
  <c r="F76" i="72" s="1"/>
  <c r="D74" i="72"/>
  <c r="B40" i="72"/>
  <c r="B57" i="72"/>
  <c r="B128" i="72"/>
  <c r="B7" i="72"/>
  <c r="B14" i="72"/>
  <c r="B19" i="72"/>
  <c r="B60" i="72"/>
  <c r="F84" i="72"/>
  <c r="B107" i="72"/>
  <c r="F54" i="72"/>
  <c r="V72" i="6" l="1"/>
  <c r="V82" i="6" s="1"/>
  <c r="V54" i="6"/>
  <c r="V64" i="6" s="1"/>
  <c r="V36" i="6"/>
  <c r="V46" i="6" s="1"/>
  <c r="B121" i="72"/>
  <c r="B17" i="72"/>
  <c r="G105" i="72"/>
  <c r="G104" i="72" s="1"/>
  <c r="F14" i="71" s="1"/>
  <c r="N18" i="6" s="1"/>
  <c r="E112" i="72"/>
  <c r="F113" i="72"/>
  <c r="F112" i="72" s="1"/>
  <c r="B125" i="72"/>
  <c r="B193" i="72"/>
  <c r="V59" i="6" s="1"/>
  <c r="D180" i="72"/>
  <c r="D199" i="72"/>
  <c r="E191" i="72"/>
  <c r="H84" i="72"/>
  <c r="B99" i="72"/>
  <c r="B98" i="72" s="1"/>
  <c r="E74" i="72"/>
  <c r="B46" i="72"/>
  <c r="D186" i="72"/>
  <c r="B79" i="72"/>
  <c r="B11" i="72"/>
  <c r="B56" i="72"/>
  <c r="G76" i="72"/>
  <c r="F74" i="72"/>
  <c r="B12" i="72"/>
  <c r="J91" i="72"/>
  <c r="I84" i="72"/>
  <c r="B10" i="72"/>
  <c r="B55" i="72"/>
  <c r="B33" i="72"/>
  <c r="E28" i="72"/>
  <c r="E200" i="72" s="1"/>
  <c r="B32" i="72"/>
  <c r="B37" i="72"/>
  <c r="F53" i="72"/>
  <c r="F201" i="72" s="1"/>
  <c r="G54" i="72"/>
  <c r="M75" i="72"/>
  <c r="H105" i="72"/>
  <c r="F5" i="72"/>
  <c r="F199" i="72" s="1"/>
  <c r="G6" i="72"/>
  <c r="F28" i="72"/>
  <c r="F200" i="72" s="1"/>
  <c r="G29" i="72"/>
  <c r="B30" i="72"/>
  <c r="E53" i="72"/>
  <c r="E201" i="72" s="1"/>
  <c r="E5" i="72"/>
  <c r="E199" i="72" s="1"/>
  <c r="B13" i="72"/>
  <c r="F202" i="72" l="1"/>
  <c r="E186" i="72"/>
  <c r="D196" i="72"/>
  <c r="G113" i="72"/>
  <c r="G192" i="72" s="1"/>
  <c r="E202" i="72"/>
  <c r="D202" i="72"/>
  <c r="D204" i="72" s="1"/>
  <c r="D205" i="72" s="1"/>
  <c r="F192" i="72"/>
  <c r="E196" i="72"/>
  <c r="F186" i="72"/>
  <c r="I105" i="72"/>
  <c r="H104" i="72"/>
  <c r="G14" i="71" s="1"/>
  <c r="R18" i="6" s="1"/>
  <c r="G28" i="72"/>
  <c r="G200" i="72" s="1"/>
  <c r="H29" i="72"/>
  <c r="J84" i="72"/>
  <c r="K91" i="72"/>
  <c r="N75" i="72"/>
  <c r="G5" i="72"/>
  <c r="G199" i="72" s="1"/>
  <c r="H6" i="72"/>
  <c r="H54" i="72"/>
  <c r="G53" i="72"/>
  <c r="G201" i="72" s="1"/>
  <c r="E180" i="72"/>
  <c r="F180" i="72"/>
  <c r="H76" i="72"/>
  <c r="G74" i="72"/>
  <c r="E204" i="72" l="1"/>
  <c r="E205" i="72" s="1"/>
  <c r="G202" i="72"/>
  <c r="G191" i="72"/>
  <c r="N41" i="6"/>
  <c r="F191" i="72"/>
  <c r="J41" i="6"/>
  <c r="H113" i="72"/>
  <c r="G112" i="72"/>
  <c r="G186" i="72" s="1"/>
  <c r="G196" i="72" s="1"/>
  <c r="F196" i="72"/>
  <c r="I6" i="72"/>
  <c r="H5" i="72"/>
  <c r="H199" i="72" s="1"/>
  <c r="O75" i="72"/>
  <c r="B75" i="72" s="1"/>
  <c r="H28" i="72"/>
  <c r="H200" i="72" s="1"/>
  <c r="I29" i="72"/>
  <c r="L91" i="72"/>
  <c r="K84" i="72"/>
  <c r="H53" i="72"/>
  <c r="H201" i="72" s="1"/>
  <c r="I54" i="72"/>
  <c r="I76" i="72"/>
  <c r="H74" i="72"/>
  <c r="I104" i="72"/>
  <c r="H14" i="71" s="1"/>
  <c r="J105" i="72"/>
  <c r="H112" i="72" l="1"/>
  <c r="H186" i="72" s="1"/>
  <c r="H192" i="72"/>
  <c r="G180" i="72"/>
  <c r="I113" i="72"/>
  <c r="I192" i="72" s="1"/>
  <c r="I191" i="72" s="1"/>
  <c r="I5" i="72"/>
  <c r="I199" i="72" s="1"/>
  <c r="J6" i="72"/>
  <c r="I53" i="72"/>
  <c r="I201" i="72" s="1"/>
  <c r="J54" i="72"/>
  <c r="I28" i="72"/>
  <c r="I200" i="72" s="1"/>
  <c r="J29" i="72"/>
  <c r="K105" i="72"/>
  <c r="J104" i="72"/>
  <c r="I14" i="71" s="1"/>
  <c r="M91" i="72"/>
  <c r="L84" i="72"/>
  <c r="J76" i="72"/>
  <c r="I74" i="72"/>
  <c r="H191" i="72" l="1"/>
  <c r="R41" i="6"/>
  <c r="W41" i="6" s="1"/>
  <c r="H180" i="72"/>
  <c r="J113" i="72"/>
  <c r="K113" i="72" s="1"/>
  <c r="I112" i="72"/>
  <c r="I180" i="72" s="1"/>
  <c r="I186" i="72"/>
  <c r="H196" i="72"/>
  <c r="J192" i="72"/>
  <c r="J191" i="72" s="1"/>
  <c r="N91" i="72"/>
  <c r="M84" i="72"/>
  <c r="K104" i="72"/>
  <c r="J14" i="71" s="1"/>
  <c r="L105" i="72"/>
  <c r="K6" i="72"/>
  <c r="J5" i="72"/>
  <c r="J199" i="72" s="1"/>
  <c r="K54" i="72"/>
  <c r="J53" i="72"/>
  <c r="J201" i="72" s="1"/>
  <c r="K76" i="72"/>
  <c r="J74" i="72"/>
  <c r="K29" i="72"/>
  <c r="J28" i="72"/>
  <c r="J200" i="72" s="1"/>
  <c r="J112" i="72" l="1"/>
  <c r="J186" i="72" s="1"/>
  <c r="I196" i="72"/>
  <c r="J180" i="72"/>
  <c r="L113" i="72"/>
  <c r="K28" i="72"/>
  <c r="K200" i="72" s="1"/>
  <c r="L29" i="72"/>
  <c r="L6" i="72"/>
  <c r="K5" i="72"/>
  <c r="K199" i="72" s="1"/>
  <c r="O91" i="72"/>
  <c r="N84" i="72"/>
  <c r="L76" i="72"/>
  <c r="K74" i="72"/>
  <c r="M105" i="72"/>
  <c r="L104" i="72"/>
  <c r="K14" i="71" s="1"/>
  <c r="K53" i="72"/>
  <c r="K201" i="72" s="1"/>
  <c r="L54" i="72"/>
  <c r="J196" i="72" l="1"/>
  <c r="M104" i="72"/>
  <c r="L14" i="71" s="1"/>
  <c r="N105" i="72"/>
  <c r="L28" i="72"/>
  <c r="L200" i="72" s="1"/>
  <c r="M29" i="72"/>
  <c r="M76" i="72"/>
  <c r="L74" i="72"/>
  <c r="M54" i="72"/>
  <c r="L53" i="72"/>
  <c r="L201" i="72" s="1"/>
  <c r="O84" i="72"/>
  <c r="B84" i="72" s="1"/>
  <c r="B91" i="72"/>
  <c r="M6" i="72"/>
  <c r="L5" i="72"/>
  <c r="L199" i="72" s="1"/>
  <c r="M113" i="72"/>
  <c r="M5" i="72" l="1"/>
  <c r="M199" i="72" s="1"/>
  <c r="N6" i="72"/>
  <c r="N113" i="72"/>
  <c r="M53" i="72"/>
  <c r="M201" i="72" s="1"/>
  <c r="N54" i="72"/>
  <c r="N76" i="72"/>
  <c r="M74" i="72"/>
  <c r="N29" i="72"/>
  <c r="M28" i="72"/>
  <c r="M200" i="72" s="1"/>
  <c r="N104" i="72"/>
  <c r="M14" i="71" s="1"/>
  <c r="O105" i="72"/>
  <c r="O76" i="72" l="1"/>
  <c r="N74" i="72"/>
  <c r="O104" i="72"/>
  <c r="N14" i="71" s="1"/>
  <c r="B105" i="72"/>
  <c r="B104" i="72" s="1"/>
  <c r="O54" i="72"/>
  <c r="N53" i="72"/>
  <c r="N201" i="72" s="1"/>
  <c r="O113" i="72"/>
  <c r="N28" i="72"/>
  <c r="N200" i="72" s="1"/>
  <c r="O29" i="72"/>
  <c r="N5" i="72"/>
  <c r="N199" i="72" s="1"/>
  <c r="O6" i="72"/>
  <c r="O5" i="72" s="1"/>
  <c r="O199" i="72" s="1"/>
  <c r="B6" i="72" l="1"/>
  <c r="B199" i="72"/>
  <c r="O74" i="72"/>
  <c r="B76" i="72"/>
  <c r="B113" i="72"/>
  <c r="B5" i="72"/>
  <c r="O28" i="72"/>
  <c r="B29" i="72"/>
  <c r="O53" i="72"/>
  <c r="B54" i="72"/>
  <c r="B28" i="72" l="1"/>
  <c r="O200" i="72"/>
  <c r="B200" i="72" s="1"/>
  <c r="B53" i="72"/>
  <c r="O201" i="72"/>
  <c r="B201" i="72" s="1"/>
  <c r="B74" i="72"/>
  <c r="B202" i="72" l="1"/>
  <c r="O51" i="1"/>
  <c r="B51" i="1"/>
  <c r="C37" i="1"/>
  <c r="C6" i="1"/>
  <c r="C185" i="1"/>
  <c r="C141" i="1"/>
  <c r="C106" i="1"/>
  <c r="B18" i="1"/>
  <c r="C173" i="1"/>
  <c r="B174" i="1"/>
  <c r="C123" i="1"/>
  <c r="C25" i="1"/>
  <c r="C54" i="1"/>
  <c r="C79" i="1"/>
  <c r="B108" i="1"/>
  <c r="C93" i="1"/>
  <c r="B178" i="1"/>
  <c r="B177" i="1"/>
  <c r="B176" i="1"/>
  <c r="B175" i="1"/>
  <c r="B172" i="1"/>
  <c r="B120" i="1"/>
  <c r="C66" i="1"/>
  <c r="C63" i="1"/>
  <c r="B63" i="1" s="1"/>
  <c r="C70" i="1"/>
  <c r="B70" i="1" s="1"/>
  <c r="B64" i="1"/>
  <c r="B69" i="1"/>
  <c r="B71" i="1"/>
  <c r="B61" i="1"/>
  <c r="B62" i="1"/>
  <c r="C72" i="1"/>
  <c r="C49" i="1"/>
  <c r="C20" i="1"/>
  <c r="C45" i="1"/>
  <c r="C16" i="1"/>
  <c r="C41" i="1"/>
  <c r="C12" i="1"/>
  <c r="C7" i="1"/>
  <c r="C193" i="1"/>
  <c r="C38" i="1"/>
  <c r="C32" i="1"/>
  <c r="C30" i="1" s="1"/>
  <c r="C57" i="6" s="1"/>
  <c r="C210" i="1" l="1"/>
  <c r="B141" i="1"/>
  <c r="C137" i="1"/>
  <c r="C5" i="1"/>
  <c r="C60" i="1"/>
  <c r="X64" i="6" l="1"/>
  <c r="B13" i="47"/>
  <c r="B3" i="2"/>
  <c r="B4" i="2"/>
  <c r="C211" i="1"/>
  <c r="C209" i="1"/>
  <c r="B2" i="2"/>
  <c r="C84" i="1"/>
  <c r="B84" i="1" s="1"/>
  <c r="B170" i="1"/>
  <c r="B173" i="1"/>
  <c r="C129" i="1"/>
  <c r="B129" i="1" s="1"/>
  <c r="C130" i="1"/>
  <c r="C205" i="1" s="1"/>
  <c r="C85" i="1"/>
  <c r="A20" i="6"/>
  <c r="C20" i="6"/>
  <c r="C12" i="6"/>
  <c r="C10" i="6"/>
  <c r="C9" i="6"/>
  <c r="C7" i="6"/>
  <c r="C8" i="6"/>
  <c r="C4" i="6"/>
  <c r="D204" i="1"/>
  <c r="G41" i="6" s="1"/>
  <c r="E204" i="1"/>
  <c r="K41" i="6" s="1"/>
  <c r="F204" i="1"/>
  <c r="O41" i="6" s="1"/>
  <c r="G204" i="1"/>
  <c r="H204" i="1"/>
  <c r="I204" i="1"/>
  <c r="J204" i="1"/>
  <c r="K204" i="1"/>
  <c r="L204" i="1"/>
  <c r="M204" i="1"/>
  <c r="N204" i="1"/>
  <c r="D205" i="1"/>
  <c r="G59" i="6" s="1"/>
  <c r="E205" i="1"/>
  <c r="K59" i="6" s="1"/>
  <c r="F205" i="1"/>
  <c r="O59" i="6" s="1"/>
  <c r="G205" i="1"/>
  <c r="H205" i="1"/>
  <c r="I205" i="1"/>
  <c r="J205" i="1"/>
  <c r="K205" i="1"/>
  <c r="L205" i="1"/>
  <c r="M205" i="1"/>
  <c r="N205" i="1"/>
  <c r="D206" i="1"/>
  <c r="G77" i="6" s="1"/>
  <c r="E206" i="1"/>
  <c r="K77" i="6" s="1"/>
  <c r="F206" i="1"/>
  <c r="O77" i="6" s="1"/>
  <c r="H206" i="1"/>
  <c r="I206" i="1"/>
  <c r="J206" i="1"/>
  <c r="K206" i="1"/>
  <c r="L206" i="1"/>
  <c r="M206" i="1"/>
  <c r="N206" i="1"/>
  <c r="C206" i="1"/>
  <c r="O88" i="1"/>
  <c r="B88" i="1"/>
  <c r="B136" i="1"/>
  <c r="B135" i="1"/>
  <c r="O134" i="1"/>
  <c r="N134" i="1"/>
  <c r="M134" i="1"/>
  <c r="L134" i="1"/>
  <c r="K134" i="1"/>
  <c r="J134" i="1"/>
  <c r="I134" i="1"/>
  <c r="H134" i="1"/>
  <c r="G134" i="1"/>
  <c r="S20" i="6" s="1"/>
  <c r="T20" i="6" s="1"/>
  <c r="F134" i="1"/>
  <c r="O20" i="6" s="1"/>
  <c r="P20" i="6" s="1"/>
  <c r="E134" i="1"/>
  <c r="K20" i="6" s="1"/>
  <c r="L20" i="6" s="1"/>
  <c r="D134" i="1"/>
  <c r="G20" i="6" s="1"/>
  <c r="H20" i="6" s="1"/>
  <c r="A22" i="6"/>
  <c r="B193" i="1"/>
  <c r="B194" i="1"/>
  <c r="B195" i="1"/>
  <c r="B192" i="1"/>
  <c r="B182" i="1"/>
  <c r="B183" i="1"/>
  <c r="B184" i="1"/>
  <c r="B185" i="1"/>
  <c r="B186" i="1"/>
  <c r="B187" i="1"/>
  <c r="B188" i="1"/>
  <c r="B189" i="1"/>
  <c r="B190" i="1"/>
  <c r="B181" i="1"/>
  <c r="B167" i="1"/>
  <c r="B165" i="1"/>
  <c r="D158" i="1"/>
  <c r="G23" i="6" s="1"/>
  <c r="E158" i="1"/>
  <c r="K23" i="6" s="1"/>
  <c r="F158" i="1"/>
  <c r="O23" i="6" s="1"/>
  <c r="G158" i="1"/>
  <c r="S23" i="6" s="1"/>
  <c r="H158" i="1"/>
  <c r="I158" i="1"/>
  <c r="J158" i="1"/>
  <c r="K158" i="1"/>
  <c r="L158" i="1"/>
  <c r="M158" i="1"/>
  <c r="N158" i="1"/>
  <c r="C158" i="1"/>
  <c r="C23" i="6" s="1"/>
  <c r="B159" i="1"/>
  <c r="B160" i="1"/>
  <c r="B161" i="1"/>
  <c r="B162" i="1"/>
  <c r="B163" i="1"/>
  <c r="B138" i="1"/>
  <c r="B126" i="1"/>
  <c r="B127" i="1"/>
  <c r="B128" i="1"/>
  <c r="B131" i="1"/>
  <c r="B132" i="1"/>
  <c r="B133" i="1"/>
  <c r="B125" i="1"/>
  <c r="B117" i="1"/>
  <c r="B118" i="1"/>
  <c r="B119" i="1"/>
  <c r="B122" i="1"/>
  <c r="B123" i="1"/>
  <c r="B121" i="1"/>
  <c r="B113" i="1"/>
  <c r="B114" i="1"/>
  <c r="B115" i="1"/>
  <c r="B112" i="1"/>
  <c r="B111" i="1"/>
  <c r="B97" i="1"/>
  <c r="B98" i="1"/>
  <c r="B99" i="1"/>
  <c r="B100" i="1"/>
  <c r="B106" i="1"/>
  <c r="B101" i="1"/>
  <c r="B102" i="1"/>
  <c r="B103" i="1"/>
  <c r="B104" i="1"/>
  <c r="B105" i="1"/>
  <c r="B107" i="1"/>
  <c r="B109" i="1"/>
  <c r="B96" i="1"/>
  <c r="B94" i="1"/>
  <c r="B93" i="1"/>
  <c r="B87" i="1"/>
  <c r="B89" i="1"/>
  <c r="B90" i="1"/>
  <c r="B91" i="1"/>
  <c r="B86" i="1"/>
  <c r="B83" i="1"/>
  <c r="B73" i="1"/>
  <c r="B66" i="1"/>
  <c r="B67" i="1"/>
  <c r="B65" i="1"/>
  <c r="B68" i="1"/>
  <c r="B77" i="1"/>
  <c r="B78" i="1"/>
  <c r="B79" i="1"/>
  <c r="B80" i="1"/>
  <c r="B81" i="1"/>
  <c r="B72" i="1"/>
  <c r="B50" i="1"/>
  <c r="B48" i="1"/>
  <c r="B38" i="1"/>
  <c r="B39" i="1"/>
  <c r="B37" i="1"/>
  <c r="B36" i="1"/>
  <c r="B41" i="1"/>
  <c r="B42" i="1"/>
  <c r="B40" i="1"/>
  <c r="B45" i="1"/>
  <c r="B46" i="1"/>
  <c r="B44" i="1"/>
  <c r="B47" i="1"/>
  <c r="B32" i="1"/>
  <c r="B33" i="1"/>
  <c r="B31" i="1"/>
  <c r="B54" i="1"/>
  <c r="B55" i="1"/>
  <c r="B56" i="1"/>
  <c r="B57" i="1"/>
  <c r="B58" i="1"/>
  <c r="B59" i="1"/>
  <c r="B49" i="1"/>
  <c r="B17" i="1"/>
  <c r="B15" i="1"/>
  <c r="B7" i="1"/>
  <c r="B8" i="1"/>
  <c r="B6" i="1"/>
  <c r="B12" i="1"/>
  <c r="B13" i="1"/>
  <c r="B10" i="1"/>
  <c r="B11" i="1"/>
  <c r="B20" i="1"/>
  <c r="B21" i="1"/>
  <c r="B19" i="1"/>
  <c r="B23" i="1"/>
  <c r="B24" i="1"/>
  <c r="B25" i="1"/>
  <c r="B26" i="1"/>
  <c r="B27" i="1"/>
  <c r="B16" i="1"/>
  <c r="B28" i="1"/>
  <c r="B29" i="1"/>
  <c r="C89" i="6" l="1"/>
  <c r="C91" i="6" s="1"/>
  <c r="C92" i="6" s="1"/>
  <c r="U59" i="6"/>
  <c r="T59" i="6"/>
  <c r="Q41" i="6"/>
  <c r="P41" i="6"/>
  <c r="Q59" i="6"/>
  <c r="P59" i="6"/>
  <c r="Q77" i="6"/>
  <c r="P77" i="6"/>
  <c r="B4" i="47"/>
  <c r="C46" i="6"/>
  <c r="X46" i="6"/>
  <c r="B22" i="47"/>
  <c r="L41" i="6"/>
  <c r="M41" i="6"/>
  <c r="C28" i="6"/>
  <c r="L59" i="6"/>
  <c r="M59" i="6"/>
  <c r="M77" i="6"/>
  <c r="L77" i="6"/>
  <c r="B30" i="1"/>
  <c r="C212" i="1"/>
  <c r="X12" i="6"/>
  <c r="Y12" i="6" s="1"/>
  <c r="X10" i="6"/>
  <c r="H41" i="6"/>
  <c r="I41" i="6"/>
  <c r="X8" i="6"/>
  <c r="H59" i="6"/>
  <c r="I59" i="6"/>
  <c r="I77" i="6"/>
  <c r="H77" i="6"/>
  <c r="C14" i="54"/>
  <c r="D20" i="6"/>
  <c r="B130" i="1"/>
  <c r="B206" i="1"/>
  <c r="B205" i="1"/>
  <c r="C204" i="1"/>
  <c r="B134" i="1"/>
  <c r="B158" i="1"/>
  <c r="X82" i="6" l="1"/>
  <c r="Y96" i="6" s="1"/>
  <c r="AD72" i="6"/>
  <c r="AD46" i="6"/>
  <c r="C4" i="57"/>
  <c r="Y10" i="6"/>
  <c r="X76" i="6"/>
  <c r="X9" i="6"/>
  <c r="X23" i="6"/>
  <c r="X20" i="6"/>
  <c r="Y8" i="6"/>
  <c r="B204" i="1"/>
  <c r="I26" i="54"/>
  <c r="N3" i="1" l="1"/>
  <c r="AD29" i="6" l="1"/>
  <c r="M30" i="47"/>
  <c r="O17" i="1"/>
  <c r="O15" i="1"/>
  <c r="O8" i="1"/>
  <c r="O13" i="1"/>
  <c r="O10" i="1"/>
  <c r="O11" i="1"/>
  <c r="O21" i="1"/>
  <c r="O19" i="1"/>
  <c r="O23" i="1"/>
  <c r="O24" i="1"/>
  <c r="O27" i="1"/>
  <c r="O28" i="1"/>
  <c r="O29" i="1"/>
  <c r="O50" i="1"/>
  <c r="O48" i="1"/>
  <c r="O38" i="1"/>
  <c r="O39" i="1"/>
  <c r="O42" i="1"/>
  <c r="O40" i="1"/>
  <c r="O46" i="1"/>
  <c r="O44" i="1"/>
  <c r="O47" i="1"/>
  <c r="O33" i="1"/>
  <c r="O31" i="1"/>
  <c r="O55" i="1"/>
  <c r="O56" i="1"/>
  <c r="O57" i="1"/>
  <c r="O58" i="1"/>
  <c r="O59" i="1"/>
  <c r="O72" i="1"/>
  <c r="O73" i="1"/>
  <c r="O67" i="1"/>
  <c r="O65" i="1"/>
  <c r="O68" i="1"/>
  <c r="O77" i="1"/>
  <c r="O78" i="1"/>
  <c r="O81" i="1"/>
  <c r="O89" i="1"/>
  <c r="O90" i="1"/>
  <c r="O91" i="1"/>
  <c r="O94" i="1"/>
  <c r="O96" i="1"/>
  <c r="O97" i="1"/>
  <c r="O98" i="1"/>
  <c r="O99" i="1"/>
  <c r="O100" i="1"/>
  <c r="O101" i="1"/>
  <c r="O102" i="1"/>
  <c r="O109" i="1"/>
  <c r="O111" i="1"/>
  <c r="O114" i="1"/>
  <c r="O115" i="1"/>
  <c r="O112" i="1"/>
  <c r="O121" i="1"/>
  <c r="O118" i="1"/>
  <c r="O119" i="1"/>
  <c r="O122" i="1"/>
  <c r="O123" i="1"/>
  <c r="O125" i="1"/>
  <c r="O126" i="1"/>
  <c r="O128" i="1"/>
  <c r="O132" i="1"/>
  <c r="O149" i="1"/>
  <c r="O139" i="1"/>
  <c r="O145" i="1"/>
  <c r="O142" i="1"/>
  <c r="O143" i="1"/>
  <c r="O144" i="1"/>
  <c r="O157" i="1"/>
  <c r="O154" i="1"/>
  <c r="O155" i="1"/>
  <c r="O159" i="1"/>
  <c r="O161" i="1"/>
  <c r="O162" i="1"/>
  <c r="O163" i="1"/>
  <c r="O165" i="1"/>
  <c r="O167" i="1"/>
  <c r="O177" i="1"/>
  <c r="O178" i="1"/>
  <c r="O181" i="1"/>
  <c r="O184" i="1"/>
  <c r="O186" i="1"/>
  <c r="O187" i="1"/>
  <c r="O190" i="1"/>
  <c r="O192" i="1"/>
  <c r="O193" i="1"/>
  <c r="O194" i="1"/>
  <c r="O195" i="1"/>
  <c r="N30" i="1"/>
  <c r="N82" i="1"/>
  <c r="N110" i="1"/>
  <c r="N124" i="1"/>
  <c r="N95" i="1"/>
  <c r="N116" i="1"/>
  <c r="N92" i="1"/>
  <c r="N60" i="1"/>
  <c r="N5" i="1"/>
  <c r="N191" i="1"/>
  <c r="N85" i="1"/>
  <c r="M20" i="47"/>
  <c r="M11" i="47"/>
  <c r="N168" i="1"/>
  <c r="N164" i="1"/>
  <c r="M82" i="1"/>
  <c r="N203" i="1" l="1"/>
  <c r="N180" i="1"/>
  <c r="Y3" i="6"/>
  <c r="N198" i="1" l="1"/>
  <c r="N207" i="1" s="1"/>
  <c r="O86" i="1"/>
  <c r="N196" i="1"/>
  <c r="O197" i="1"/>
  <c r="O199" i="1"/>
  <c r="O201" i="1"/>
  <c r="O202" i="1"/>
  <c r="O213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N208" i="1" l="1"/>
  <c r="F25" i="54"/>
  <c r="M116" i="1"/>
  <c r="O7" i="1"/>
  <c r="L20" i="47"/>
  <c r="L11" i="47"/>
  <c r="J25" i="54" l="1"/>
  <c r="M180" i="1"/>
  <c r="L30" i="47"/>
  <c r="A12" i="6" l="1"/>
  <c r="A76" i="6" s="1"/>
  <c r="A10" i="6"/>
  <c r="A58" i="6" s="1"/>
  <c r="A8" i="6"/>
  <c r="A40" i="6" s="1"/>
  <c r="A4" i="57" s="1"/>
  <c r="A15" i="57" l="1"/>
  <c r="A4" i="58"/>
  <c r="AD10" i="6"/>
  <c r="AD8" i="6"/>
  <c r="C40" i="6"/>
  <c r="C76" i="6"/>
  <c r="C58" i="6"/>
  <c r="O182" i="1" l="1"/>
  <c r="L203" i="1" l="1"/>
  <c r="K20" i="47"/>
  <c r="K11" i="47"/>
  <c r="C7" i="55"/>
  <c r="O32" i="1" l="1"/>
  <c r="K30" i="47"/>
  <c r="O16" i="1" l="1"/>
  <c r="O45" i="1"/>
  <c r="O49" i="1" l="1"/>
  <c r="A31" i="55"/>
  <c r="A20" i="55"/>
  <c r="A18" i="56" l="1"/>
  <c r="B4" i="55"/>
  <c r="B3" i="55"/>
  <c r="E42" i="54"/>
  <c r="F42" i="54" s="1"/>
  <c r="E41" i="54"/>
  <c r="F41" i="54" s="1"/>
  <c r="E40" i="54"/>
  <c r="F40" i="54" s="1"/>
  <c r="E39" i="54"/>
  <c r="F39" i="54" s="1"/>
  <c r="E38" i="54"/>
  <c r="F38" i="54" s="1"/>
  <c r="E37" i="54"/>
  <c r="F37" i="54" s="1"/>
  <c r="E36" i="54"/>
  <c r="F36" i="54" s="1"/>
  <c r="C9" i="54"/>
  <c r="I5" i="54"/>
  <c r="H3" i="54"/>
  <c r="C3" i="54"/>
  <c r="E26" i="54" l="1"/>
  <c r="C26" i="54"/>
  <c r="C28" i="54" s="1"/>
  <c r="D26" i="54"/>
  <c r="E43" i="54"/>
  <c r="O160" i="1" l="1"/>
  <c r="O152" i="1"/>
  <c r="C98" i="52"/>
  <c r="K180" i="1" l="1"/>
  <c r="B30" i="52"/>
  <c r="B31" i="52" s="1"/>
  <c r="B26" i="52"/>
  <c r="B27" i="52" s="1"/>
  <c r="B22" i="52"/>
  <c r="B23" i="52" s="1"/>
  <c r="B18" i="52"/>
  <c r="B19" i="52" s="1"/>
  <c r="B14" i="52"/>
  <c r="B15" i="52" s="1"/>
  <c r="B11" i="52"/>
  <c r="B6" i="52"/>
  <c r="B7" i="52" s="1"/>
  <c r="D7" i="52" s="1"/>
  <c r="B3" i="52"/>
  <c r="D3" i="52" s="1"/>
  <c r="D11" i="52" l="1"/>
  <c r="D15" i="52" s="1"/>
  <c r="D19" i="52" s="1"/>
  <c r="D23" i="52" s="1"/>
  <c r="D27" i="52" s="1"/>
  <c r="D31" i="52" s="1"/>
  <c r="C2" i="57" l="1"/>
  <c r="D4" i="57" s="1"/>
  <c r="B15" i="57" s="1"/>
  <c r="B2" i="55"/>
  <c r="C2" i="56" l="1"/>
  <c r="N4" i="47"/>
  <c r="N13" i="47"/>
  <c r="I30" i="47"/>
  <c r="H30" i="47"/>
  <c r="G30" i="47"/>
  <c r="F30" i="47"/>
  <c r="J30" i="47"/>
  <c r="D30" i="47"/>
  <c r="B30" i="47"/>
  <c r="E30" i="47"/>
  <c r="B6" i="55"/>
  <c r="B5" i="55"/>
  <c r="B8" i="55" l="1"/>
  <c r="AD54" i="6" l="1"/>
  <c r="E3" i="6" l="1"/>
  <c r="D9" i="54" l="1"/>
  <c r="F9" i="54" s="1"/>
  <c r="G9" i="54" s="1"/>
  <c r="I2" i="54" l="1"/>
  <c r="E3" i="54"/>
  <c r="F3" i="54" s="1"/>
  <c r="H124" i="1"/>
  <c r="M124" i="1"/>
  <c r="L124" i="1"/>
  <c r="K124" i="1"/>
  <c r="J124" i="1"/>
  <c r="I124" i="1"/>
  <c r="F124" i="1"/>
  <c r="O19" i="6" s="1"/>
  <c r="G85" i="1"/>
  <c r="S14" i="6" s="1"/>
  <c r="O140" i="1"/>
  <c r="O141" i="1"/>
  <c r="O83" i="1"/>
  <c r="O147" i="1"/>
  <c r="O146" i="1"/>
  <c r="O171" i="1" l="1"/>
  <c r="B171" i="1"/>
  <c r="I3" i="54"/>
  <c r="I6" i="54"/>
  <c r="J2" i="54"/>
  <c r="B72" i="6"/>
  <c r="B54" i="6"/>
  <c r="B36" i="6"/>
  <c r="F54" i="6" l="1"/>
  <c r="F36" i="6"/>
  <c r="F72" i="6"/>
  <c r="D72" i="6"/>
  <c r="D36" i="6"/>
  <c r="D54" i="6"/>
  <c r="H203" i="1"/>
  <c r="J3" i="54"/>
  <c r="J8" i="54"/>
  <c r="E36" i="6"/>
  <c r="E54" i="6"/>
  <c r="E72" i="6"/>
  <c r="J54" i="6" l="1"/>
  <c r="H36" i="6"/>
  <c r="J36" i="6"/>
  <c r="N36" i="6" s="1"/>
  <c r="R36" i="6" s="1"/>
  <c r="J72" i="6"/>
  <c r="N72" i="6" s="1"/>
  <c r="R72" i="6" s="1"/>
  <c r="I36" i="6"/>
  <c r="F46" i="6"/>
  <c r="I72" i="6"/>
  <c r="F82" i="6"/>
  <c r="H72" i="6"/>
  <c r="H54" i="6"/>
  <c r="I54" i="6"/>
  <c r="F64" i="6"/>
  <c r="W36" i="6" l="1"/>
  <c r="R82" i="6"/>
  <c r="T72" i="6"/>
  <c r="U72" i="6"/>
  <c r="T36" i="6"/>
  <c r="R46" i="6"/>
  <c r="U36" i="6"/>
  <c r="B2" i="56"/>
  <c r="B2" i="58"/>
  <c r="N54" i="6"/>
  <c r="Q36" i="6"/>
  <c r="N46" i="6"/>
  <c r="P36" i="6"/>
  <c r="P72" i="6"/>
  <c r="N82" i="6"/>
  <c r="Q72" i="6"/>
  <c r="M54" i="6"/>
  <c r="L54" i="6"/>
  <c r="J64" i="6"/>
  <c r="M36" i="6"/>
  <c r="L36" i="6"/>
  <c r="J46" i="6"/>
  <c r="L72" i="6"/>
  <c r="J82" i="6"/>
  <c r="M72" i="6"/>
  <c r="J203" i="1"/>
  <c r="K203" i="1"/>
  <c r="I203" i="1"/>
  <c r="M203" i="1"/>
  <c r="R54" i="6" l="1"/>
  <c r="P54" i="6"/>
  <c r="Q54" i="6"/>
  <c r="N64" i="6"/>
  <c r="B2" i="57"/>
  <c r="Z54" i="6"/>
  <c r="Y54" i="6"/>
  <c r="B82" i="6"/>
  <c r="M110" i="1"/>
  <c r="L110" i="1"/>
  <c r="K110" i="1"/>
  <c r="J110" i="1"/>
  <c r="I110" i="1"/>
  <c r="H110" i="1"/>
  <c r="G110" i="1"/>
  <c r="S17" i="6" s="1"/>
  <c r="F110" i="1"/>
  <c r="O17" i="6" s="1"/>
  <c r="C110" i="1"/>
  <c r="C17" i="6" s="1"/>
  <c r="F191" i="1"/>
  <c r="G191" i="1"/>
  <c r="F168" i="1"/>
  <c r="F200" i="1" s="1"/>
  <c r="G164" i="1"/>
  <c r="S22" i="6" s="1"/>
  <c r="F164" i="1"/>
  <c r="O22" i="6" s="1"/>
  <c r="F85" i="1"/>
  <c r="O14" i="6" s="1"/>
  <c r="U17" i="6" l="1"/>
  <c r="T17" i="6"/>
  <c r="T54" i="6"/>
  <c r="R64" i="6"/>
  <c r="U54" i="6"/>
  <c r="Q17" i="6"/>
  <c r="P17" i="6"/>
  <c r="AD36" i="6"/>
  <c r="B64" i="6"/>
  <c r="B46" i="6"/>
  <c r="O153" i="1"/>
  <c r="O131" i="1"/>
  <c r="O129" i="1"/>
  <c r="G116" i="1"/>
  <c r="S18" i="6" s="1"/>
  <c r="O104" i="1"/>
  <c r="G92" i="1"/>
  <c r="S15" i="6" s="1"/>
  <c r="G82" i="1"/>
  <c r="G3" i="1"/>
  <c r="U18" i="6" l="1"/>
  <c r="T18" i="6"/>
  <c r="D46" i="6"/>
  <c r="E46" i="6"/>
  <c r="O169" i="1"/>
  <c r="B169" i="1"/>
  <c r="G5" i="1"/>
  <c r="G60" i="1"/>
  <c r="G30" i="1"/>
  <c r="G168" i="1"/>
  <c r="G200" i="1" s="1"/>
  <c r="G124" i="1"/>
  <c r="S19" i="6" s="1"/>
  <c r="G95" i="1"/>
  <c r="S16" i="6" s="1"/>
  <c r="G180" i="1"/>
  <c r="S24" i="6" s="1"/>
  <c r="S9" i="6" l="1"/>
  <c r="B27" i="2"/>
  <c r="S11" i="6"/>
  <c r="B28" i="2"/>
  <c r="S7" i="6"/>
  <c r="B26" i="2"/>
  <c r="S13" i="6"/>
  <c r="G196" i="1"/>
  <c r="G215" i="1" s="1"/>
  <c r="G198" i="1"/>
  <c r="G203" i="1"/>
  <c r="K5" i="2"/>
  <c r="A11" i="2" s="1"/>
  <c r="A23" i="2" s="1"/>
  <c r="S39" i="6" l="1"/>
  <c r="S6" i="6"/>
  <c r="S25" i="6" s="1"/>
  <c r="S75" i="6"/>
  <c r="B29" i="2"/>
  <c r="S57" i="6"/>
  <c r="G207" i="1"/>
  <c r="H26" i="2" s="1"/>
  <c r="Y36" i="6"/>
  <c r="Z36" i="6"/>
  <c r="S43" i="6" l="1"/>
  <c r="S61" i="6"/>
  <c r="S26" i="6"/>
  <c r="S30" i="6"/>
  <c r="A23" i="6"/>
  <c r="S31" i="6" l="1"/>
  <c r="S32" i="6"/>
  <c r="S94" i="6" s="1"/>
  <c r="S66" i="6"/>
  <c r="S62" i="6"/>
  <c r="S48" i="6"/>
  <c r="S44" i="6"/>
  <c r="A29" i="55"/>
  <c r="S50" i="6" l="1"/>
  <c r="S49" i="6"/>
  <c r="S67" i="6"/>
  <c r="S68" i="6"/>
  <c r="B29" i="55"/>
  <c r="O183" i="1" l="1"/>
  <c r="F95" i="1"/>
  <c r="O16" i="6" s="1"/>
  <c r="F203" i="1"/>
  <c r="F116" i="1"/>
  <c r="O18" i="6" s="1"/>
  <c r="O80" i="1"/>
  <c r="F92" i="1"/>
  <c r="O15" i="6" s="1"/>
  <c r="C64" i="6"/>
  <c r="Q18" i="6" l="1"/>
  <c r="P18" i="6"/>
  <c r="D64" i="6"/>
  <c r="E64" i="6"/>
  <c r="B16" i="47"/>
  <c r="N16" i="47" s="1"/>
  <c r="F180" i="1"/>
  <c r="O24" i="6" s="1"/>
  <c r="B4" i="1"/>
  <c r="X4" i="6" s="1"/>
  <c r="Z4" i="6" s="1"/>
  <c r="O13" i="6" l="1"/>
  <c r="O4" i="1"/>
  <c r="F198" i="1"/>
  <c r="A28" i="55"/>
  <c r="F207" i="1" l="1"/>
  <c r="H20" i="2" s="1"/>
  <c r="Y4" i="6"/>
  <c r="X28" i="6"/>
  <c r="Z96" i="6" s="1"/>
  <c r="AD4" i="6"/>
  <c r="C2" i="55"/>
  <c r="B20" i="55" s="1"/>
  <c r="C29" i="55" s="1"/>
  <c r="C4" i="58"/>
  <c r="O158" i="1"/>
  <c r="O150" i="1"/>
  <c r="O107" i="1"/>
  <c r="O151" i="1"/>
  <c r="O138" i="1"/>
  <c r="O106" i="1"/>
  <c r="O189" i="1"/>
  <c r="E110" i="1"/>
  <c r="K17" i="6" s="1"/>
  <c r="C82" i="6"/>
  <c r="B7" i="47"/>
  <c r="N7" i="47" s="1"/>
  <c r="AD82" i="6" l="1"/>
  <c r="B25" i="47"/>
  <c r="D82" i="6"/>
  <c r="E82" i="6"/>
  <c r="O166" i="1"/>
  <c r="B166" i="1"/>
  <c r="C21" i="6"/>
  <c r="AD23" i="6"/>
  <c r="O204" i="1"/>
  <c r="AA3" i="6"/>
  <c r="E124" i="1"/>
  <c r="K19" i="6" s="1"/>
  <c r="E95" i="1"/>
  <c r="K16" i="6" s="1"/>
  <c r="E203" i="1" l="1"/>
  <c r="AA54" i="6"/>
  <c r="AA36" i="6"/>
  <c r="N22" i="47" l="1"/>
  <c r="C30" i="47" l="1"/>
  <c r="N30" i="47" s="1"/>
  <c r="C2" i="58"/>
  <c r="D4" i="58" s="1"/>
  <c r="B137" i="1"/>
  <c r="N25" i="47"/>
  <c r="Z72" i="6"/>
  <c r="AA72" i="6"/>
  <c r="X21" i="6" l="1"/>
  <c r="O26" i="1"/>
  <c r="O148" i="1"/>
  <c r="O156" i="1"/>
  <c r="M168" i="1"/>
  <c r="L168" i="1"/>
  <c r="K168" i="1"/>
  <c r="J168" i="1"/>
  <c r="I168" i="1"/>
  <c r="H168" i="1"/>
  <c r="H200" i="1" s="1"/>
  <c r="E168" i="1"/>
  <c r="E200" i="1" s="1"/>
  <c r="D168" i="1"/>
  <c r="O93" i="1"/>
  <c r="M95" i="1"/>
  <c r="L95" i="1"/>
  <c r="K95" i="1"/>
  <c r="J95" i="1"/>
  <c r="I95" i="1"/>
  <c r="H95" i="1"/>
  <c r="D95" i="1"/>
  <c r="G16" i="6" s="1"/>
  <c r="L82" i="1"/>
  <c r="K82" i="1"/>
  <c r="J82" i="1"/>
  <c r="I82" i="1"/>
  <c r="H82" i="1"/>
  <c r="F82" i="1"/>
  <c r="E82" i="1"/>
  <c r="O84" i="1"/>
  <c r="O113" i="1"/>
  <c r="O130" i="1"/>
  <c r="M60" i="1"/>
  <c r="K60" i="1"/>
  <c r="M5" i="1"/>
  <c r="M191" i="1"/>
  <c r="L191" i="1"/>
  <c r="K191" i="1"/>
  <c r="J191" i="1"/>
  <c r="I191" i="1"/>
  <c r="H191" i="1"/>
  <c r="E191" i="1"/>
  <c r="D191" i="1"/>
  <c r="L180" i="1"/>
  <c r="J180" i="1"/>
  <c r="I180" i="1"/>
  <c r="H180" i="1"/>
  <c r="E180" i="1"/>
  <c r="K24" i="6" s="1"/>
  <c r="M164" i="1"/>
  <c r="L164" i="1"/>
  <c r="K164" i="1"/>
  <c r="J164" i="1"/>
  <c r="I164" i="1"/>
  <c r="H164" i="1"/>
  <c r="E164" i="1"/>
  <c r="K22" i="6" s="1"/>
  <c r="D164" i="1"/>
  <c r="G22" i="6" s="1"/>
  <c r="C164" i="1"/>
  <c r="C22" i="6" s="1"/>
  <c r="L116" i="1"/>
  <c r="K116" i="1"/>
  <c r="J116" i="1"/>
  <c r="I116" i="1"/>
  <c r="H116" i="1"/>
  <c r="E116" i="1"/>
  <c r="K18" i="6" s="1"/>
  <c r="M92" i="1"/>
  <c r="L92" i="1"/>
  <c r="K92" i="1"/>
  <c r="J92" i="1"/>
  <c r="I92" i="1"/>
  <c r="H92" i="1"/>
  <c r="E92" i="1"/>
  <c r="K15" i="6" s="1"/>
  <c r="M85" i="1"/>
  <c r="L85" i="1"/>
  <c r="K85" i="1"/>
  <c r="J85" i="1"/>
  <c r="I85" i="1"/>
  <c r="H85" i="1"/>
  <c r="E85" i="1"/>
  <c r="K14" i="6" s="1"/>
  <c r="D85" i="1"/>
  <c r="M3" i="1"/>
  <c r="L3" i="1"/>
  <c r="K3" i="1"/>
  <c r="J3" i="1"/>
  <c r="I3" i="1"/>
  <c r="H3" i="1"/>
  <c r="F3" i="1"/>
  <c r="E3" i="1"/>
  <c r="O54" i="1"/>
  <c r="K13" i="6" l="1"/>
  <c r="G14" i="6"/>
  <c r="M198" i="1"/>
  <c r="M207" i="1" s="1"/>
  <c r="O188" i="1"/>
  <c r="B164" i="1"/>
  <c r="O36" i="1"/>
  <c r="O66" i="1"/>
  <c r="O20" i="1"/>
  <c r="O41" i="1"/>
  <c r="O12" i="1"/>
  <c r="M30" i="1"/>
  <c r="O164" i="1"/>
  <c r="O79" i="1"/>
  <c r="L60" i="1"/>
  <c r="I60" i="1"/>
  <c r="I30" i="1"/>
  <c r="L30" i="1"/>
  <c r="L5" i="1"/>
  <c r="J30" i="1"/>
  <c r="J60" i="1"/>
  <c r="D5" i="1"/>
  <c r="D210" i="1"/>
  <c r="D92" i="1"/>
  <c r="G15" i="6" s="1"/>
  <c r="D110" i="1"/>
  <c r="G17" i="6" s="1"/>
  <c r="E30" i="1"/>
  <c r="B15" i="2" s="1"/>
  <c r="H5" i="1"/>
  <c r="F60" i="1"/>
  <c r="F211" i="1" s="1"/>
  <c r="C11" i="6"/>
  <c r="E5" i="1"/>
  <c r="B14" i="2" s="1"/>
  <c r="F30" i="1"/>
  <c r="F210" i="1" s="1"/>
  <c r="F5" i="1"/>
  <c r="F209" i="1" s="1"/>
  <c r="J5" i="1"/>
  <c r="B16" i="2"/>
  <c r="I5" i="1"/>
  <c r="K5" i="1"/>
  <c r="H60" i="1"/>
  <c r="K30" i="1"/>
  <c r="H30" i="1"/>
  <c r="L198" i="1"/>
  <c r="J198" i="1"/>
  <c r="K198" i="1"/>
  <c r="K207" i="1" s="1"/>
  <c r="H198" i="1"/>
  <c r="H207" i="1" s="1"/>
  <c r="I198" i="1"/>
  <c r="I207" i="1" s="1"/>
  <c r="D124" i="1"/>
  <c r="G19" i="6" s="1"/>
  <c r="E198" i="1"/>
  <c r="E207" i="1" s="1"/>
  <c r="H14" i="2" s="1"/>
  <c r="D82" i="1"/>
  <c r="D200" i="1"/>
  <c r="D180" i="1"/>
  <c r="G24" i="6" s="1"/>
  <c r="D116" i="1"/>
  <c r="G18" i="6" s="1"/>
  <c r="D3" i="1"/>
  <c r="F212" i="1" l="1"/>
  <c r="F214" i="1" s="1"/>
  <c r="B21" i="2"/>
  <c r="O9" i="6"/>
  <c r="B20" i="2"/>
  <c r="O7" i="6"/>
  <c r="B22" i="2"/>
  <c r="O11" i="6"/>
  <c r="B17" i="2"/>
  <c r="K9" i="6"/>
  <c r="K57" i="6" s="1"/>
  <c r="E210" i="1"/>
  <c r="O210" i="1" s="1"/>
  <c r="K11" i="6"/>
  <c r="K75" i="6" s="1"/>
  <c r="D23" i="47" s="1"/>
  <c r="E211" i="1"/>
  <c r="K7" i="6"/>
  <c r="K39" i="6" s="1"/>
  <c r="D5" i="47" s="1"/>
  <c r="E209" i="1"/>
  <c r="X22" i="6"/>
  <c r="B28" i="55" s="1"/>
  <c r="C28" i="55" s="1"/>
  <c r="D209" i="1"/>
  <c r="D196" i="1"/>
  <c r="G75" i="6"/>
  <c r="C23" i="47" s="1"/>
  <c r="D211" i="1"/>
  <c r="D198" i="1"/>
  <c r="B10" i="2"/>
  <c r="G11" i="6"/>
  <c r="G9" i="6"/>
  <c r="B9" i="2"/>
  <c r="B8" i="2"/>
  <c r="G39" i="6"/>
  <c r="C5" i="47" s="1"/>
  <c r="G7" i="6"/>
  <c r="O137" i="1"/>
  <c r="G21" i="6"/>
  <c r="J208" i="1"/>
  <c r="J207" i="1"/>
  <c r="L208" i="1"/>
  <c r="L207" i="1"/>
  <c r="M208" i="1"/>
  <c r="I196" i="1"/>
  <c r="E196" i="1"/>
  <c r="B60" i="1"/>
  <c r="M196" i="1"/>
  <c r="O110" i="1"/>
  <c r="B110" i="1"/>
  <c r="O60" i="1"/>
  <c r="H196" i="1"/>
  <c r="K196" i="1"/>
  <c r="O205" i="1"/>
  <c r="J196" i="1"/>
  <c r="F196" i="1"/>
  <c r="L196" i="1"/>
  <c r="J18" i="54"/>
  <c r="C59" i="6"/>
  <c r="D203" i="1"/>
  <c r="K208" i="1"/>
  <c r="I208" i="1"/>
  <c r="C75" i="6"/>
  <c r="A24" i="6"/>
  <c r="A30" i="55" s="1"/>
  <c r="A21" i="6"/>
  <c r="A27" i="55" s="1"/>
  <c r="A19" i="6"/>
  <c r="A26" i="55" s="1"/>
  <c r="A18" i="6"/>
  <c r="A25" i="55" s="1"/>
  <c r="A17" i="6"/>
  <c r="A24" i="55" s="1"/>
  <c r="A16" i="6"/>
  <c r="A23" i="55" s="1"/>
  <c r="A15" i="6"/>
  <c r="A22" i="55" s="1"/>
  <c r="A14" i="6"/>
  <c r="A21" i="55" s="1"/>
  <c r="A11" i="6"/>
  <c r="A9" i="6"/>
  <c r="A7" i="6"/>
  <c r="F215" i="1" l="1"/>
  <c r="O57" i="6"/>
  <c r="E14" i="47" s="1"/>
  <c r="O39" i="6"/>
  <c r="E5" i="47" s="1"/>
  <c r="O75" i="6"/>
  <c r="E23" i="47" s="1"/>
  <c r="O6" i="6"/>
  <c r="B23" i="2"/>
  <c r="D14" i="47"/>
  <c r="I16" i="2"/>
  <c r="K78" i="6" s="1"/>
  <c r="I15" i="2"/>
  <c r="K60" i="6" s="1"/>
  <c r="E212" i="1"/>
  <c r="E214" i="1" s="1"/>
  <c r="E215" i="1" s="1"/>
  <c r="B23" i="47"/>
  <c r="K6" i="6"/>
  <c r="G13" i="6"/>
  <c r="G15" i="54" s="1"/>
  <c r="O211" i="1"/>
  <c r="AD22" i="6"/>
  <c r="X17" i="6"/>
  <c r="X11" i="6"/>
  <c r="D207" i="1"/>
  <c r="H8" i="2" s="1"/>
  <c r="D212" i="1"/>
  <c r="O209" i="1"/>
  <c r="B11" i="2"/>
  <c r="C8" i="2" s="1"/>
  <c r="G6" i="6"/>
  <c r="H15" i="54" s="1"/>
  <c r="E59" i="6"/>
  <c r="F18" i="54"/>
  <c r="O208" i="1"/>
  <c r="B5" i="56"/>
  <c r="B27" i="55"/>
  <c r="C27" i="55" s="1"/>
  <c r="D59" i="6"/>
  <c r="S78" i="6" l="1"/>
  <c r="S79" i="6" s="1"/>
  <c r="C29" i="2"/>
  <c r="K47" i="6"/>
  <c r="D8" i="47" s="1"/>
  <c r="O47" i="6"/>
  <c r="E8" i="47" s="1"/>
  <c r="I22" i="2"/>
  <c r="O78" i="6" s="1"/>
  <c r="E24" i="47" s="1"/>
  <c r="I21" i="2"/>
  <c r="O60" i="6" s="1"/>
  <c r="E15" i="47" s="1"/>
  <c r="I20" i="2"/>
  <c r="O42" i="6" s="1"/>
  <c r="E6" i="47" s="1"/>
  <c r="D24" i="47"/>
  <c r="D15" i="47"/>
  <c r="O25" i="6"/>
  <c r="O30" i="6" s="1"/>
  <c r="O32" i="6" s="1"/>
  <c r="C17" i="2"/>
  <c r="I14" i="2"/>
  <c r="K42" i="6" s="1"/>
  <c r="O212" i="1"/>
  <c r="K25" i="6"/>
  <c r="G47" i="6"/>
  <c r="C8" i="47" s="1"/>
  <c r="I8" i="2"/>
  <c r="G42" i="6" s="1"/>
  <c r="D214" i="1"/>
  <c r="D215" i="1" s="1"/>
  <c r="C9" i="2"/>
  <c r="C10" i="2"/>
  <c r="X75" i="6"/>
  <c r="AA59" i="6"/>
  <c r="G25" i="6"/>
  <c r="C5" i="57"/>
  <c r="D5" i="57" s="1"/>
  <c r="B16" i="57" s="1"/>
  <c r="F16" i="54"/>
  <c r="F24" i="54"/>
  <c r="J24" i="54"/>
  <c r="F19" i="54"/>
  <c r="F21" i="54"/>
  <c r="J17" i="54"/>
  <c r="J20" i="54"/>
  <c r="AD59" i="6"/>
  <c r="B5" i="57"/>
  <c r="Y59" i="6"/>
  <c r="Z59" i="6"/>
  <c r="E9" i="47" l="1"/>
  <c r="S80" i="6"/>
  <c r="S84" i="6"/>
  <c r="O79" i="6"/>
  <c r="O80" i="6" s="1"/>
  <c r="K83" i="6"/>
  <c r="D26" i="47" s="1"/>
  <c r="D27" i="47" s="1"/>
  <c r="O83" i="6"/>
  <c r="E26" i="47" s="1"/>
  <c r="E27" i="47" s="1"/>
  <c r="O43" i="6"/>
  <c r="O44" i="6" s="1"/>
  <c r="K65" i="6"/>
  <c r="D17" i="47" s="1"/>
  <c r="D18" i="47" s="1"/>
  <c r="O65" i="6"/>
  <c r="E17" i="47" s="1"/>
  <c r="E18" i="47" s="1"/>
  <c r="O61" i="6"/>
  <c r="D6" i="47"/>
  <c r="D9" i="47" s="1"/>
  <c r="O62" i="6"/>
  <c r="O26" i="6"/>
  <c r="C23" i="2"/>
  <c r="C6" i="47"/>
  <c r="C9" i="47" s="1"/>
  <c r="K30" i="6"/>
  <c r="K26" i="6"/>
  <c r="G83" i="6"/>
  <c r="C26" i="47" s="1"/>
  <c r="I10" i="2"/>
  <c r="G78" i="6" s="1"/>
  <c r="G65" i="6"/>
  <c r="C17" i="47" s="1"/>
  <c r="I9" i="2"/>
  <c r="G60" i="6" s="1"/>
  <c r="G43" i="6"/>
  <c r="G26" i="6"/>
  <c r="G30" i="6"/>
  <c r="F15" i="54"/>
  <c r="J16" i="54"/>
  <c r="F20" i="54"/>
  <c r="J19" i="54"/>
  <c r="N23" i="47"/>
  <c r="J15" i="54"/>
  <c r="F17" i="54"/>
  <c r="J21" i="54"/>
  <c r="C3" i="58"/>
  <c r="F23" i="54"/>
  <c r="J23" i="54"/>
  <c r="C6" i="55"/>
  <c r="J22" i="54"/>
  <c r="F22" i="54"/>
  <c r="C92" i="1"/>
  <c r="S86" i="6" l="1"/>
  <c r="S85" i="6"/>
  <c r="O66" i="6"/>
  <c r="O84" i="6"/>
  <c r="O86" i="6" s="1"/>
  <c r="O48" i="6"/>
  <c r="O49" i="6" s="1"/>
  <c r="O68" i="6"/>
  <c r="O67" i="6"/>
  <c r="O31" i="6"/>
  <c r="G44" i="6"/>
  <c r="K32" i="6"/>
  <c r="K31" i="6"/>
  <c r="C15" i="47"/>
  <c r="C18" i="47" s="1"/>
  <c r="G61" i="6"/>
  <c r="G79" i="6"/>
  <c r="C24" i="47"/>
  <c r="C27" i="47" s="1"/>
  <c r="G48" i="6"/>
  <c r="G31" i="6"/>
  <c r="G32" i="6"/>
  <c r="C15" i="6"/>
  <c r="O92" i="1"/>
  <c r="B92" i="1"/>
  <c r="D3" i="58"/>
  <c r="B14" i="58" s="1"/>
  <c r="C41" i="6"/>
  <c r="C191" i="1"/>
  <c r="O185" i="1"/>
  <c r="O133" i="1"/>
  <c r="O127" i="1"/>
  <c r="O117" i="1"/>
  <c r="O105" i="1"/>
  <c r="O103" i="1"/>
  <c r="O87" i="1"/>
  <c r="C82" i="1"/>
  <c r="O37" i="1"/>
  <c r="O25" i="1"/>
  <c r="O6" i="1"/>
  <c r="C3" i="1"/>
  <c r="O50" i="6" l="1"/>
  <c r="O85" i="6"/>
  <c r="S93" i="6"/>
  <c r="S95" i="6" s="1"/>
  <c r="G50" i="6"/>
  <c r="G80" i="6"/>
  <c r="G62" i="6"/>
  <c r="C5" i="56"/>
  <c r="D5" i="56" s="1"/>
  <c r="G84" i="6"/>
  <c r="G49" i="6"/>
  <c r="X15" i="6"/>
  <c r="G66" i="6"/>
  <c r="E41" i="6"/>
  <c r="D41" i="6"/>
  <c r="O191" i="1"/>
  <c r="B191" i="1"/>
  <c r="O82" i="1"/>
  <c r="B82" i="1"/>
  <c r="O179" i="1"/>
  <c r="B179" i="1"/>
  <c r="O30" i="1"/>
  <c r="B5" i="1"/>
  <c r="B24" i="55"/>
  <c r="C24" i="55" s="1"/>
  <c r="O206" i="1"/>
  <c r="C124" i="1"/>
  <c r="C19" i="6" s="1"/>
  <c r="AD17" i="6"/>
  <c r="C95" i="1"/>
  <c r="C168" i="1"/>
  <c r="C180" i="1"/>
  <c r="C24" i="6" s="1"/>
  <c r="C116" i="1"/>
  <c r="C18" i="6" s="1"/>
  <c r="G86" i="6" l="1"/>
  <c r="G85" i="6"/>
  <c r="X7" i="6"/>
  <c r="X39" i="6" s="1"/>
  <c r="G67" i="6"/>
  <c r="G68" i="6"/>
  <c r="C196" i="1"/>
  <c r="O196" i="1" s="1"/>
  <c r="C198" i="1"/>
  <c r="C16" i="6"/>
  <c r="C14" i="6"/>
  <c r="O180" i="1"/>
  <c r="B180" i="1"/>
  <c r="O168" i="1"/>
  <c r="B168" i="1"/>
  <c r="O124" i="1"/>
  <c r="B124" i="1"/>
  <c r="O116" i="1"/>
  <c r="B116" i="1"/>
  <c r="O95" i="1"/>
  <c r="B95" i="1"/>
  <c r="O85" i="1"/>
  <c r="B85" i="1"/>
  <c r="O5" i="1"/>
  <c r="C203" i="1"/>
  <c r="O203" i="1" s="1"/>
  <c r="C39" i="6"/>
  <c r="B16" i="56"/>
  <c r="B22" i="55"/>
  <c r="C22" i="55" s="1"/>
  <c r="C200" i="1"/>
  <c r="O200" i="1" s="1"/>
  <c r="AD41" i="6"/>
  <c r="Z41" i="6"/>
  <c r="AD15" i="6"/>
  <c r="AD21" i="6"/>
  <c r="Y41" i="6"/>
  <c r="C77" i="6"/>
  <c r="AD28" i="6" l="1"/>
  <c r="B197" i="1"/>
  <c r="B196" i="1"/>
  <c r="X18" i="6"/>
  <c r="X19" i="6"/>
  <c r="X24" i="6"/>
  <c r="X16" i="6"/>
  <c r="B23" i="55" s="1"/>
  <c r="C23" i="55" s="1"/>
  <c r="X6" i="6"/>
  <c r="C207" i="1"/>
  <c r="O207" i="1" s="1"/>
  <c r="C214" i="1"/>
  <c r="O214" i="1" s="1"/>
  <c r="X14" i="6"/>
  <c r="B21" i="55" s="1"/>
  <c r="C21" i="55" s="1"/>
  <c r="O198" i="1"/>
  <c r="H2" i="2"/>
  <c r="B5" i="47"/>
  <c r="N5" i="47" s="1"/>
  <c r="B14" i="47"/>
  <c r="N14" i="47" s="1"/>
  <c r="AD11" i="6"/>
  <c r="C6" i="6"/>
  <c r="AD20" i="6"/>
  <c r="Y20" i="6"/>
  <c r="AA20" i="6"/>
  <c r="C13" i="6"/>
  <c r="B5" i="2"/>
  <c r="C11" i="2" s="1"/>
  <c r="G14" i="54" l="1"/>
  <c r="H14" i="54"/>
  <c r="H26" i="54" s="1"/>
  <c r="AD6" i="6"/>
  <c r="N31" i="47"/>
  <c r="X13" i="6"/>
  <c r="C215" i="1"/>
  <c r="O215" i="1" s="1"/>
  <c r="AD19" i="6"/>
  <c r="B26" i="55"/>
  <c r="C26" i="55" s="1"/>
  <c r="AD14" i="6"/>
  <c r="Y77" i="6"/>
  <c r="AD77" i="6"/>
  <c r="C3" i="56"/>
  <c r="D3" i="56" s="1"/>
  <c r="B14" i="56" s="1"/>
  <c r="C3" i="2"/>
  <c r="I3" i="2" s="1"/>
  <c r="C4" i="2"/>
  <c r="C2" i="2"/>
  <c r="I2" i="2" s="1"/>
  <c r="B5" i="58"/>
  <c r="C3" i="57"/>
  <c r="AD7" i="6"/>
  <c r="AD9" i="6"/>
  <c r="C25" i="6"/>
  <c r="C5" i="58"/>
  <c r="B25" i="55"/>
  <c r="C25" i="55" s="1"/>
  <c r="B30" i="55"/>
  <c r="C30" i="55" s="1"/>
  <c r="E77" i="6"/>
  <c r="AD18" i="6"/>
  <c r="AD75" i="6"/>
  <c r="AD39" i="6"/>
  <c r="AD24" i="6"/>
  <c r="AD57" i="6"/>
  <c r="AD16" i="6"/>
  <c r="D77" i="6"/>
  <c r="X25" i="6" l="1"/>
  <c r="X30" i="6" s="1"/>
  <c r="X31" i="6" s="1"/>
  <c r="C83" i="6"/>
  <c r="I4" i="2"/>
  <c r="C78" i="6" s="1"/>
  <c r="C47" i="6"/>
  <c r="C65" i="6"/>
  <c r="G26" i="54"/>
  <c r="E31" i="54" s="1"/>
  <c r="F14" i="54"/>
  <c r="F26" i="54" s="1"/>
  <c r="C42" i="6"/>
  <c r="C60" i="6"/>
  <c r="D3" i="57"/>
  <c r="B14" i="57" s="1"/>
  <c r="D5" i="58"/>
  <c r="B15" i="58" s="1"/>
  <c r="C30" i="6"/>
  <c r="J14" i="54"/>
  <c r="J26" i="54" s="1"/>
  <c r="C4" i="55"/>
  <c r="D4" i="55" s="1"/>
  <c r="C13" i="55" s="1"/>
  <c r="C3" i="55"/>
  <c r="Z77" i="6"/>
  <c r="AD13" i="6"/>
  <c r="C26" i="6"/>
  <c r="C5" i="2"/>
  <c r="X32" i="6" l="1"/>
  <c r="Z95" i="6"/>
  <c r="X96" i="6"/>
  <c r="X98" i="6" s="1"/>
  <c r="B26" i="47"/>
  <c r="N26" i="47" s="1"/>
  <c r="B8" i="47"/>
  <c r="N8" i="47" s="1"/>
  <c r="D3" i="55"/>
  <c r="C12" i="55" s="1"/>
  <c r="B17" i="47"/>
  <c r="N17" i="47" s="1"/>
  <c r="F31" i="54"/>
  <c r="B24" i="47"/>
  <c r="B15" i="47"/>
  <c r="B6" i="47"/>
  <c r="C31" i="6"/>
  <c r="C5" i="55"/>
  <c r="C8" i="55" s="1"/>
  <c r="X26" i="6"/>
  <c r="C32" i="6"/>
  <c r="B9" i="47" l="1"/>
  <c r="AD47" i="6"/>
  <c r="B27" i="47"/>
  <c r="AD83" i="6"/>
  <c r="B18" i="47"/>
  <c r="N6" i="47"/>
  <c r="P5" i="47" s="1"/>
  <c r="X48" i="6"/>
  <c r="X50" i="6" s="1"/>
  <c r="X79" i="6"/>
  <c r="X84" i="6" s="1"/>
  <c r="C61" i="6"/>
  <c r="N15" i="47"/>
  <c r="N18" i="47" s="1"/>
  <c r="P18" i="47" s="1"/>
  <c r="C79" i="6"/>
  <c r="C43" i="6"/>
  <c r="D5" i="55"/>
  <c r="C14" i="55" s="1"/>
  <c r="N24" i="47" l="1"/>
  <c r="N27" i="47" s="1"/>
  <c r="P27" i="47" s="1"/>
  <c r="N9" i="47"/>
  <c r="P9" i="47" s="1"/>
  <c r="C80" i="6"/>
  <c r="C6" i="58"/>
  <c r="C7" i="58" s="1"/>
  <c r="C44" i="6"/>
  <c r="C6" i="56"/>
  <c r="C7" i="56" s="1"/>
  <c r="D7" i="56" s="1"/>
  <c r="C48" i="6"/>
  <c r="C84" i="6"/>
  <c r="P14" i="47"/>
  <c r="X62" i="6"/>
  <c r="C6" i="57"/>
  <c r="C7" i="57" s="1"/>
  <c r="C66" i="6"/>
  <c r="C62" i="6"/>
  <c r="X80" i="6"/>
  <c r="P23" i="47" l="1"/>
  <c r="D6" i="56"/>
  <c r="B17" i="56" s="1"/>
  <c r="B18" i="56"/>
  <c r="D6" i="58"/>
  <c r="B16" i="58" s="1"/>
  <c r="X44" i="6"/>
  <c r="X49" i="6"/>
  <c r="C50" i="6"/>
  <c r="C49" i="6"/>
  <c r="C85" i="6"/>
  <c r="C86" i="6"/>
  <c r="X67" i="6"/>
  <c r="D6" i="57"/>
  <c r="B17" i="57" s="1"/>
  <c r="D7" i="57"/>
  <c r="B18" i="57" s="1"/>
  <c r="X86" i="6"/>
  <c r="X85" i="6"/>
  <c r="C67" i="6"/>
  <c r="C68" i="6"/>
  <c r="D7" i="58" l="1"/>
  <c r="B17" i="58" s="1"/>
  <c r="X68" i="6"/>
  <c r="X94" i="6" s="1"/>
  <c r="X95" i="6" s="1"/>
  <c r="Y72" i="6"/>
  <c r="D19" i="71" l="1"/>
  <c r="F23" i="6" s="1"/>
  <c r="H23" i="6" s="1"/>
  <c r="E19" i="71"/>
  <c r="J23" i="6" s="1"/>
  <c r="L23" i="6" s="1"/>
  <c r="F19" i="71"/>
  <c r="N23" i="6" s="1"/>
  <c r="P23" i="6" s="1"/>
  <c r="G19" i="71"/>
  <c r="R23" i="6" s="1"/>
  <c r="T23" i="6" s="1"/>
  <c r="H19" i="71"/>
  <c r="I19" i="71"/>
  <c r="J19" i="71"/>
  <c r="K19" i="71"/>
  <c r="L19" i="71"/>
  <c r="M19" i="71"/>
  <c r="C19" i="71"/>
  <c r="N19" i="71"/>
  <c r="B23" i="6" l="1"/>
  <c r="D23" i="6" s="1"/>
  <c r="B19" i="71"/>
  <c r="Z23" i="6" l="1"/>
  <c r="Y23" i="6"/>
  <c r="B30" i="74"/>
  <c r="V23" i="6"/>
  <c r="AA23" i="6" s="1"/>
  <c r="D14" i="71" l="1"/>
  <c r="F18" i="6" s="1"/>
  <c r="C14" i="71"/>
  <c r="H18" i="6" l="1"/>
  <c r="I18" i="6"/>
  <c r="B18" i="6"/>
  <c r="K119" i="72"/>
  <c r="K117" i="72"/>
  <c r="L117" i="72" l="1"/>
  <c r="K112" i="72"/>
  <c r="K186" i="72" s="1"/>
  <c r="K192" i="72"/>
  <c r="L119" i="72"/>
  <c r="K194" i="72"/>
  <c r="Y18" i="6"/>
  <c r="Z18" i="6"/>
  <c r="D18" i="6"/>
  <c r="E18" i="6"/>
  <c r="T77" i="6" l="1"/>
  <c r="U77" i="6"/>
  <c r="U41" i="6"/>
  <c r="T41" i="6"/>
  <c r="L18" i="6"/>
  <c r="M18" i="6"/>
  <c r="N119" i="72"/>
  <c r="M119" i="72"/>
  <c r="L194" i="72"/>
  <c r="K180" i="72"/>
  <c r="K191" i="72"/>
  <c r="M117" i="72"/>
  <c r="L192" i="72"/>
  <c r="L112" i="72"/>
  <c r="L186" i="72" s="1"/>
  <c r="L191" i="72" l="1"/>
  <c r="L180" i="72"/>
  <c r="N117" i="72"/>
  <c r="M192" i="72"/>
  <c r="M112" i="72"/>
  <c r="M186" i="72" s="1"/>
  <c r="K196" i="72"/>
  <c r="M194" i="72"/>
  <c r="O119" i="72"/>
  <c r="O194" i="72" s="1"/>
  <c r="N194" i="72"/>
  <c r="L196" i="72" l="1"/>
  <c r="O117" i="72"/>
  <c r="B117" i="72" s="1"/>
  <c r="N192" i="72"/>
  <c r="N191" i="72" s="1"/>
  <c r="N112" i="72"/>
  <c r="N186" i="72" s="1"/>
  <c r="B194" i="72"/>
  <c r="V77" i="6" s="1"/>
  <c r="B119" i="72"/>
  <c r="M180" i="72"/>
  <c r="M191" i="72"/>
  <c r="B112" i="72" l="1"/>
  <c r="B180" i="72" s="1"/>
  <c r="M196" i="72"/>
  <c r="AA77" i="6"/>
  <c r="N180" i="72"/>
  <c r="N196" i="72"/>
  <c r="O191" i="72"/>
  <c r="O192" i="72"/>
  <c r="B192" i="72" s="1"/>
  <c r="O112" i="72"/>
  <c r="O186" i="72" s="1"/>
  <c r="O196" i="72" l="1"/>
  <c r="O180" i="72"/>
  <c r="V41" i="6"/>
  <c r="AA41" i="6" s="1"/>
  <c r="B195" i="72"/>
  <c r="B186" i="72" l="1"/>
  <c r="B196" i="72" s="1"/>
  <c r="B14" i="71"/>
  <c r="V18" i="6" s="1"/>
  <c r="AA18" i="6" s="1"/>
  <c r="D15" i="71"/>
  <c r="F19" i="6" s="1"/>
  <c r="E15" i="71"/>
  <c r="J19" i="6" s="1"/>
  <c r="F15" i="71"/>
  <c r="N19" i="6" s="1"/>
  <c r="G15" i="71"/>
  <c r="R19" i="6" s="1"/>
  <c r="D18" i="71"/>
  <c r="F22" i="6" s="1"/>
  <c r="E18" i="71"/>
  <c r="J22" i="6" s="1"/>
  <c r="F18" i="71"/>
  <c r="N22" i="6" s="1"/>
  <c r="G18" i="71"/>
  <c r="R22" i="6" s="1"/>
  <c r="H18" i="71"/>
  <c r="I18" i="71"/>
  <c r="J18" i="71"/>
  <c r="K18" i="71"/>
  <c r="L18" i="71"/>
  <c r="M18" i="71"/>
  <c r="N18" i="71"/>
  <c r="U22" i="6" l="1"/>
  <c r="T22" i="6"/>
  <c r="T19" i="6"/>
  <c r="U19" i="6"/>
  <c r="Q19" i="6"/>
  <c r="P19" i="6"/>
  <c r="P22" i="6"/>
  <c r="Q22" i="6"/>
  <c r="L22" i="6"/>
  <c r="M22" i="6"/>
  <c r="B204" i="72"/>
  <c r="B205" i="72" s="1"/>
  <c r="B26" i="74"/>
  <c r="N15" i="71"/>
  <c r="F12" i="71"/>
  <c r="N16" i="6" s="1"/>
  <c r="J20" i="71"/>
  <c r="M15" i="71"/>
  <c r="D11" i="71"/>
  <c r="F15" i="6" s="1"/>
  <c r="L15" i="71"/>
  <c r="H20" i="71"/>
  <c r="K15" i="71"/>
  <c r="F17" i="6"/>
  <c r="N11" i="71"/>
  <c r="D10" i="71"/>
  <c r="G20" i="71"/>
  <c r="R24" i="6" s="1"/>
  <c r="G17" i="71"/>
  <c r="R21" i="6" s="1"/>
  <c r="J15" i="71"/>
  <c r="N12" i="71"/>
  <c r="M11" i="71"/>
  <c r="F20" i="71"/>
  <c r="N24" i="6" s="1"/>
  <c r="N17" i="71"/>
  <c r="L11" i="71"/>
  <c r="M17" i="71"/>
  <c r="K11" i="71"/>
  <c r="L17" i="71"/>
  <c r="K12" i="71"/>
  <c r="J11" i="71"/>
  <c r="K17" i="71"/>
  <c r="J12" i="71"/>
  <c r="I11" i="71"/>
  <c r="J17" i="71"/>
  <c r="M20" i="71"/>
  <c r="I19" i="6"/>
  <c r="H19" i="6"/>
  <c r="H12" i="71"/>
  <c r="G11" i="71"/>
  <c r="R15" i="6" s="1"/>
  <c r="K20" i="71"/>
  <c r="F17" i="71"/>
  <c r="N21" i="6" s="1"/>
  <c r="E11" i="71"/>
  <c r="J15" i="6" s="1"/>
  <c r="E12" i="71"/>
  <c r="J16" i="6" s="1"/>
  <c r="I20" i="71"/>
  <c r="D12" i="71"/>
  <c r="F16" i="6" s="1"/>
  <c r="E10" i="71"/>
  <c r="J14" i="6" s="1"/>
  <c r="N10" i="71"/>
  <c r="H22" i="6"/>
  <c r="I22" i="6"/>
  <c r="I15" i="71"/>
  <c r="M12" i="71"/>
  <c r="E20" i="71"/>
  <c r="J24" i="6" s="1"/>
  <c r="H15" i="71"/>
  <c r="L12" i="71"/>
  <c r="D20" i="71"/>
  <c r="F24" i="6" s="1"/>
  <c r="N20" i="71"/>
  <c r="I12" i="71"/>
  <c r="H11" i="71"/>
  <c r="I17" i="71"/>
  <c r="L20" i="71"/>
  <c r="H17" i="71"/>
  <c r="G12" i="71"/>
  <c r="R16" i="6" s="1"/>
  <c r="F11" i="71"/>
  <c r="N15" i="6" s="1"/>
  <c r="T24" i="6" l="1"/>
  <c r="U24" i="6"/>
  <c r="T15" i="6"/>
  <c r="U15" i="6"/>
  <c r="T16" i="6"/>
  <c r="U16" i="6"/>
  <c r="T21" i="6"/>
  <c r="U21" i="6"/>
  <c r="P16" i="6"/>
  <c r="Q16" i="6"/>
  <c r="P24" i="6"/>
  <c r="Q24" i="6"/>
  <c r="Q21" i="6"/>
  <c r="P21" i="6"/>
  <c r="Q15" i="6"/>
  <c r="P15" i="6"/>
  <c r="L24" i="6"/>
  <c r="M24" i="6"/>
  <c r="L16" i="6"/>
  <c r="M16" i="6"/>
  <c r="M19" i="6"/>
  <c r="L19" i="6"/>
  <c r="L15" i="6"/>
  <c r="M15" i="6"/>
  <c r="E17" i="71"/>
  <c r="J21" i="6" s="1"/>
  <c r="H15" i="6"/>
  <c r="I15" i="6"/>
  <c r="H24" i="6"/>
  <c r="I24" i="6"/>
  <c r="G10" i="71"/>
  <c r="H10" i="71"/>
  <c r="I10" i="71"/>
  <c r="I9" i="71" s="1"/>
  <c r="J10" i="71"/>
  <c r="J9" i="71" s="1"/>
  <c r="H17" i="6"/>
  <c r="I17" i="6"/>
  <c r="K10" i="71"/>
  <c r="K9" i="71" s="1"/>
  <c r="N9" i="71"/>
  <c r="F10" i="71"/>
  <c r="N14" i="6" s="1"/>
  <c r="M10" i="71"/>
  <c r="M9" i="71" s="1"/>
  <c r="I16" i="6"/>
  <c r="H16" i="6"/>
  <c r="D17" i="71"/>
  <c r="F21" i="6" s="1"/>
  <c r="F14" i="6"/>
  <c r="L10" i="71"/>
  <c r="L9" i="71" s="1"/>
  <c r="G9" i="71" l="1"/>
  <c r="R14" i="6"/>
  <c r="L21" i="6"/>
  <c r="M21" i="6"/>
  <c r="Q14" i="6"/>
  <c r="P14" i="6"/>
  <c r="N13" i="6"/>
  <c r="P13" i="6" s="1"/>
  <c r="E9" i="71"/>
  <c r="L14" i="6"/>
  <c r="M14" i="6"/>
  <c r="J13" i="6"/>
  <c r="L13" i="6" s="1"/>
  <c r="L17" i="6"/>
  <c r="M17" i="6"/>
  <c r="F9" i="71"/>
  <c r="D9" i="71"/>
  <c r="I21" i="6"/>
  <c r="H21" i="6"/>
  <c r="I14" i="6"/>
  <c r="H14" i="6"/>
  <c r="F13" i="6"/>
  <c r="H13" i="6" s="1"/>
  <c r="H9" i="71"/>
  <c r="T14" i="6" l="1"/>
  <c r="R13" i="6"/>
  <c r="T13" i="6" s="1"/>
  <c r="U14" i="6"/>
  <c r="C18" i="71"/>
  <c r="C10" i="71" l="1"/>
  <c r="C11" i="71"/>
  <c r="C12" i="71"/>
  <c r="C20" i="71"/>
  <c r="C15" i="71"/>
  <c r="B18" i="71"/>
  <c r="B22" i="6"/>
  <c r="C17" i="71"/>
  <c r="B24" i="6" l="1"/>
  <c r="B20" i="71"/>
  <c r="B13" i="71"/>
  <c r="B17" i="6"/>
  <c r="B12" i="71"/>
  <c r="B16" i="6"/>
  <c r="D22" i="6"/>
  <c r="E22" i="6"/>
  <c r="B10" i="71"/>
  <c r="B14" i="6"/>
  <c r="C9" i="71"/>
  <c r="B9" i="71" s="1"/>
  <c r="B19" i="6"/>
  <c r="B15" i="71"/>
  <c r="B21" i="6"/>
  <c r="B17" i="71"/>
  <c r="B11" i="71"/>
  <c r="B15" i="6"/>
  <c r="V22" i="6"/>
  <c r="AA22" i="6" s="1"/>
  <c r="B29" i="74"/>
  <c r="Z22" i="6"/>
  <c r="Y22" i="6"/>
  <c r="B23" i="74" l="1"/>
  <c r="V15" i="6"/>
  <c r="AA15" i="6" s="1"/>
  <c r="Y15" i="6"/>
  <c r="Z15" i="6"/>
  <c r="V21" i="6"/>
  <c r="AA21" i="6" s="1"/>
  <c r="B28" i="74"/>
  <c r="D16" i="6"/>
  <c r="E16" i="6"/>
  <c r="Z16" i="6"/>
  <c r="Y16" i="6"/>
  <c r="Z21" i="6"/>
  <c r="Y21" i="6"/>
  <c r="V19" i="6"/>
  <c r="AA19" i="6" s="1"/>
  <c r="B27" i="74"/>
  <c r="Z19" i="6"/>
  <c r="Y19" i="6"/>
  <c r="V14" i="6"/>
  <c r="B22" i="74"/>
  <c r="V17" i="6"/>
  <c r="AA17" i="6" s="1"/>
  <c r="B25" i="74"/>
  <c r="D19" i="6"/>
  <c r="E19" i="6"/>
  <c r="Z17" i="6"/>
  <c r="Y17" i="6"/>
  <c r="Y24" i="6"/>
  <c r="Z24" i="6"/>
  <c r="Z14" i="6"/>
  <c r="Y14" i="6"/>
  <c r="W13" i="6"/>
  <c r="Z13" i="6" s="1"/>
  <c r="B31" i="74"/>
  <c r="V24" i="6"/>
  <c r="AA24" i="6" s="1"/>
  <c r="D15" i="6"/>
  <c r="E15" i="6"/>
  <c r="D21" i="6"/>
  <c r="E21" i="6"/>
  <c r="V16" i="6"/>
  <c r="AA16" i="6" s="1"/>
  <c r="B24" i="74"/>
  <c r="D17" i="6"/>
  <c r="E17" i="6"/>
  <c r="D14" i="6"/>
  <c r="B13" i="6"/>
  <c r="D13" i="6" s="1"/>
  <c r="E14" i="6"/>
  <c r="D24" i="6"/>
  <c r="E24" i="6"/>
  <c r="AA14" i="6" l="1"/>
  <c r="V13" i="6"/>
  <c r="AA13" i="6" s="1"/>
  <c r="Y13" i="6"/>
  <c r="C8" i="71" l="1"/>
  <c r="C6" i="71"/>
  <c r="D6" i="71"/>
  <c r="E8" i="2" s="1"/>
  <c r="D7" i="71"/>
  <c r="F9" i="6" l="1"/>
  <c r="E9" i="2"/>
  <c r="F7" i="6"/>
  <c r="B7" i="6"/>
  <c r="C7" i="71"/>
  <c r="B11" i="6"/>
  <c r="D8" i="71"/>
  <c r="E6" i="71"/>
  <c r="E7" i="71"/>
  <c r="E15" i="2" s="1"/>
  <c r="E14" i="2" l="1"/>
  <c r="B39" i="6"/>
  <c r="E7" i="6"/>
  <c r="D7" i="6"/>
  <c r="B9" i="6"/>
  <c r="B6" i="6" s="1"/>
  <c r="C5" i="71"/>
  <c r="F39" i="6"/>
  <c r="H7" i="6"/>
  <c r="I7" i="6"/>
  <c r="F11" i="6"/>
  <c r="F6" i="6" s="1"/>
  <c r="E10" i="2"/>
  <c r="E11" i="2" s="1"/>
  <c r="D5" i="71"/>
  <c r="D21" i="71" s="1"/>
  <c r="B75" i="6"/>
  <c r="D11" i="6"/>
  <c r="E11" i="6"/>
  <c r="E8" i="71"/>
  <c r="F57" i="6"/>
  <c r="H9" i="6"/>
  <c r="I9" i="6"/>
  <c r="F6" i="71"/>
  <c r="F7" i="71"/>
  <c r="E20" i="2" l="1"/>
  <c r="N7" i="6"/>
  <c r="E21" i="2"/>
  <c r="N9" i="6"/>
  <c r="E5" i="71"/>
  <c r="E21" i="71" s="1"/>
  <c r="E16" i="2"/>
  <c r="F9" i="2"/>
  <c r="H6" i="6"/>
  <c r="F25" i="6"/>
  <c r="D25" i="71"/>
  <c r="D22" i="71"/>
  <c r="H39" i="6"/>
  <c r="I39" i="6"/>
  <c r="F10" i="2"/>
  <c r="F8" i="71"/>
  <c r="F75" i="6"/>
  <c r="I11" i="6"/>
  <c r="H11" i="6"/>
  <c r="D6" i="6"/>
  <c r="B25" i="6"/>
  <c r="C21" i="71"/>
  <c r="E75" i="6"/>
  <c r="D75" i="6"/>
  <c r="E4" i="2"/>
  <c r="D9" i="6"/>
  <c r="E9" i="6"/>
  <c r="B57" i="6"/>
  <c r="D39" i="6"/>
  <c r="E39" i="6"/>
  <c r="E2" i="2"/>
  <c r="I57" i="6"/>
  <c r="H57" i="6"/>
  <c r="F8" i="2"/>
  <c r="G6" i="71"/>
  <c r="E26" i="2" s="1"/>
  <c r="G7" i="71"/>
  <c r="E27" i="2" s="1"/>
  <c r="E25" i="71" l="1"/>
  <c r="E27" i="71" s="1"/>
  <c r="E22" i="71"/>
  <c r="P7" i="6"/>
  <c r="Q7" i="6"/>
  <c r="N39" i="6"/>
  <c r="Z7" i="6"/>
  <c r="Y7" i="6"/>
  <c r="P9" i="6"/>
  <c r="Q9" i="6"/>
  <c r="N57" i="6"/>
  <c r="Y9" i="6"/>
  <c r="Z9" i="6"/>
  <c r="F5" i="71"/>
  <c r="F21" i="71" s="1"/>
  <c r="E22" i="2"/>
  <c r="E23" i="2" s="1"/>
  <c r="F26" i="2" s="1"/>
  <c r="N11" i="6"/>
  <c r="N6" i="6" s="1"/>
  <c r="W6" i="6"/>
  <c r="W25" i="6" s="1"/>
  <c r="W30" i="6" s="1"/>
  <c r="E17" i="2"/>
  <c r="C22" i="71"/>
  <c r="C25" i="71"/>
  <c r="B26" i="6"/>
  <c r="B30" i="6"/>
  <c r="D57" i="6"/>
  <c r="E57" i="6"/>
  <c r="E3" i="2"/>
  <c r="D26" i="71"/>
  <c r="D168" i="71" s="1"/>
  <c r="D27" i="71"/>
  <c r="H75" i="6"/>
  <c r="I75" i="6"/>
  <c r="E26" i="71"/>
  <c r="E168" i="71" s="1"/>
  <c r="F30" i="6"/>
  <c r="F26" i="6"/>
  <c r="G8" i="71"/>
  <c r="H6" i="71"/>
  <c r="J7" i="6" s="1"/>
  <c r="H8" i="71"/>
  <c r="J11" i="6" s="1"/>
  <c r="H7" i="71"/>
  <c r="J9" i="6" s="1"/>
  <c r="F27" i="2" l="1"/>
  <c r="G5" i="71"/>
  <c r="E28" i="2"/>
  <c r="P39" i="6"/>
  <c r="Q39" i="6"/>
  <c r="P6" i="6"/>
  <c r="N25" i="6"/>
  <c r="Q57" i="6"/>
  <c r="P57" i="6"/>
  <c r="P11" i="6"/>
  <c r="Q11" i="6"/>
  <c r="N75" i="6"/>
  <c r="F22" i="2"/>
  <c r="F21" i="2"/>
  <c r="F20" i="2"/>
  <c r="F22" i="71"/>
  <c r="F25" i="71"/>
  <c r="Z11" i="6"/>
  <c r="Y11" i="6"/>
  <c r="F15" i="2"/>
  <c r="F14" i="2"/>
  <c r="F16" i="2"/>
  <c r="Y6" i="6"/>
  <c r="Z6" i="6"/>
  <c r="L7" i="6"/>
  <c r="M7" i="6"/>
  <c r="J39" i="6"/>
  <c r="J6" i="6"/>
  <c r="M11" i="6"/>
  <c r="L11" i="6"/>
  <c r="J75" i="6"/>
  <c r="M9" i="6"/>
  <c r="L9" i="6"/>
  <c r="J57" i="6"/>
  <c r="H5" i="71"/>
  <c r="H21" i="71" s="1"/>
  <c r="G21" i="71"/>
  <c r="F31" i="6"/>
  <c r="F32" i="6"/>
  <c r="C27" i="71"/>
  <c r="C26" i="71"/>
  <c r="E5" i="2"/>
  <c r="B32" i="6"/>
  <c r="B31" i="6"/>
  <c r="I6" i="71"/>
  <c r="I7" i="71"/>
  <c r="F28" i="2" l="1"/>
  <c r="E29" i="2"/>
  <c r="N26" i="6"/>
  <c r="N30" i="6"/>
  <c r="Q75" i="6"/>
  <c r="P75" i="6"/>
  <c r="F26" i="71"/>
  <c r="F168" i="71" s="1"/>
  <c r="F27" i="71"/>
  <c r="H25" i="71"/>
  <c r="H22" i="71"/>
  <c r="W26" i="6"/>
  <c r="L39" i="6"/>
  <c r="M39" i="6"/>
  <c r="L6" i="6"/>
  <c r="J25" i="6"/>
  <c r="M75" i="6"/>
  <c r="L75" i="6"/>
  <c r="L57" i="6"/>
  <c r="M57" i="6"/>
  <c r="F4" i="2"/>
  <c r="F2" i="2"/>
  <c r="G22" i="71"/>
  <c r="G25" i="71"/>
  <c r="I8" i="71"/>
  <c r="I5" i="71" s="1"/>
  <c r="F3" i="2"/>
  <c r="J6" i="71"/>
  <c r="R7" i="6" s="1"/>
  <c r="J7" i="71"/>
  <c r="R9" i="6" s="1"/>
  <c r="R57" i="6" l="1"/>
  <c r="T9" i="6"/>
  <c r="U9" i="6"/>
  <c r="R39" i="6"/>
  <c r="W39" i="6" s="1"/>
  <c r="Z39" i="6" s="1"/>
  <c r="T7" i="6"/>
  <c r="U7" i="6"/>
  <c r="N31" i="6"/>
  <c r="N32" i="6"/>
  <c r="H26" i="71"/>
  <c r="H168" i="71" s="1"/>
  <c r="H27" i="71"/>
  <c r="W31" i="6"/>
  <c r="W32" i="6"/>
  <c r="J26" i="6"/>
  <c r="J30" i="6"/>
  <c r="B3" i="58"/>
  <c r="Z75" i="6"/>
  <c r="Y75" i="6"/>
  <c r="Y57" i="6"/>
  <c r="Z57" i="6"/>
  <c r="B3" i="57"/>
  <c r="I21" i="71"/>
  <c r="J8" i="71"/>
  <c r="G26" i="71"/>
  <c r="G168" i="71" s="1"/>
  <c r="G27" i="71"/>
  <c r="K6" i="71"/>
  <c r="L6" i="71"/>
  <c r="K8" i="71"/>
  <c r="K7" i="71"/>
  <c r="B3" i="56" l="1"/>
  <c r="Y39" i="6"/>
  <c r="T39" i="6"/>
  <c r="U39" i="6"/>
  <c r="J5" i="71"/>
  <c r="R11" i="6"/>
  <c r="T57" i="6"/>
  <c r="U57" i="6"/>
  <c r="J31" i="6"/>
  <c r="J32" i="6"/>
  <c r="K5" i="71"/>
  <c r="K21" i="71" s="1"/>
  <c r="J21" i="71"/>
  <c r="I22" i="71"/>
  <c r="I25" i="71"/>
  <c r="L7" i="71"/>
  <c r="M6" i="71"/>
  <c r="T11" i="6" l="1"/>
  <c r="R75" i="6"/>
  <c r="U11" i="6"/>
  <c r="R6" i="6"/>
  <c r="K22" i="71"/>
  <c r="K25" i="71"/>
  <c r="I27" i="71"/>
  <c r="I26" i="71"/>
  <c r="I168" i="71" s="1"/>
  <c r="L8" i="71"/>
  <c r="L5" i="71" s="1"/>
  <c r="J25" i="71"/>
  <c r="J22" i="71"/>
  <c r="M7" i="71"/>
  <c r="T6" i="6" l="1"/>
  <c r="R25" i="6"/>
  <c r="T75" i="6"/>
  <c r="U75" i="6"/>
  <c r="K26" i="71"/>
  <c r="K168" i="71" s="1"/>
  <c r="K27" i="71"/>
  <c r="L21" i="71"/>
  <c r="J27" i="71"/>
  <c r="J26" i="71"/>
  <c r="J168" i="71" s="1"/>
  <c r="M8" i="71"/>
  <c r="M5" i="71" s="1"/>
  <c r="M21" i="71" s="1"/>
  <c r="N8" i="71"/>
  <c r="R26" i="6" l="1"/>
  <c r="R30" i="6"/>
  <c r="B8" i="71"/>
  <c r="V11" i="6" s="1"/>
  <c r="M22" i="71"/>
  <c r="M25" i="71"/>
  <c r="N6" i="71"/>
  <c r="L4" i="2"/>
  <c r="N7" i="71"/>
  <c r="B7" i="71" s="1"/>
  <c r="L25" i="71"/>
  <c r="L22" i="71"/>
  <c r="R31" i="6" l="1"/>
  <c r="R32" i="6"/>
  <c r="R94" i="6" s="1"/>
  <c r="L27" i="71"/>
  <c r="L26" i="71"/>
  <c r="L168" i="71" s="1"/>
  <c r="V75" i="6"/>
  <c r="AA11" i="6"/>
  <c r="V9" i="6"/>
  <c r="L3" i="2"/>
  <c r="L10" i="2"/>
  <c r="M10" i="2" s="1"/>
  <c r="N5" i="71"/>
  <c r="B6" i="71"/>
  <c r="M26" i="71"/>
  <c r="M168" i="71" s="1"/>
  <c r="M27" i="71"/>
  <c r="K79" i="6" l="1"/>
  <c r="AD78" i="6"/>
  <c r="V7" i="6"/>
  <c r="L2" i="2"/>
  <c r="N21" i="71"/>
  <c r="B5" i="71"/>
  <c r="L9" i="2"/>
  <c r="M9" i="2" s="1"/>
  <c r="V57" i="6"/>
  <c r="AA9" i="6"/>
  <c r="AA75" i="6"/>
  <c r="K61" i="6" l="1"/>
  <c r="AD60" i="6"/>
  <c r="K80" i="6"/>
  <c r="K84" i="6"/>
  <c r="AA57" i="6"/>
  <c r="B21" i="74"/>
  <c r="B21" i="71"/>
  <c r="N25" i="71"/>
  <c r="N22" i="71"/>
  <c r="L5" i="2"/>
  <c r="M2" i="2" s="1"/>
  <c r="L8" i="2"/>
  <c r="M8" i="2" s="1"/>
  <c r="V39" i="6"/>
  <c r="V6" i="6"/>
  <c r="AA7" i="6"/>
  <c r="R47" i="6" l="1"/>
  <c r="N47" i="6"/>
  <c r="N42" i="6"/>
  <c r="J47" i="6"/>
  <c r="J42" i="6"/>
  <c r="K86" i="6"/>
  <c r="K85" i="6"/>
  <c r="K62" i="6"/>
  <c r="K66" i="6"/>
  <c r="K43" i="6"/>
  <c r="AD42" i="6"/>
  <c r="V47" i="6"/>
  <c r="F47" i="6"/>
  <c r="B47" i="6"/>
  <c r="B42" i="6"/>
  <c r="F42" i="6"/>
  <c r="V42" i="6"/>
  <c r="AA42" i="6" s="1"/>
  <c r="V25" i="6"/>
  <c r="AA6" i="6"/>
  <c r="N26" i="71"/>
  <c r="N168" i="71" s="1"/>
  <c r="N27" i="71"/>
  <c r="B22" i="71"/>
  <c r="B25" i="71"/>
  <c r="B32" i="74"/>
  <c r="AA39" i="6"/>
  <c r="M4" i="2"/>
  <c r="M3" i="2"/>
  <c r="R65" i="6" l="1"/>
  <c r="R83" i="6"/>
  <c r="T42" i="6"/>
  <c r="U42" i="6"/>
  <c r="R43" i="6"/>
  <c r="N43" i="6"/>
  <c r="P42" i="6"/>
  <c r="Q42" i="6"/>
  <c r="N83" i="6"/>
  <c r="N78" i="6"/>
  <c r="N65" i="6"/>
  <c r="N60" i="6"/>
  <c r="J43" i="6"/>
  <c r="L42" i="6"/>
  <c r="M42" i="6"/>
  <c r="J83" i="6"/>
  <c r="J78" i="6"/>
  <c r="J65" i="6"/>
  <c r="B60" i="6"/>
  <c r="J60" i="6"/>
  <c r="K44" i="6"/>
  <c r="K48" i="6"/>
  <c r="K67" i="6"/>
  <c r="K68" i="6"/>
  <c r="V26" i="6"/>
  <c r="V30" i="6"/>
  <c r="C30" i="74"/>
  <c r="C26" i="74"/>
  <c r="B39" i="74" s="1"/>
  <c r="C29" i="74"/>
  <c r="C31" i="74"/>
  <c r="C22" i="74"/>
  <c r="B36" i="74" s="1"/>
  <c r="C28" i="74"/>
  <c r="B41" i="74" s="1"/>
  <c r="C25" i="74"/>
  <c r="B37" i="74" s="1"/>
  <c r="C24" i="74"/>
  <c r="C27" i="74"/>
  <c r="C23" i="74"/>
  <c r="B27" i="71"/>
  <c r="B26" i="71"/>
  <c r="B168" i="71" s="1"/>
  <c r="B65" i="6"/>
  <c r="V65" i="6"/>
  <c r="F60" i="6"/>
  <c r="F65" i="6"/>
  <c r="V60" i="6"/>
  <c r="B78" i="6"/>
  <c r="F78" i="6"/>
  <c r="B83" i="6"/>
  <c r="F83" i="6"/>
  <c r="V83" i="6"/>
  <c r="V78" i="6"/>
  <c r="H42" i="6"/>
  <c r="I42" i="6"/>
  <c r="F43" i="6"/>
  <c r="V43" i="6"/>
  <c r="V48" i="6" s="1"/>
  <c r="E42" i="6"/>
  <c r="D42" i="6"/>
  <c r="B43" i="6"/>
  <c r="M5" i="2"/>
  <c r="C21" i="74"/>
  <c r="B35" i="74" s="1"/>
  <c r="E47" i="6"/>
  <c r="D47" i="6"/>
  <c r="T78" i="6" l="1"/>
  <c r="U78" i="6"/>
  <c r="R79" i="6"/>
  <c r="R44" i="6"/>
  <c r="R48" i="6"/>
  <c r="T60" i="6"/>
  <c r="U60" i="6"/>
  <c r="R61" i="6"/>
  <c r="N44" i="6"/>
  <c r="N48" i="6"/>
  <c r="N79" i="6"/>
  <c r="Q78" i="6"/>
  <c r="P78" i="6"/>
  <c r="N61" i="6"/>
  <c r="Q60" i="6"/>
  <c r="P60" i="6"/>
  <c r="W61" i="6"/>
  <c r="J44" i="6"/>
  <c r="J48" i="6"/>
  <c r="L78" i="6"/>
  <c r="M78" i="6"/>
  <c r="J79" i="6"/>
  <c r="L60" i="6"/>
  <c r="M60" i="6"/>
  <c r="J61" i="6"/>
  <c r="K50" i="6"/>
  <c r="K49" i="6"/>
  <c r="B40" i="74"/>
  <c r="E83" i="6"/>
  <c r="D83" i="6"/>
  <c r="B48" i="6"/>
  <c r="B44" i="6"/>
  <c r="I78" i="6"/>
  <c r="H78" i="6"/>
  <c r="F79" i="6"/>
  <c r="B6" i="56"/>
  <c r="B7" i="56" s="1"/>
  <c r="Z42" i="6"/>
  <c r="Y42" i="6"/>
  <c r="W43" i="6"/>
  <c r="W48" i="6" s="1"/>
  <c r="W50" i="6" s="1"/>
  <c r="AA78" i="6"/>
  <c r="V79" i="6"/>
  <c r="V31" i="6"/>
  <c r="V32" i="6"/>
  <c r="B38" i="74"/>
  <c r="D78" i="6"/>
  <c r="E78" i="6"/>
  <c r="B79" i="6"/>
  <c r="AA60" i="6"/>
  <c r="V61" i="6"/>
  <c r="E60" i="6"/>
  <c r="D60" i="6"/>
  <c r="B61" i="6"/>
  <c r="V44" i="6"/>
  <c r="F44" i="6"/>
  <c r="F48" i="6"/>
  <c r="I60" i="6"/>
  <c r="H60" i="6"/>
  <c r="F61" i="6"/>
  <c r="E65" i="6"/>
  <c r="D65" i="6"/>
  <c r="R62" i="6" l="1"/>
  <c r="R66" i="6"/>
  <c r="R50" i="6"/>
  <c r="R49" i="6"/>
  <c r="R80" i="6"/>
  <c r="R84" i="6"/>
  <c r="W68" i="6"/>
  <c r="N50" i="6"/>
  <c r="N49" i="6"/>
  <c r="N84" i="6"/>
  <c r="N80" i="6"/>
  <c r="N62" i="6"/>
  <c r="N66" i="6"/>
  <c r="W79" i="6"/>
  <c r="W84" i="6" s="1"/>
  <c r="W86" i="6" s="1"/>
  <c r="AC90" i="6"/>
  <c r="J49" i="6"/>
  <c r="J50" i="6"/>
  <c r="J84" i="6"/>
  <c r="J80" i="6"/>
  <c r="J62" i="6"/>
  <c r="J66" i="6"/>
  <c r="F62" i="6"/>
  <c r="F66" i="6"/>
  <c r="B84" i="6"/>
  <c r="B80" i="6"/>
  <c r="F49" i="6"/>
  <c r="F50" i="6"/>
  <c r="F84" i="6"/>
  <c r="F80" i="6"/>
  <c r="B6" i="58"/>
  <c r="B7" i="58" s="1"/>
  <c r="Z78" i="6"/>
  <c r="Y78" i="6"/>
  <c r="V66" i="6"/>
  <c r="V62" i="6"/>
  <c r="W44" i="6"/>
  <c r="V50" i="6"/>
  <c r="V49" i="6"/>
  <c r="B66" i="6"/>
  <c r="B62" i="6"/>
  <c r="B50" i="6"/>
  <c r="B49" i="6"/>
  <c r="B6" i="57"/>
  <c r="B7" i="57" s="1"/>
  <c r="Y60" i="6"/>
  <c r="Z60" i="6"/>
  <c r="V84" i="6"/>
  <c r="V80" i="6"/>
  <c r="W94" i="6" l="1"/>
  <c r="W95" i="6" s="1"/>
  <c r="R86" i="6"/>
  <c r="R85" i="6"/>
  <c r="R68" i="6"/>
  <c r="R67" i="6"/>
  <c r="N86" i="6"/>
  <c r="N85" i="6"/>
  <c r="N67" i="6"/>
  <c r="N68" i="6"/>
  <c r="J85" i="6"/>
  <c r="J86" i="6"/>
  <c r="J67" i="6"/>
  <c r="J68" i="6"/>
  <c r="V68" i="6"/>
  <c r="V67" i="6"/>
  <c r="F67" i="6"/>
  <c r="F68" i="6"/>
  <c r="W80" i="6"/>
  <c r="B67" i="6"/>
  <c r="B68" i="6"/>
  <c r="F86" i="6"/>
  <c r="F85" i="6"/>
  <c r="V85" i="6"/>
  <c r="V86" i="6"/>
  <c r="W49" i="6"/>
  <c r="W62" i="6"/>
  <c r="B85" i="6"/>
  <c r="B86" i="6"/>
  <c r="R93" i="6" l="1"/>
  <c r="R95" i="6" s="1"/>
  <c r="V94" i="6"/>
  <c r="W85" i="6"/>
  <c r="W6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tc={A1A42BBB-CDCF-4718-AF66-40D75425CE1C}</author>
    <author>tc={3DD72FC6-8EB5-4551-9A72-9552DC0D008E}</author>
    <author>tc={B3FBB818-07BA-48B0-8C98-B3B3041D31BC}</author>
    <author>tc={74FCEC11-01EA-4B17-A1A0-DB522EACC69B}</author>
    <author>tc={3F44E0DD-907D-4080-9504-B37E330B88BB}</author>
    <author>adriana ramos</author>
    <author>tc={4D231AAA-3D8C-4EB7-942C-215D746B65F0}</author>
    <author>tc={A3814D5C-6C73-413D-98C5-C664E7CD5B15}</author>
    <author>tc={8E443F09-EC3D-4505-808E-9A2EA6F8A1FC}</author>
    <author>tc={8EA73A5B-CF0C-42FD-96A2-E01E33C23F7D}</author>
    <author>tc={2D0895FF-158C-439C-A363-17E0DCC503CB}</author>
    <author>tc={096C88CD-A101-477C-A157-9EDDEE760459}</author>
    <author>tc={935408A5-B5B7-4BEE-84BB-ABA77671691D}</author>
  </authors>
  <commentList>
    <comment ref="D75" authorId="0" shapeId="0" xr:uid="{A1A42BBB-CDCF-4718-AF66-40D75425CE1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Vencimento maio 2027
O valor da Bellini esta sendo abatido 
</t>
      </text>
    </comment>
    <comment ref="E75" authorId="1" shapeId="0" xr:uid="{3DD72FC6-8EB5-4551-9A72-9552DC0D008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Vencimento maio 2027
</t>
      </text>
    </comment>
    <comment ref="F75" authorId="2" shapeId="0" xr:uid="{B3FBB818-07BA-48B0-8C98-B3B3041D31B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Vencimento maio 2027
</t>
      </text>
    </comment>
    <comment ref="G75" authorId="3" shapeId="0" xr:uid="{74FCEC11-01EA-4B17-A1A0-DB522EACC69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Vencimento maio 2027
</t>
      </text>
    </comment>
    <comment ref="H75" authorId="4" shapeId="0" xr:uid="{3F44E0DD-907D-4080-9504-B37E330B88B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Vencimento maio 2027
</t>
      </text>
    </comment>
    <comment ref="F91" authorId="5" shapeId="0" xr:uid="{4AE6ACAB-FA99-42D7-AF28-CFC12FEEC472}">
      <text>
        <r>
          <rPr>
            <b/>
            <sz val="9"/>
            <color indexed="81"/>
            <rFont val="Segoe UI"/>
            <family val="2"/>
          </rPr>
          <t>adriana ramos:</t>
        </r>
        <r>
          <rPr>
            <sz val="9"/>
            <color indexed="81"/>
            <rFont val="Segoe UI"/>
            <family val="2"/>
          </rPr>
          <t xml:space="preserve">
reajuste
</t>
        </r>
      </text>
    </comment>
    <comment ref="I92" authorId="5" shapeId="0" xr:uid="{37DE8161-FA22-4706-BE07-BBAE9C39FD23}">
      <text>
        <r>
          <rPr>
            <b/>
            <sz val="9"/>
            <color indexed="81"/>
            <rFont val="Segoe UI"/>
            <family val="2"/>
          </rPr>
          <t>adriana ramos:</t>
        </r>
        <r>
          <rPr>
            <sz val="9"/>
            <color indexed="81"/>
            <rFont val="Segoe UI"/>
            <family val="2"/>
          </rPr>
          <t xml:space="preserve">
reajuste</t>
        </r>
      </text>
    </comment>
    <comment ref="M99" authorId="5" shapeId="0" xr:uid="{A94AD72A-10D7-45DE-BAC1-C51DD02943D9}">
      <text>
        <r>
          <rPr>
            <b/>
            <sz val="9"/>
            <color indexed="81"/>
            <rFont val="Segoe UI"/>
            <family val="2"/>
          </rPr>
          <t>adriana ramos:</t>
        </r>
        <r>
          <rPr>
            <sz val="9"/>
            <color indexed="81"/>
            <rFont val="Segoe UI"/>
            <family val="2"/>
          </rPr>
          <t xml:space="preserve">
reajuste
</t>
        </r>
      </text>
    </comment>
    <comment ref="D102" authorId="6" shapeId="0" xr:uid="{4D231AAA-3D8C-4EB7-942C-215D746B65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DCTF REINF</t>
      </text>
    </comment>
    <comment ref="E102" authorId="7" shapeId="0" xr:uid="{A3814D5C-6C73-413D-98C5-C664E7CD5B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SPED</t>
      </text>
    </comment>
    <comment ref="I102" authorId="8" shapeId="0" xr:uid="{8E443F09-EC3D-4505-808E-9A2EA6F8A1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DIRF</t>
      </text>
    </comment>
    <comment ref="J102" authorId="9" shapeId="0" xr:uid="{8EA73A5B-CF0C-42FD-96A2-E01E33C23F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DCTF REINF</t>
      </text>
    </comment>
    <comment ref="K102" authorId="10" shapeId="0" xr:uid="{2D0895FF-158C-439C-A363-17E0DCC503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ECD SPED</t>
      </text>
    </comment>
    <comment ref="M107" authorId="5" shapeId="0" xr:uid="{80265F05-A745-4033-8EA1-5458225DFBFC}">
      <text>
        <r>
          <rPr>
            <b/>
            <sz val="9"/>
            <color indexed="81"/>
            <rFont val="Segoe UI"/>
            <family val="2"/>
          </rPr>
          <t>adriana ramos:</t>
        </r>
        <r>
          <rPr>
            <sz val="9"/>
            <color indexed="81"/>
            <rFont val="Segoe UI"/>
            <family val="2"/>
          </rPr>
          <t xml:space="preserve">
renovação
</t>
        </r>
      </text>
    </comment>
    <comment ref="M114" authorId="5" shapeId="0" xr:uid="{1D53C3CE-DCB2-4FD2-B1B2-46B146FE7970}">
      <text>
        <r>
          <rPr>
            <b/>
            <sz val="9"/>
            <color indexed="81"/>
            <rFont val="Segoe UI"/>
            <family val="2"/>
          </rPr>
          <t>adriana ramos:</t>
        </r>
        <r>
          <rPr>
            <sz val="9"/>
            <color indexed="81"/>
            <rFont val="Segoe UI"/>
            <family val="2"/>
          </rPr>
          <t xml:space="preserve">
reajuste USD
</t>
        </r>
      </text>
    </comment>
    <comment ref="D121" authorId="11" shapeId="0" xr:uid="{096C88CD-A101-477C-A157-9EDDEE7604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Incendio</t>
      </text>
    </comment>
    <comment ref="J121" authorId="12" shapeId="0" xr:uid="{935408A5-B5B7-4BEE-84BB-ABA7767169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RC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tc={99F0BDD0-510E-4F4F-AAE4-CE9FE7D58A30}</author>
    <author>tc={A90DC67B-CBA6-4F3A-91E4-F5B6D83E5828}</author>
    <author>tc={DC4CCF00-D869-48D8-9042-B140A5002B24}</author>
    <author>tc={7F3DC91C-FE8C-458A-8E88-8A35A3E99FF9}</author>
    <author>tc={D311058C-6ACC-4409-A988-A44C09F0BAF7}</author>
    <author>tc={FC6915F8-109B-47AF-B5B1-442FF11A7FF0}</author>
    <author>tc={4A6230D4-1CBC-47DC-A487-7F7C34E0D7DD}</author>
    <author>tc={2FA80074-6ED6-4F29-9620-467883A26A53}</author>
    <author>Adriana Ramos | Rumo Gestão</author>
    <author>tc={7DDE8C08-6492-4414-B013-B76E261CE652}</author>
    <author>tc={88441528-463F-4416-836A-55F38BE75B7B}</author>
  </authors>
  <commentList>
    <comment ref="F12" authorId="0" shapeId="0" xr:uid="{99F0BDD0-510E-4F4F-AAE4-CE9FE7D58A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adiantamento 500,00 bolsa mestrado</t>
      </text>
    </comment>
    <comment ref="G12" authorId="1" shapeId="0" xr:uid="{A90DC67B-CBA6-4F3A-91E4-F5B6D83E58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adiantamento 500,00 bolsa mestrado</t>
      </text>
    </comment>
    <comment ref="M86" authorId="2" shapeId="0" xr:uid="{DC4CCF00-D869-48D8-9042-B140A5002B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valor pago Belline</t>
      </text>
    </comment>
    <comment ref="N86" authorId="3" shapeId="0" xr:uid="{7F3DC91C-FE8C-458A-8E88-8A35A3E99FF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valor pago Belline</t>
      </text>
    </comment>
    <comment ref="C106" authorId="4" shapeId="0" xr:uid="{D311058C-6ACC-4409-A988-A44C09F0BA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191,74 Café Bravo - 443,90 produtos de limpeza e 1423,95 produtos copa</t>
      </text>
    </comment>
    <comment ref="C125" authorId="5" shapeId="0" xr:uid="{FC6915F8-109B-47AF-B5B1-442FF11A7F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E-CPF</t>
      </text>
    </comment>
    <comment ref="L126" authorId="6" shapeId="0" xr:uid="{4A6230D4-1CBC-47DC-A487-7F7C34E0D7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The economist - assinatura anual</t>
      </text>
    </comment>
    <comment ref="L128" authorId="7" shapeId="0" xr:uid="{2FA80074-6ED6-4F29-9620-467883A26A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Jornal Valor Economico - assinatura anual</t>
      </text>
    </comment>
    <comment ref="C129" authorId="8" shapeId="0" xr:uid="{BC38D638-F51A-447E-9A27-B11E2F8CCB4C}">
      <text>
        <r>
          <rPr>
            <b/>
            <sz val="13"/>
            <color indexed="81"/>
            <rFont val="Segoe UI"/>
            <family val="2"/>
          </rPr>
          <t>Adriana Ramos | Rumo Gestão:</t>
        </r>
        <r>
          <rPr>
            <sz val="13"/>
            <color indexed="81"/>
            <rFont val="Segoe UI"/>
            <family val="2"/>
          </rPr>
          <t xml:space="preserve">
IBRAC
</t>
        </r>
      </text>
    </comment>
    <comment ref="D129" authorId="8" shapeId="0" xr:uid="{5060063D-1A0F-4D4F-A29E-E3AD4037A1C3}">
      <text>
        <r>
          <rPr>
            <b/>
            <sz val="13"/>
            <color indexed="81"/>
            <rFont val="Segoe UI"/>
            <family val="2"/>
          </rPr>
          <t>Adriana Ramos | Rumo Gestão:</t>
        </r>
        <r>
          <rPr>
            <sz val="13"/>
            <color indexed="81"/>
            <rFont val="Segoe UI"/>
            <family val="2"/>
          </rPr>
          <t xml:space="preserve">
IBRAC ICC
</t>
        </r>
      </text>
    </comment>
    <comment ref="E129" authorId="8" shapeId="0" xr:uid="{2F80AC2D-3E83-4777-89BA-4B5EBF6442F4}">
      <text>
        <r>
          <rPr>
            <b/>
            <sz val="13"/>
            <color indexed="81"/>
            <rFont val="Segoe UI"/>
            <family val="2"/>
          </rPr>
          <t>Adriana Ramos | Rumo Gestão:</t>
        </r>
        <r>
          <rPr>
            <sz val="13"/>
            <color indexed="81"/>
            <rFont val="Segoe UI"/>
            <family val="2"/>
          </rPr>
          <t xml:space="preserve">
aasp
</t>
        </r>
      </text>
    </comment>
    <comment ref="F129" authorId="8" shapeId="0" xr:uid="{64C6EEE4-6027-48E8-9384-DB70DB8B807A}">
      <text>
        <r>
          <rPr>
            <b/>
            <sz val="13"/>
            <color indexed="81"/>
            <rFont val="Segoe UI"/>
            <family val="2"/>
          </rPr>
          <t>Adriana Ramos | Rumo Gestão:</t>
        </r>
        <r>
          <rPr>
            <sz val="13"/>
            <color indexed="81"/>
            <rFont val="Segoe UI"/>
            <family val="2"/>
          </rPr>
          <t xml:space="preserve">
aasp
</t>
        </r>
      </text>
    </comment>
    <comment ref="C139" authorId="9" shapeId="0" xr:uid="{7DDE8C08-6492-4414-B013-B76E261CE6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Audiência MBC+ LPC Latina</t>
      </text>
    </comment>
    <comment ref="C141" authorId="10" shapeId="0" xr:uid="{88441528-463F-4416-836A-55F38BE75B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de vinhos parcelado 3x - ⅔ e bolo de aniversariante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tc={B4FCDBFB-F6B3-4774-8799-009A5A848BD8}</author>
    <author>tc={F30787C7-997E-4835-8144-B668902E940D}</author>
    <author>tc={3952F92E-A276-405E-9142-E2B88A0D521D}</author>
    <author>tc={B2B3CF33-1073-42C1-A2CE-2EED2A3B9370}</author>
    <author>tc={9973D985-B7CA-4D7E-B971-1B6C26F5B3FD}</author>
    <author>tc={678C2F1F-4C5D-4279-9A71-E772D78990FA}</author>
    <author>tc={E55ABC2F-019B-40E2-8D71-35BD57A58A24}</author>
    <author>tc={0E423D0F-121C-485E-A92B-1D98A0F98196}</author>
    <author>Adriana Ramos | Rumo Gestão</author>
    <author>tc={19A3F49C-8189-401F-BB68-E0D784B88E2C}</author>
    <author>tc={B0996D8F-A8FE-4082-857D-BAA82170CDA0}</author>
  </authors>
  <commentList>
    <comment ref="H9" authorId="0" shapeId="0" xr:uid="{B4FCDBFB-F6B3-4774-8799-009A5A848B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Andrielly
]</t>
      </text>
    </comment>
    <comment ref="L9" authorId="1" shapeId="0" xr:uid="{F30787C7-997E-4835-8144-B668902E94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Andrielly
]</t>
      </text>
    </comment>
    <comment ref="P9" authorId="2" shapeId="0" xr:uid="{3952F92E-A276-405E-9142-E2B88A0D52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Entrada Vitoria</t>
      </text>
    </comment>
    <comment ref="T9" authorId="3" shapeId="0" xr:uid="{B2B3CF33-1073-42C1-A2CE-2EED2A3B93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Entrada Vitoria</t>
      </text>
    </comment>
    <comment ref="P11" authorId="4" shapeId="0" xr:uid="{9973D985-B7CA-4D7E-B971-1B6C26F5B3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Entrada Angelina</t>
      </text>
    </comment>
    <comment ref="T11" authorId="5" shapeId="0" xr:uid="{678C2F1F-4C5D-4279-9A71-E772D78990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Entrada Angelina</t>
      </text>
    </comment>
    <comment ref="P14" authorId="6" shapeId="0" xr:uid="{E55ABC2F-019B-40E2-8D71-35BD57A58A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Belinne diminuiu</t>
      </text>
    </comment>
    <comment ref="T14" authorId="7" shapeId="0" xr:uid="{0E423D0F-121C-485E-A92B-1D98A0F981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Belinne diminuiu</t>
      </text>
    </comment>
    <comment ref="D17" authorId="8" shapeId="0" xr:uid="{34DDAD66-13EC-4424-AF57-CDEE0688EDCD}">
      <text>
        <r>
          <rPr>
            <b/>
            <sz val="13"/>
            <color indexed="81"/>
            <rFont val="Segoe UI"/>
            <family val="2"/>
          </rPr>
          <t>Adriana Ramos | Rumo Gestão:</t>
        </r>
        <r>
          <rPr>
            <sz val="13"/>
            <color indexed="81"/>
            <rFont val="Segoe UI"/>
            <family val="2"/>
          </rPr>
          <t xml:space="preserve">
ultima mensalidade da LETS</t>
        </r>
      </text>
    </comment>
    <comment ref="P18" authorId="9" shapeId="0" xr:uid="{19A3F49C-8189-401F-BB68-E0D784B88E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Malu</t>
      </text>
    </comment>
    <comment ref="T18" authorId="10" shapeId="0" xr:uid="{B0996D8F-A8FE-4082-857D-BAA82170CD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Malu</t>
      </text>
    </comment>
  </commentList>
</comments>
</file>

<file path=xl/sharedStrings.xml><?xml version="1.0" encoding="utf-8"?>
<sst xmlns="http://schemas.openxmlformats.org/spreadsheetml/2006/main" count="1597" uniqueCount="741">
  <si>
    <t>META 2026</t>
  </si>
  <si>
    <t>YTD</t>
  </si>
  <si>
    <t>jan a jun</t>
  </si>
  <si>
    <t>jan a ago</t>
  </si>
  <si>
    <t>projeção ate dez</t>
  </si>
  <si>
    <t>Meta Anual</t>
  </si>
  <si>
    <t>Nova meta mês</t>
  </si>
  <si>
    <t>Nacionais</t>
  </si>
  <si>
    <t>Internacionais</t>
  </si>
  <si>
    <t>Pre faturas</t>
  </si>
  <si>
    <t>WM</t>
  </si>
  <si>
    <t>Tonico</t>
  </si>
  <si>
    <t>META 2025</t>
  </si>
  <si>
    <t>Faturamento</t>
  </si>
  <si>
    <t>Recebimento</t>
  </si>
  <si>
    <t>Meta</t>
  </si>
  <si>
    <t>Despesas</t>
  </si>
  <si>
    <t>Despesas indiretas</t>
  </si>
  <si>
    <t>Custo direto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</si>
  <si>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</si>
  <si>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</si>
  <si>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</si>
  <si>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</si>
  <si>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</si>
  <si>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</si>
  <si>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</si>
  <si>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</si>
  <si>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</si>
  <si>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</si>
  <si>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</si>
  <si>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</si>
  <si>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MÉDIA ANUAL</t>
  </si>
  <si>
    <t>#</t>
  </si>
  <si>
    <t>DRE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</si>
  <si>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</si>
  <si>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</si>
  <si>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</si>
  <si>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</si>
  <si>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</si>
  <si>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</si>
  <si>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</si>
  <si>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</si>
  <si>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</si>
  <si>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</si>
  <si>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</si>
  <si>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</si>
  <si>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             Resultado  Institucional</t>
  </si>
  <si>
    <t>Orçado</t>
  </si>
  <si>
    <t xml:space="preserve">Faturamento </t>
  </si>
  <si>
    <t xml:space="preserve">Despesas </t>
  </si>
  <si>
    <t>Custos Diretos</t>
  </si>
  <si>
    <t>Custo equipe - Contencioso</t>
  </si>
  <si>
    <t>Custo equipe - Econômico</t>
  </si>
  <si>
    <t>Custo equipe - Arbitragem e Compliance</t>
  </si>
  <si>
    <t>Despesas Indiretas</t>
  </si>
  <si>
    <t>Ocupação</t>
  </si>
  <si>
    <t>Telecomunicações</t>
  </si>
  <si>
    <t>Despesas Gerais</t>
  </si>
  <si>
    <t>Consultoria</t>
  </si>
  <si>
    <t>Salários Administração</t>
  </si>
  <si>
    <t xml:space="preserve">Administrativas </t>
  </si>
  <si>
    <t>Taxas / Despesas Financeiras</t>
  </si>
  <si>
    <t>Investimentos em Prospecção</t>
  </si>
  <si>
    <t>Endomarketing</t>
  </si>
  <si>
    <t xml:space="preserve">Informática </t>
  </si>
  <si>
    <t>Resultado Bruto</t>
  </si>
  <si>
    <t>Margem de bruta</t>
  </si>
  <si>
    <t>Impostos</t>
  </si>
  <si>
    <t>Amortização</t>
  </si>
  <si>
    <t>Resultado Liquido após impostos</t>
  </si>
  <si>
    <t>Margem liquida</t>
  </si>
  <si>
    <t>Reserva bônus</t>
  </si>
  <si>
    <t>Assinaturas</t>
  </si>
  <si>
    <t>Resultado Financeiro 2026</t>
  </si>
  <si>
    <t>Soma  JAN. a DEZ.</t>
  </si>
  <si>
    <t>Movimentação de Entradas</t>
  </si>
  <si>
    <t>Receita de honorários</t>
  </si>
  <si>
    <t>Daniel Costa Caselta - Distribuição Mensal Fixa</t>
  </si>
  <si>
    <t>Daniel Costa Caselta - Pro labore</t>
  </si>
  <si>
    <t>Daniel Costa Caselta - Convenio Medico</t>
  </si>
  <si>
    <t>Aurelio Marchini Santos - Distribuição Mensal Fixa</t>
  </si>
  <si>
    <t>Aurelio Marchini Santos- Pro labore</t>
  </si>
  <si>
    <t>Aurelio Marchini Santos - Convenio Medico</t>
  </si>
  <si>
    <t>Beatriz Baes Xavier - Distribuição Mensal Fixa</t>
  </si>
  <si>
    <t>Beatriz Baes Xavier - Pro Labore</t>
  </si>
  <si>
    <t>Beatriz Baes Xavier - Convenio Medico</t>
  </si>
  <si>
    <t>Beatriz Baes Xavier - Despesas  Extras - Cartao Predio</t>
  </si>
  <si>
    <t>Beatriz Baes Xavier - Reajuste de Distribuição Mensal Fixa</t>
  </si>
  <si>
    <t>Isabel de Almeida Rego Campinho - Distribuição Mensal Fixa</t>
  </si>
  <si>
    <t>Isabel de Almeida Rego Campinho - Pro Labore</t>
  </si>
  <si>
    <t>Isabel de Almeida Rego Campinho - Convenio Medico</t>
  </si>
  <si>
    <t>Isabel de Almeida Rego Campinho - Reajuste de Distribuição Mensal Fixa</t>
  </si>
  <si>
    <t>Joao Victor estagiario</t>
  </si>
  <si>
    <t>Joao Victor VT</t>
  </si>
  <si>
    <t>ISS Trimestral</t>
  </si>
  <si>
    <t>Seguro de vida</t>
  </si>
  <si>
    <t>Vale Refeição</t>
  </si>
  <si>
    <r>
      <t xml:space="preserve">Participação/comissão/repasse - </t>
    </r>
    <r>
      <rPr>
        <b/>
        <sz val="11"/>
        <rFont val="Aptos Narrow"/>
        <family val="2"/>
        <scheme val="minor"/>
      </rPr>
      <t>Contencioso</t>
    </r>
  </si>
  <si>
    <t>Ricardo Franco Botelho - Distribuição Mensal Fixa</t>
  </si>
  <si>
    <t>Ricardo Franco Botelho - Pro labore</t>
  </si>
  <si>
    <t>Ricardo Franco Botelho - Convenio Medico</t>
  </si>
  <si>
    <t>Aurelio Marchini Santos - AASP</t>
  </si>
  <si>
    <t>Bruno Micalli Pedrinelli - Distribuição Mensal Fixa</t>
  </si>
  <si>
    <t>Bruno Micalli Pedrinelli - Pro Labore</t>
  </si>
  <si>
    <t>Bruno Micalli Pedrinelli - Convenio Medico</t>
  </si>
  <si>
    <t>Bruno Micalli Pedrinelli - Reajuste de Distribuição Mensal Fixa</t>
  </si>
  <si>
    <t>Elisa Hime Funari - Distribuição Mensal Fixa</t>
  </si>
  <si>
    <t>Elisa Hime Funari - Pro Labore</t>
  </si>
  <si>
    <t>Elisa Hime Funari - Convenio Medico</t>
  </si>
  <si>
    <t>Elisa Hime Funari - Reajuste de Distribuição Mensal Fixa</t>
  </si>
  <si>
    <t>Andrielly da Silva Gonsalves - Distribuição Mensal Fixa</t>
  </si>
  <si>
    <t>Andrielly da Silva Gonsalves - Pro Labore</t>
  </si>
  <si>
    <t>Andrielly da Silva Gonsalves - Convenio Medico</t>
  </si>
  <si>
    <t>Vale Transporte</t>
  </si>
  <si>
    <r>
      <t xml:space="preserve">Participação/comissão/repasse - </t>
    </r>
    <r>
      <rPr>
        <b/>
        <sz val="11"/>
        <rFont val="Aptos Narrow"/>
        <family val="2"/>
        <scheme val="minor"/>
      </rPr>
      <t>Economico</t>
    </r>
  </si>
  <si>
    <t>Martim Della Valle - Distribuição Mensal Fixa</t>
  </si>
  <si>
    <t>Martim Della Valle - Pro labore</t>
  </si>
  <si>
    <t>Felipe Sartório de Melo - Distribuição Mensal Fixa</t>
  </si>
  <si>
    <t xml:space="preserve">Felipe Sartório de Melo - Pro Labore </t>
  </si>
  <si>
    <t>Felipe Sartório de Melo - Convenio Medico</t>
  </si>
  <si>
    <t>Felipe Sartório de Melo - Reajuste de Distribuição Mensal Fixa</t>
  </si>
  <si>
    <t>Joao</t>
  </si>
  <si>
    <t>Emillly</t>
  </si>
  <si>
    <r>
      <t>Participação/comissão/repasse - A</t>
    </r>
    <r>
      <rPr>
        <b/>
        <sz val="11"/>
        <rFont val="Aptos Narrow"/>
        <family val="2"/>
        <scheme val="minor"/>
      </rPr>
      <t>rbitragem</t>
    </r>
  </si>
  <si>
    <t>Despesas para Clientes</t>
  </si>
  <si>
    <t>Não Reembolsáveis</t>
  </si>
  <si>
    <t>Reembolsáveis</t>
  </si>
  <si>
    <t>Aluguel</t>
  </si>
  <si>
    <t>Condomínio</t>
  </si>
  <si>
    <t>Cameras Ed. Lacerda</t>
  </si>
  <si>
    <t>Energia</t>
  </si>
  <si>
    <t>IPTU</t>
  </si>
  <si>
    <t>Seguro Locação</t>
  </si>
  <si>
    <t>Internet</t>
  </si>
  <si>
    <t xml:space="preserve">Telefonia Fixa </t>
  </si>
  <si>
    <t>Alteração Contrato Social</t>
  </si>
  <si>
    <t>Cartório</t>
  </si>
  <si>
    <t>Cópias / Gráfica</t>
  </si>
  <si>
    <t>Correio</t>
  </si>
  <si>
    <t>Estacionamento (clientes)</t>
  </si>
  <si>
    <t>Higiene e Copa</t>
  </si>
  <si>
    <t>Limpeza e Copeira</t>
  </si>
  <si>
    <t>Manutenção ar condicionado</t>
  </si>
  <si>
    <t>Manutenção do Escritório</t>
  </si>
  <si>
    <t>Manutenção do Jardim</t>
  </si>
  <si>
    <t>Material de Escritório</t>
  </si>
  <si>
    <t xml:space="preserve">Motoboy </t>
  </si>
  <si>
    <t>Táxi</t>
  </si>
  <si>
    <t>Consultoria Adm. e Financeira</t>
  </si>
  <si>
    <t>Contabilidade BPO</t>
  </si>
  <si>
    <t>Contabilidade | Taxas e Obrigações Fiscais</t>
  </si>
  <si>
    <t>Escrituração fiscal e cetificado digital</t>
  </si>
  <si>
    <t xml:space="preserve">Consultoria em Marketing </t>
  </si>
  <si>
    <t>Salario ADM</t>
  </si>
  <si>
    <t>13º Salário - ADM</t>
  </si>
  <si>
    <t>Convênio Médico - ADM</t>
  </si>
  <si>
    <t xml:space="preserve">Exame médico </t>
  </si>
  <si>
    <t>FGTS</t>
  </si>
  <si>
    <t>Vale Refeição- ADM</t>
  </si>
  <si>
    <r>
      <t xml:space="preserve">Assinaturas - </t>
    </r>
    <r>
      <rPr>
        <b/>
        <sz val="11"/>
        <rFont val="Aptos Narrow"/>
        <family val="2"/>
        <scheme val="minor"/>
      </rPr>
      <t>Contencioso</t>
    </r>
    <r>
      <rPr>
        <sz val="11"/>
        <rFont val="Aptos Narrow"/>
        <family val="2"/>
        <scheme val="minor"/>
      </rPr>
      <t xml:space="preserve"> (AASP)</t>
    </r>
  </si>
  <si>
    <r>
      <t xml:space="preserve">Assinaturas - </t>
    </r>
    <r>
      <rPr>
        <b/>
        <sz val="11"/>
        <rFont val="Aptos Narrow"/>
        <family val="2"/>
        <scheme val="minor"/>
      </rPr>
      <t>Direito Econômico</t>
    </r>
    <r>
      <rPr>
        <sz val="11"/>
        <rFont val="Aptos Narrow"/>
        <family val="2"/>
        <scheme val="minor"/>
      </rPr>
      <t xml:space="preserve"> (The Economist)</t>
    </r>
  </si>
  <si>
    <r>
      <t xml:space="preserve">Assinaturas - </t>
    </r>
    <r>
      <rPr>
        <b/>
        <sz val="11"/>
        <rFont val="Aptos Narrow"/>
        <family val="2"/>
        <scheme val="minor"/>
      </rPr>
      <t>Arbitragem e Compliance</t>
    </r>
  </si>
  <si>
    <t>Assinaturas - Institucional (ADOBE e  Valor)</t>
  </si>
  <si>
    <r>
      <t xml:space="preserve">Associações - </t>
    </r>
    <r>
      <rPr>
        <b/>
        <sz val="11"/>
        <rFont val="Aptos Narrow"/>
        <family val="2"/>
        <scheme val="minor"/>
      </rPr>
      <t>Contencioso</t>
    </r>
    <r>
      <rPr>
        <sz val="11"/>
        <rFont val="Aptos Narrow"/>
        <family val="2"/>
        <scheme val="minor"/>
      </rPr>
      <t xml:space="preserve"> (Canal Arbitragem e ICC)</t>
    </r>
  </si>
  <si>
    <r>
      <t xml:space="preserve">Associações - </t>
    </r>
    <r>
      <rPr>
        <b/>
        <sz val="11"/>
        <rFont val="Aptos Narrow"/>
        <family val="2"/>
        <scheme val="minor"/>
      </rPr>
      <t>Direito Econômico</t>
    </r>
    <r>
      <rPr>
        <sz val="11"/>
        <rFont val="Aptos Narrow"/>
        <family val="2"/>
        <scheme val="minor"/>
      </rPr>
      <t xml:space="preserve"> (Canal de arbitragem, ICC, IBRAC)</t>
    </r>
  </si>
  <si>
    <r>
      <t xml:space="preserve">Associações - </t>
    </r>
    <r>
      <rPr>
        <b/>
        <sz val="11"/>
        <rFont val="Aptos Narrow"/>
        <family val="2"/>
        <scheme val="minor"/>
      </rPr>
      <t>Arbitragem e Compliance</t>
    </r>
    <r>
      <rPr>
        <sz val="11"/>
        <rFont val="Aptos Narrow"/>
        <family val="2"/>
        <scheme val="minor"/>
      </rPr>
      <t xml:space="preserve"> (Canal de Arbitragem, ICC, CBAR)</t>
    </r>
  </si>
  <si>
    <t>Associações - Institucional</t>
  </si>
  <si>
    <t xml:space="preserve">Seguro </t>
  </si>
  <si>
    <t>Transação cambial</t>
  </si>
  <si>
    <t>Tarifas e Taxas Bancárias</t>
  </si>
  <si>
    <r>
      <t xml:space="preserve">Refeições - </t>
    </r>
    <r>
      <rPr>
        <b/>
        <sz val="11"/>
        <rFont val="Aptos Narrow"/>
        <family val="2"/>
        <scheme val="minor"/>
      </rPr>
      <t>Institucional</t>
    </r>
  </si>
  <si>
    <r>
      <t xml:space="preserve">Refeições - </t>
    </r>
    <r>
      <rPr>
        <b/>
        <sz val="11"/>
        <rFont val="Aptos Narrow"/>
        <family val="2"/>
        <scheme val="minor"/>
      </rPr>
      <t>Arbitragem e Compliance</t>
    </r>
  </si>
  <si>
    <r>
      <t xml:space="preserve">Refeições - </t>
    </r>
    <r>
      <rPr>
        <b/>
        <sz val="11"/>
        <rFont val="Aptos Narrow"/>
        <family val="2"/>
        <scheme val="minor"/>
      </rPr>
      <t>Contencioso</t>
    </r>
  </si>
  <si>
    <r>
      <t xml:space="preserve">Refeições - </t>
    </r>
    <r>
      <rPr>
        <b/>
        <sz val="11"/>
        <rFont val="Aptos Narrow"/>
        <family val="2"/>
        <scheme val="minor"/>
      </rPr>
      <t>Direito Econômico</t>
    </r>
  </si>
  <si>
    <r>
      <t xml:space="preserve">Patrocinio de eventos - </t>
    </r>
    <r>
      <rPr>
        <b/>
        <sz val="11"/>
        <rFont val="Aptos Narrow"/>
        <family val="2"/>
        <scheme val="minor"/>
      </rPr>
      <t>Institucional</t>
    </r>
  </si>
  <si>
    <r>
      <t xml:space="preserve">Patrocinio de eventos - </t>
    </r>
    <r>
      <rPr>
        <b/>
        <sz val="11"/>
        <rFont val="Aptos Narrow"/>
        <family val="2"/>
        <scheme val="minor"/>
      </rPr>
      <t>Arbitragem e Compliance</t>
    </r>
  </si>
  <si>
    <r>
      <t xml:space="preserve">Patrocinio de eventos - </t>
    </r>
    <r>
      <rPr>
        <b/>
        <sz val="11"/>
        <rFont val="Aptos Narrow"/>
        <family val="2"/>
        <scheme val="minor"/>
      </rPr>
      <t>Contencioso</t>
    </r>
  </si>
  <si>
    <r>
      <t xml:space="preserve">Patrocinio de eventos - </t>
    </r>
    <r>
      <rPr>
        <b/>
        <sz val="11"/>
        <rFont val="Aptos Narrow"/>
        <family val="2"/>
        <scheme val="minor"/>
      </rPr>
      <t>Direito Econômico</t>
    </r>
  </si>
  <si>
    <r>
      <t xml:space="preserve">Eventos e Happy hour - </t>
    </r>
    <r>
      <rPr>
        <b/>
        <sz val="11"/>
        <rFont val="Aptos Narrow"/>
        <family val="2"/>
        <scheme val="minor"/>
      </rPr>
      <t>Institucional</t>
    </r>
  </si>
  <si>
    <r>
      <t xml:space="preserve">Eventos e Happy hour - </t>
    </r>
    <r>
      <rPr>
        <b/>
        <sz val="11"/>
        <rFont val="Aptos Narrow"/>
        <family val="2"/>
        <scheme val="minor"/>
      </rPr>
      <t>Arbitragem e Compliance</t>
    </r>
  </si>
  <si>
    <r>
      <t xml:space="preserve">Eventos e Happy hour - </t>
    </r>
    <r>
      <rPr>
        <b/>
        <sz val="11"/>
        <rFont val="Aptos Narrow"/>
        <family val="2"/>
        <scheme val="minor"/>
      </rPr>
      <t>Contencioso</t>
    </r>
  </si>
  <si>
    <r>
      <t xml:space="preserve">Eventos e Happy hour - </t>
    </r>
    <r>
      <rPr>
        <b/>
        <sz val="11"/>
        <rFont val="Aptos Narrow"/>
        <family val="2"/>
        <scheme val="minor"/>
      </rPr>
      <t>Direito Econômico</t>
    </r>
  </si>
  <si>
    <r>
      <t xml:space="preserve">Material Grafico - </t>
    </r>
    <r>
      <rPr>
        <b/>
        <sz val="11"/>
        <rFont val="Aptos Narrow"/>
        <family val="2"/>
        <scheme val="minor"/>
      </rPr>
      <t>Institucional</t>
    </r>
  </si>
  <si>
    <r>
      <t xml:space="preserve">Material Grafico - </t>
    </r>
    <r>
      <rPr>
        <b/>
        <sz val="11"/>
        <rFont val="Aptos Narrow"/>
        <family val="2"/>
        <scheme val="minor"/>
      </rPr>
      <t>Arbitragem e Compliance</t>
    </r>
  </si>
  <si>
    <r>
      <t xml:space="preserve">Material Grafico - </t>
    </r>
    <r>
      <rPr>
        <b/>
        <sz val="11"/>
        <rFont val="Aptos Narrow"/>
        <family val="2"/>
        <scheme val="minor"/>
      </rPr>
      <t>Contencioso</t>
    </r>
  </si>
  <si>
    <r>
      <t xml:space="preserve">Material Grafico - </t>
    </r>
    <r>
      <rPr>
        <b/>
        <sz val="11"/>
        <rFont val="Aptos Narrow"/>
        <family val="2"/>
        <scheme val="minor"/>
      </rPr>
      <t>Direito Econômico</t>
    </r>
  </si>
  <si>
    <r>
      <t xml:space="preserve">Viagens - </t>
    </r>
    <r>
      <rPr>
        <b/>
        <sz val="11"/>
        <rFont val="Aptos Narrow"/>
        <family val="2"/>
        <scheme val="minor"/>
      </rPr>
      <t>Institucional</t>
    </r>
  </si>
  <si>
    <r>
      <t xml:space="preserve">Viagens - </t>
    </r>
    <r>
      <rPr>
        <b/>
        <sz val="11"/>
        <rFont val="Aptos Narrow"/>
        <family val="2"/>
        <scheme val="minor"/>
      </rPr>
      <t>Arbitragem e Compliance</t>
    </r>
  </si>
  <si>
    <r>
      <t xml:space="preserve">Viagens - </t>
    </r>
    <r>
      <rPr>
        <b/>
        <sz val="11"/>
        <rFont val="Aptos Narrow"/>
        <family val="2"/>
        <scheme val="minor"/>
      </rPr>
      <t>Contencioso</t>
    </r>
  </si>
  <si>
    <r>
      <t xml:space="preserve">Viagens - </t>
    </r>
    <r>
      <rPr>
        <b/>
        <sz val="11"/>
        <rFont val="Aptos Narrow"/>
        <family val="2"/>
        <scheme val="minor"/>
      </rPr>
      <t>Direito Econômico</t>
    </r>
  </si>
  <si>
    <t>Gestão do Conhecimento</t>
  </si>
  <si>
    <r>
      <t xml:space="preserve">Cursos e Treinamentos - </t>
    </r>
    <r>
      <rPr>
        <b/>
        <sz val="11"/>
        <rFont val="Aptos Narrow"/>
        <family val="2"/>
        <scheme val="minor"/>
      </rPr>
      <t>Arbitragem e Compliance</t>
    </r>
  </si>
  <si>
    <r>
      <t xml:space="preserve">Cursos e Treinamentos - </t>
    </r>
    <r>
      <rPr>
        <b/>
        <sz val="11"/>
        <rFont val="Aptos Narrow"/>
        <family val="2"/>
        <scheme val="minor"/>
      </rPr>
      <t>Contencioso</t>
    </r>
  </si>
  <si>
    <r>
      <t xml:space="preserve">Cursos e Treinamentos - </t>
    </r>
    <r>
      <rPr>
        <b/>
        <sz val="11"/>
        <rFont val="Aptos Narrow"/>
        <family val="2"/>
        <scheme val="minor"/>
      </rPr>
      <t>Direito Econômico</t>
    </r>
  </si>
  <si>
    <t>Cursos e treinamentos - Institucional</t>
  </si>
  <si>
    <t>Manutenção Biblioteca</t>
  </si>
  <si>
    <t>Brinde Equipe</t>
  </si>
  <si>
    <t>Eventos Internos - Almoços - Confraternização Equipe</t>
  </si>
  <si>
    <t>Presentes / Incentivo MBC</t>
  </si>
  <si>
    <t xml:space="preserve">Impostos </t>
  </si>
  <si>
    <t>COFINS</t>
  </si>
  <si>
    <t>ISS</t>
  </si>
  <si>
    <t xml:space="preserve">PIS </t>
  </si>
  <si>
    <t>TFE</t>
  </si>
  <si>
    <t>E-social</t>
  </si>
  <si>
    <t>Antivírus</t>
  </si>
  <si>
    <t>Data Center  (Oracle)</t>
  </si>
  <si>
    <t>Data Center  (Azure)</t>
  </si>
  <si>
    <t>Impressoras e Periféricos</t>
  </si>
  <si>
    <t>Inspira Tecnologia</t>
  </si>
  <si>
    <t>Licenças de Uso Microsoft  - Institucional</t>
  </si>
  <si>
    <t xml:space="preserve">Certificado SLL GO Daddy </t>
  </si>
  <si>
    <t>Suporte de Informática</t>
  </si>
  <si>
    <t>Suporte Juritis</t>
  </si>
  <si>
    <t>Sistema Juridico</t>
  </si>
  <si>
    <t>Microcomputadores / Servidores</t>
  </si>
  <si>
    <t>Distribuição de Lucros extras</t>
  </si>
  <si>
    <t>Bônus equipe</t>
  </si>
  <si>
    <t>DL excedente dos sócios</t>
  </si>
  <si>
    <t xml:space="preserve">DL Extraordinaria </t>
  </si>
  <si>
    <t>DL excedente MV</t>
  </si>
  <si>
    <t>Repasse Cacione</t>
  </si>
  <si>
    <t>Total saídas</t>
  </si>
  <si>
    <t>Despesas Institucional</t>
  </si>
  <si>
    <t>Investimentos Institucional</t>
  </si>
  <si>
    <t>Imposto</t>
  </si>
  <si>
    <t>Despesas Totais das Areas</t>
  </si>
  <si>
    <t>Despesas Área:</t>
  </si>
  <si>
    <t>Orçado Anual</t>
  </si>
  <si>
    <t>Contencioso</t>
  </si>
  <si>
    <t>Econômico</t>
  </si>
  <si>
    <t>Arbitragem e Compliance</t>
  </si>
  <si>
    <t>Despesa para ratear</t>
  </si>
  <si>
    <t>Investimentos Área:</t>
  </si>
  <si>
    <t>JANEIRO</t>
  </si>
  <si>
    <t>DESPESAS RATEADAS</t>
  </si>
  <si>
    <t>Rateio anual</t>
  </si>
  <si>
    <t>Total das Áreas</t>
  </si>
  <si>
    <t>FEVEREIRO</t>
  </si>
  <si>
    <t>MARÇO</t>
  </si>
  <si>
    <t>ABRIL</t>
  </si>
  <si>
    <t>MAIO</t>
  </si>
  <si>
    <t>Realizado</t>
  </si>
  <si>
    <t>TOTAL</t>
  </si>
  <si>
    <t>Minimo de receita</t>
  </si>
  <si>
    <t>Equipe</t>
  </si>
  <si>
    <t>Margem Liq.</t>
  </si>
  <si>
    <t>Investimento amortizaçao</t>
  </si>
  <si>
    <t>Economico</t>
  </si>
  <si>
    <t>Arbitragem</t>
  </si>
  <si>
    <t>ANUAL</t>
  </si>
  <si>
    <t xml:space="preserve">Janeiro </t>
  </si>
  <si>
    <t xml:space="preserve">Março </t>
  </si>
  <si>
    <t xml:space="preserve">Abril </t>
  </si>
  <si>
    <t xml:space="preserve">Julho </t>
  </si>
  <si>
    <t xml:space="preserve">Setembro </t>
  </si>
  <si>
    <t xml:space="preserve">Novembro </t>
  </si>
  <si>
    <t>Aurelio Marchini Santos- AASP</t>
  </si>
  <si>
    <t>Daniel Costa Caselta - AASP</t>
  </si>
  <si>
    <t xml:space="preserve">João Victor Santos de Oliveira - Bolsa auxilio / IR Estagiários </t>
  </si>
  <si>
    <t>João Victor Santos de Oliveira - Seguro de Vida</t>
  </si>
  <si>
    <r>
      <t xml:space="preserve">Participação/Comissão - </t>
    </r>
    <r>
      <rPr>
        <b/>
        <sz val="11"/>
        <rFont val="Aptos Narrow"/>
        <family val="2"/>
        <scheme val="minor"/>
      </rPr>
      <t>Contencioso</t>
    </r>
  </si>
  <si>
    <t>Repasse - Contencioso</t>
  </si>
  <si>
    <t>Andrielly da Silva Gonsalves - Subsidio de Pós</t>
  </si>
  <si>
    <t>Andrielly da Silva Gonsalves -  Reajuste de Distribuição Mensal Fixa</t>
  </si>
  <si>
    <t>Victoria Malta Corradini - Convenio Medico</t>
  </si>
  <si>
    <t xml:space="preserve">Vitoria Santos de Rezende Bolsa auxilio / IR Estagiários </t>
  </si>
  <si>
    <t>Vitoria Santos de Rezende Seguro de vida</t>
  </si>
  <si>
    <t>ISS - Trimestral</t>
  </si>
  <si>
    <t>Seguro de Vida</t>
  </si>
  <si>
    <r>
      <t xml:space="preserve">Participação/comissão - </t>
    </r>
    <r>
      <rPr>
        <b/>
        <sz val="11"/>
        <rFont val="Aptos Narrow"/>
        <family val="2"/>
        <scheme val="minor"/>
      </rPr>
      <t>Economico</t>
    </r>
  </si>
  <si>
    <t>Repasse - Economico</t>
  </si>
  <si>
    <t>Emilly Kauany Martins Calixto - Ajuda de Custo VR</t>
  </si>
  <si>
    <t>Emilly Kauany Martins Calixto - Convenio medico</t>
  </si>
  <si>
    <t>Emilly Kauany Martins Calixto - Distribuição Mensal Fixa</t>
  </si>
  <si>
    <t>Emilly Kauany Martins Calixto - Pro Labore</t>
  </si>
  <si>
    <t>Joao Gabriel Previero de Arruda Sampaio - Convenio Medico</t>
  </si>
  <si>
    <t>Joao Gabriel Previero de Arruda Sampaio - Distribuição Mensal Fixa</t>
  </si>
  <si>
    <t xml:space="preserve">Joao Gabriel Previero de Arruda Sampaio - </t>
  </si>
  <si>
    <t>Angelina Vitoria Barbosa Teixeira das Neves - Convenio Medico</t>
  </si>
  <si>
    <t>Angelina Vitoria Barbosa Teixeira das Neves - Distribuição Mensal Fixa</t>
  </si>
  <si>
    <t xml:space="preserve">Angelina Vitoria Barbosa Teixeira das Neves - Pro Labore </t>
  </si>
  <si>
    <r>
      <t>Participação/comissão - A</t>
    </r>
    <r>
      <rPr>
        <b/>
        <sz val="11"/>
        <rFont val="Aptos Narrow"/>
        <family val="2"/>
        <scheme val="minor"/>
      </rPr>
      <t>rbitragem</t>
    </r>
  </si>
  <si>
    <t>Repasse - Arbitragem</t>
  </si>
  <si>
    <t>Camera Ed. Lacerda</t>
  </si>
  <si>
    <t>Limpeza e Copeira - Serviço Terceirizado</t>
  </si>
  <si>
    <t>Material de Higiene e Copa</t>
  </si>
  <si>
    <t>OAB / CS</t>
  </si>
  <si>
    <t>Contabilidade</t>
  </si>
  <si>
    <t>Férias</t>
  </si>
  <si>
    <r>
      <t xml:space="preserve">Associações - </t>
    </r>
    <r>
      <rPr>
        <b/>
        <sz val="11"/>
        <rFont val="Aptos Narrow"/>
        <family val="2"/>
        <scheme val="minor"/>
      </rPr>
      <t>Contencioso</t>
    </r>
    <r>
      <rPr>
        <sz val="11"/>
        <rFont val="Aptos Narrow"/>
        <family val="2"/>
        <scheme val="minor"/>
      </rPr>
      <t xml:space="preserve"> ( ICC e IBRAC AASP)</t>
    </r>
  </si>
  <si>
    <r>
      <t xml:space="preserve">Associações - </t>
    </r>
    <r>
      <rPr>
        <b/>
        <sz val="11"/>
        <rFont val="Aptos Narrow"/>
        <family val="2"/>
        <scheme val="minor"/>
      </rPr>
      <t>Direito Econômico</t>
    </r>
    <r>
      <rPr>
        <sz val="11"/>
        <rFont val="Aptos Narrow"/>
        <family val="2"/>
        <scheme val="minor"/>
      </rPr>
      <t xml:space="preserve"> (ICC, IBRAC)</t>
    </r>
  </si>
  <si>
    <t>Associações - Arbitragem e Compliance (Canal de Arbitragem, ICC, CBAR)</t>
  </si>
  <si>
    <t>Seguro de Responsabilidade Civil</t>
  </si>
  <si>
    <t>Biblioteca</t>
  </si>
  <si>
    <t xml:space="preserve">  </t>
  </si>
  <si>
    <t>CSLL Trimestral</t>
  </si>
  <si>
    <t>Impostos 3ºs</t>
  </si>
  <si>
    <t>INSS Folha e Pro - Labores</t>
  </si>
  <si>
    <t>IRRF Folha</t>
  </si>
  <si>
    <t>IRRF Trimestral</t>
  </si>
  <si>
    <t xml:space="preserve">ISS </t>
  </si>
  <si>
    <t>Licenças de Uso de Software  - Institucional</t>
  </si>
  <si>
    <t>Gravaçao na Nuvem - anual</t>
  </si>
  <si>
    <t>Suporte Totvs</t>
  </si>
  <si>
    <t>Comissão</t>
  </si>
  <si>
    <t>CHECK</t>
  </si>
  <si>
    <t>DRE 2026</t>
  </si>
  <si>
    <t>Variação Mensal</t>
  </si>
  <si>
    <t>Desvio%</t>
  </si>
  <si>
    <t>Orçado YTG</t>
  </si>
  <si>
    <t>Orçado YTD</t>
  </si>
  <si>
    <t>Variação</t>
  </si>
  <si>
    <t>YTG</t>
  </si>
  <si>
    <t xml:space="preserve">Receita </t>
  </si>
  <si>
    <t>Investimento amortização</t>
  </si>
  <si>
    <t xml:space="preserve">Bonus </t>
  </si>
  <si>
    <t>Resultado Contencioso</t>
  </si>
  <si>
    <t xml:space="preserve">Custo Equipe </t>
  </si>
  <si>
    <t>Despesas Equipe</t>
  </si>
  <si>
    <t xml:space="preserve"> Resultado Econômico</t>
  </si>
  <si>
    <t xml:space="preserve"> Resultado Arbitragem</t>
  </si>
  <si>
    <t xml:space="preserve">Despesas Institucional </t>
  </si>
  <si>
    <t>NÃO ALOCADOS</t>
  </si>
  <si>
    <t>Check</t>
  </si>
  <si>
    <t xml:space="preserve">Orçado </t>
  </si>
  <si>
    <t>Custo equipe</t>
  </si>
  <si>
    <t>Resultado Liquido</t>
  </si>
  <si>
    <t>Prospecção</t>
  </si>
  <si>
    <t>Pessoal</t>
  </si>
  <si>
    <t>TI</t>
  </si>
  <si>
    <t>Despesa Institucional</t>
  </si>
  <si>
    <t>Docto</t>
  </si>
  <si>
    <t>Cliente</t>
  </si>
  <si>
    <t>Razão Social Fatura</t>
  </si>
  <si>
    <t>Histórico</t>
  </si>
  <si>
    <t>Fatura</t>
  </si>
  <si>
    <t>Número Nota Fiscal</t>
  </si>
  <si>
    <t>Data Emissão</t>
  </si>
  <si>
    <t>Vencimento</t>
  </si>
  <si>
    <t>Data Recebimento</t>
  </si>
  <si>
    <t>Moeda</t>
  </si>
  <si>
    <t>Valor Honorários</t>
  </si>
  <si>
    <t>Valor Despesas</t>
  </si>
  <si>
    <t>Valor Total Fatura</t>
  </si>
  <si>
    <t>Valor Total</t>
  </si>
  <si>
    <t>Valor Recebido</t>
  </si>
  <si>
    <t>Honorários</t>
  </si>
  <si>
    <t>11754</t>
  </si>
  <si>
    <t>Companhia Ultragaz S.A.</t>
  </si>
  <si>
    <t>Fatura: 3952 - Cliente: 114 - Companhia Ultragaz S.A. - Caso: 1 - Trustee AC Ultragaz Supergasbras</t>
  </si>
  <si>
    <t>00002950</t>
  </si>
  <si>
    <t>R</t>
  </si>
  <si>
    <t>11609</t>
  </si>
  <si>
    <t>VLI Multimodal S.A</t>
  </si>
  <si>
    <t>Fatura: 3919 - Cliente: 2 - VLI Multimodal S.A - Caso: 8 - (Contrato Fixo) - Ação Ordinária ANTAQ</t>
  </si>
  <si>
    <t>00002932</t>
  </si>
  <si>
    <t>11740</t>
  </si>
  <si>
    <t>Sherwin-Williams do Brasil Indústria e Comércio Ltda. Sherwin-Williams do Brasil Indústria e Comérc</t>
  </si>
  <si>
    <t>Fatura: 3944 - Cliente: 6 - Sherwin-Williams do Brasil Indústria e Comércio Ltda. - Caso: 7 - (Contrato Fixo) - Ação de Cobrança - ARG Representações - Acompanhamento Processual</t>
  </si>
  <si>
    <t>11711</t>
  </si>
  <si>
    <t>Zetta</t>
  </si>
  <si>
    <t>Fatura: 3932 - Cliente: 139 - Zetta - Caso: 2 - Assessoria e Monitoramento (Etapa 3) - Cade</t>
  </si>
  <si>
    <t>00002934</t>
  </si>
  <si>
    <t>11696</t>
  </si>
  <si>
    <t>Eólica Serra Das Vacas Vii S.A.</t>
  </si>
  <si>
    <t>Fatura: 3929 - Cliente: 132 - Eólica Serra Das Vacas Vii S.A. - Caso: 1 - Ação Indenizatória Neo Energia</t>
  </si>
  <si>
    <t>00002935</t>
  </si>
  <si>
    <t>11729</t>
  </si>
  <si>
    <t>Fatura: 3933 - Cliente: 6 - Sherwin-Williams do Brasil Indústria e Comércio Ltda. - Caso: 4 - (Contrato Fixo) - Ação de Cobrança - Renato Vaz de Mello - Acompanhamento Processual</t>
  </si>
  <si>
    <t>00002943</t>
  </si>
  <si>
    <t>11741</t>
  </si>
  <si>
    <t>John Deere Brasil Ltda.</t>
  </si>
  <si>
    <t>Fatura: 3945 - Cliente: 7 - John Deere Brasil Ltda. - Caso: 1 - Consultas Diversas</t>
  </si>
  <si>
    <t>00002944</t>
  </si>
  <si>
    <t>11742</t>
  </si>
  <si>
    <t>Fatura: 3946 - Cliente: 7 - John Deere Brasil Ltda. - Caso: 17 - Consulta - Programa Protect</t>
  </si>
  <si>
    <t>00002945</t>
  </si>
  <si>
    <t>11690</t>
  </si>
  <si>
    <t>Maristela Haddad Andraus De Oliveira</t>
  </si>
  <si>
    <t>Fatura: 3923 - Cliente: 115 - Cansford Associates Limited - Caso: 1 - AMCHAM 156</t>
  </si>
  <si>
    <t>00002927</t>
  </si>
  <si>
    <t>11730</t>
  </si>
  <si>
    <t>Navemazônia Navegação Ltda</t>
  </si>
  <si>
    <t>Fatura: 3934 - Cliente: 61 - Atem's Distribuidora De Petróleo S.A. - Caso: 17 - Notificação de Operação ao CADE | Operação WPL</t>
  </si>
  <si>
    <t>00002948</t>
  </si>
  <si>
    <t>11749</t>
  </si>
  <si>
    <t>REFINARIA DE MANAUS S.A</t>
  </si>
  <si>
    <t>Fatura: 3947 - Cliente: 61 - Atem's Distribuidora De Petróleo S.A. - Caso: 10 - Ream - Trabalhos Adicionais</t>
  </si>
  <si>
    <t>00002946</t>
  </si>
  <si>
    <t>11750</t>
  </si>
  <si>
    <t>Fatura: 3948 - Cliente: 61 - Atem's Distribuidora De Petróleo S.A. - Caso: 9 - Cade - Cumprimento ACC</t>
  </si>
  <si>
    <t>00002947</t>
  </si>
  <si>
    <t>11755</t>
  </si>
  <si>
    <t>Supergasbras Energia Ltda</t>
  </si>
  <si>
    <t>Fatura: 3953 - Cliente: 114 - Companhia Ultragaz S.A. - Caso: 1 - Trustee AC Ultragaz Supergasbras</t>
  </si>
  <si>
    <t>00002951</t>
  </si>
  <si>
    <t>11849</t>
  </si>
  <si>
    <t>White Martins Gases Industriais Ltda.</t>
  </si>
  <si>
    <t>Fatura: 3963 - Cliente: 5 - White Martins Gases Industriais Ltda. - Caso: 11 - Avaliação de Risco Concorrencial</t>
  </si>
  <si>
    <t>00002963</t>
  </si>
  <si>
    <t>11970</t>
  </si>
  <si>
    <t>Hunter Douglas do Brasil LTDA</t>
  </si>
  <si>
    <t>Fatura: 4008 - Cliente: 146 - Hunter Douglas do Brasil LTDA - Caso: 2 - Contrato Montasul</t>
  </si>
  <si>
    <t>00003024</t>
  </si>
  <si>
    <t>11732</t>
  </si>
  <si>
    <t>Fatura: 3936 - Cliente: 61 - Atem's Distribuidora De Petróleo S.A. - Caso: 17 - Notificação de Operação ao CADE | Operação WPL</t>
  </si>
  <si>
    <t>11793</t>
  </si>
  <si>
    <t>Sottopelle Brasil S.A</t>
  </si>
  <si>
    <t>Fatura: 3959 - Cliente: 130 - Renewal Pharma Brasil Royalties Ltda. - Caso: 1 - Farmacia Artesanal - Injunction and Arbitration</t>
  </si>
  <si>
    <t>00002959</t>
  </si>
  <si>
    <t>11792</t>
  </si>
  <si>
    <t>Renewal Pharma Brasil Royalties Ltda.</t>
  </si>
  <si>
    <t>Fatura: 3958 - Cliente: 130 - Renewal Pharma Brasil Royalties Ltda. - Caso: 1 - Farmacia Artesanal - Injunction and Arbitration</t>
  </si>
  <si>
    <t>00002958</t>
  </si>
  <si>
    <t>11631</t>
  </si>
  <si>
    <t>Fatura: 3833 - Cliente: 115 - Cansford Associates Limited - Caso: 1 - AMCHAM 156</t>
  </si>
  <si>
    <t>00002856</t>
  </si>
  <si>
    <t>11935</t>
  </si>
  <si>
    <t>Agropecuária Sol da Costa S.A</t>
  </si>
  <si>
    <t>Fatura: 3998 - Cliente: 92 - Agropecuária Sol da Costa S.A - Caso: 1 - Contratos Grune - Eucaliptos</t>
  </si>
  <si>
    <t>00002993</t>
  </si>
  <si>
    <t>11936</t>
  </si>
  <si>
    <t>Fatura: 3999 - Cliente: 92 - Agropecuária Sol da Costa S.A - Caso: 3 - Parceria SJC</t>
  </si>
  <si>
    <t>00002994</t>
  </si>
  <si>
    <t>11937</t>
  </si>
  <si>
    <t>Antonio Jose Pereira Lyra</t>
  </si>
  <si>
    <t>Fatura: 4000 - Cliente: 101 - Antonio Jose Pereira Lyra - Caso: 1 - Assuntos pessoais Antonio Lyra</t>
  </si>
  <si>
    <t>00002995</t>
  </si>
  <si>
    <t>11871</t>
  </si>
  <si>
    <t>Cristina Pisaneschi Azevedo</t>
  </si>
  <si>
    <t>Fatura: 3966 - Cliente: 115 - Cansford Associates Limited - Caso: 1 - AMCHAM 156</t>
  </si>
  <si>
    <t>00002971</t>
  </si>
  <si>
    <t>11934</t>
  </si>
  <si>
    <t>Nova Mata Agropecuária e Imobiliária Ltda.</t>
  </si>
  <si>
    <t>Fatura: 3997 - Cliente: 68 - Casa Blanca Agropecuária e Imobiliária Ltda - Caso: 1 - [Casa Blanca] Ação judicial - Corretores de Imóvel</t>
  </si>
  <si>
    <t>00002992</t>
  </si>
  <si>
    <t>11933</t>
  </si>
  <si>
    <t>Fatura: 3996 - Cliente: 64 - Nova Mata Agropecuária e Imobiliária Ltda - Caso: 3 - Consultas Gerais</t>
  </si>
  <si>
    <t>00002991</t>
  </si>
  <si>
    <t>11932</t>
  </si>
  <si>
    <t>Solange Queiroz Ramiro Costa</t>
  </si>
  <si>
    <t>Fatura: 3995 - Cliente: 28 - Solange Queiroz Ramiro Costa - Caso: 12 - Falência/Inventário - Providências</t>
  </si>
  <si>
    <t>00002990</t>
  </si>
  <si>
    <t>11931</t>
  </si>
  <si>
    <t>Fatura: 3994 - Cliente: 28 - Solange Queiroz Ramiro Costa - Caso: 10 - Dionatan Meira</t>
  </si>
  <si>
    <t>00002989</t>
  </si>
  <si>
    <t>11893</t>
  </si>
  <si>
    <t>Abril Comunicações S.A.</t>
  </si>
  <si>
    <t>Fatura: 3975 - Cliente: 12 - Abril Comunicações S.A - Caso: 15 - Ação de Obrigação de Fazer - Gaia</t>
  </si>
  <si>
    <t>00002975</t>
  </si>
  <si>
    <t>11870</t>
  </si>
  <si>
    <t>Paulo Kopenhagen Goldfinger</t>
  </si>
  <si>
    <t>Fatura: 3965 - Cliente: 123 - Paulo Kopenhagen Goldfinger - Caso: 1 - Contrato Padrão Judicial - Fixo acompanhamento mensal (Brascan Allpark)</t>
  </si>
  <si>
    <t>00002967</t>
  </si>
  <si>
    <t>11914</t>
  </si>
  <si>
    <t>Fatura: 3991 - Cliente: 146 - Hunter Douglas do Brasil LTDA - Caso: 1 - Contrato de Credenciamento de Revenda</t>
  </si>
  <si>
    <t>00002984</t>
  </si>
  <si>
    <t>11901</t>
  </si>
  <si>
    <t>Fatura: 3983 - Cliente: 5 - White Martins Gases Industriais Ltda. - Caso: 1 - Ato de Concentração - Projeto CSA</t>
  </si>
  <si>
    <t>00002976</t>
  </si>
  <si>
    <t>11874</t>
  </si>
  <si>
    <t>Cansford Associates Limited</t>
  </si>
  <si>
    <t>Fatura: 3969 - Cliente: 115 - Cansford Associates Limited - Caso: 1 - AMCHAM 156</t>
  </si>
  <si>
    <t>11900</t>
  </si>
  <si>
    <t>Fatura: 3982 - Cliente: 132 - Eólica Serra Das Vacas Vii S.A. - Caso: 1 - Ação Indenizatória Neo Energia</t>
  </si>
  <si>
    <t>00003051</t>
  </si>
  <si>
    <t>11869</t>
  </si>
  <si>
    <t>Fatura: 3964 - Cliente: 2 - VLI Multimodal S.A - Caso: 8 - (Contrato Fixo) - Ação Ordinária ANTAQ</t>
  </si>
  <si>
    <t>00002966</t>
  </si>
  <si>
    <t>11896</t>
  </si>
  <si>
    <t>KCI Brazil Holdings LLC</t>
  </si>
  <si>
    <t>Fatura: 3978 - Cliente: 81 - KCI Brazil Holdings LLC - Caso: 1 - PA Mercado de Trabalho - Ferreira</t>
  </si>
  <si>
    <t>00002985</t>
  </si>
  <si>
    <t>11789</t>
  </si>
  <si>
    <t>Companhia Brasileira de Distribuição</t>
  </si>
  <si>
    <t>Fatura: 3955 - Cliente: 135 - Companhia Brasileira de Distribuição - GPA - Caso: 1 - Secondment GPA - Compliance</t>
  </si>
  <si>
    <t>00002977</t>
  </si>
  <si>
    <t>11894</t>
  </si>
  <si>
    <t>Fatura: 3976 - Cliente: 135 - Companhia Brasileira de Distribuição - GPA - Caso: 1 - Secondment GPA - Compliance</t>
  </si>
  <si>
    <t>00002978</t>
  </si>
  <si>
    <t>11872</t>
  </si>
  <si>
    <t>Fatura: 3967 - Cliente: 115 - Cansford Associates Limited - Caso: 1 - AMCHAM 156</t>
  </si>
  <si>
    <t>00002970</t>
  </si>
  <si>
    <t>11912</t>
  </si>
  <si>
    <t>Fatura: 3989 - Cliente: 130 - Renewal Pharma Brasil Royalties Ltda. - Caso: 1 - Farmacia Artesanal - Injunction and Arbitration</t>
  </si>
  <si>
    <t>00002981</t>
  </si>
  <si>
    <t>11913</t>
  </si>
  <si>
    <t>Fatura: 3990 - Cliente: 130 - Renewal Pharma Brasil Royalties Ltda. - Caso: 1 - Farmacia Artesanal - Injunction and Arbitration</t>
  </si>
  <si>
    <t>00002982</t>
  </si>
  <si>
    <t>11930</t>
  </si>
  <si>
    <t>Fatura: 3993 - Cliente: 61 - Atem's Distribuidora De Petróleo S.A. - Caso: 10 - Ream - Trabalhos Adicionais</t>
  </si>
  <si>
    <t>00002987</t>
  </si>
  <si>
    <t>11929</t>
  </si>
  <si>
    <t>Fatura: 3992 - Cliente: 61 - Atem's Distribuidora De Petróleo S.A. - Caso: 9 - Cade - Cumprimento ACC</t>
  </si>
  <si>
    <t>00002986</t>
  </si>
  <si>
    <t>11910</t>
  </si>
  <si>
    <t>Fatura: 3987 - Cliente: 124 - Sottopelle Brasil S.A - Caso: 4 - Arbitragem CMA 918-P</t>
  </si>
  <si>
    <t>00002979</t>
  </si>
  <si>
    <t>11898</t>
  </si>
  <si>
    <t>Fatura: 3980 - Cliente: 114 - Companhia Ultragaz S.A. - Caso: 1 - Trustee AC Ultragaz Supergasbras</t>
  </si>
  <si>
    <t>00002996</t>
  </si>
  <si>
    <t>11891</t>
  </si>
  <si>
    <t>Fatura: 3973 - Cliente: 61 - Atem's Distribuidora De Petróleo S.A. - Caso: 17 - Notificação de Operação ao CADE | Operação WPL</t>
  </si>
  <si>
    <t>00002988</t>
  </si>
  <si>
    <t>11632</t>
  </si>
  <si>
    <t>11873</t>
  </si>
  <si>
    <t>Myriam Clara Salvadori</t>
  </si>
  <si>
    <t>Fatura: 3968 - Cliente: 115 - Cansford Associates Limited - Caso: 1 - AMCHAM 156</t>
  </si>
  <si>
    <t>00002969</t>
  </si>
  <si>
    <t>12073</t>
  </si>
  <si>
    <t>Fatura: 4044 - Cliente: 101 - Antonio Jose Pereira Lyra - Caso: 1 - Assuntos pessoais Antonio Lyra</t>
  </si>
  <si>
    <t>00003045</t>
  </si>
  <si>
    <t>12075</t>
  </si>
  <si>
    <t>Fatura: 4046 - Cliente: 64 - Nova Mata Agropecuária e Imobiliária Ltda - Caso: 3 - Consultas Gerais</t>
  </si>
  <si>
    <t>00003047</t>
  </si>
  <si>
    <t>12074</t>
  </si>
  <si>
    <t>Fatura: 4045 - Cliente: 68 - Casa Blanca Agropecuária e Imobiliária Ltda - Caso: 1 - [Casa Blanca] Ação judicial - Corretores de Imóvel</t>
  </si>
  <si>
    <t>00003046</t>
  </si>
  <si>
    <t>12019</t>
  </si>
  <si>
    <t>Fatura: 4027 - Cliente: 28 - Solange Queiroz Ramiro Costa - Caso: 12 - Falência/Inventário - Providências</t>
  </si>
  <si>
    <t>12078</t>
  </si>
  <si>
    <t>Fatura: 4049 - Cliente: 28 - Solange Queiroz Ramiro Costa - Caso: 10 - Dionatan Meira</t>
  </si>
  <si>
    <t>00003050</t>
  </si>
  <si>
    <t>12076</t>
  </si>
  <si>
    <t>Fatura: 4047 - Cliente: 28 - Solange Queiroz Ramiro Costa - Caso: 5 - Consultas Gerais</t>
  </si>
  <si>
    <t>00003048</t>
  </si>
  <si>
    <t>12077</t>
  </si>
  <si>
    <t>Fatura: 4048 - Cliente: 28 - Solange Queiroz Ramiro Costa - Caso: 12 - Falência/Inventário - Providências</t>
  </si>
  <si>
    <t>00003049</t>
  </si>
  <si>
    <t>12050</t>
  </si>
  <si>
    <t>Crescera Growth Master V Fundo de Investimento em Participações Multiestratégia</t>
  </si>
  <si>
    <t>Fatura: 4039 - Cliente: 147 - Mapa Capital Participações e Consultoria Ltda - Caso: 1 - Notificação de operação ao CADE | Plural Care</t>
  </si>
  <si>
    <t>11949</t>
  </si>
  <si>
    <t>Fatura: 4004 - Cliente: 7 - John Deere Brasil Ltda. - Caso: 1 - Consultas Diversas</t>
  </si>
  <si>
    <t>00003016</t>
  </si>
  <si>
    <t>11950</t>
  </si>
  <si>
    <t>Fatura: 4005 - Cliente: 7 - John Deere Brasil Ltda. - Caso: 18 - Consulta Econômico e Lei Ferrari - Parceria MWM – Tupy do Brasil Ltda.</t>
  </si>
  <si>
    <t>00003017</t>
  </si>
  <si>
    <t>11951</t>
  </si>
  <si>
    <t>Fatura: 4006 - Cliente: 7 - John Deere Brasil Ltda. - Caso: 19 - Investigação antidumping - Pneus Agrícolas</t>
  </si>
  <si>
    <t>00003018</t>
  </si>
  <si>
    <t>11809</t>
  </si>
  <si>
    <t>Ambev S.A.</t>
  </si>
  <si>
    <t>Fatura: 3961 - Cliente: 3 - Ambev S.A. - Caso: 30 - Incidente Notas Fiscais</t>
  </si>
  <si>
    <t>00002960</t>
  </si>
  <si>
    <t>11895</t>
  </si>
  <si>
    <t>Fatura: 3977 - Cliente: 6 - Sherwin-Williams do Brasil Indústria e Comércio Ltda. - Caso: 4 - (Contrato Fixo) - Ação de Cobrança - Renato Vaz de Mello - Acompanhamento Processual</t>
  </si>
  <si>
    <t>12014</t>
  </si>
  <si>
    <t>Fatura: 4022 - Cliente: 114 - Companhia Ultragaz S.A. - Caso: 1 - Trustee AC Ultragaz Supergasbras</t>
  </si>
  <si>
    <t>00003033</t>
  </si>
  <si>
    <t>11897</t>
  </si>
  <si>
    <t>Fatura: 3979 - Cliente: 114 - Companhia Ultragaz S.A. - Caso: 1 - Trustee AC Ultragaz Supergasbras</t>
  </si>
  <si>
    <t>00002974</t>
  </si>
  <si>
    <t>11994</t>
  </si>
  <si>
    <t>Fatura: 4014 - Cliente: 123 - Paulo Kopenhagen Goldfinger - Caso: 1 - Contrato Padrão Judicial - Fixo acompanhamento mensal (Brascan Allpark)</t>
  </si>
  <si>
    <t>00003027</t>
  </si>
  <si>
    <t>11990</t>
  </si>
  <si>
    <t>Transocean Brasil Ltda.</t>
  </si>
  <si>
    <t>Fatura: 4010 - Cliente: 97 - Transocean Brasil Ltda. - Caso: 1 - Ação Civil Pública FUP</t>
  </si>
  <si>
    <t>00003025</t>
  </si>
  <si>
    <t>12130</t>
  </si>
  <si>
    <t>Silvia Figueiredo de Mello Barros e Outros</t>
  </si>
  <si>
    <t>Fatura: 4057 - Cliente: 145 - Marina Figueiredo de Mello Barros Castellani - Caso: 1 - Ação Civil Pública - Reserva Legal e APP</t>
  </si>
  <si>
    <t>00003067</t>
  </si>
  <si>
    <t>12010</t>
  </si>
  <si>
    <t>Fatura: 4018 - Cliente: 115 - Cansford Associates Limited - Caso: 1 - AMCHAM 156</t>
  </si>
  <si>
    <t>00003030</t>
  </si>
  <si>
    <t>12013</t>
  </si>
  <si>
    <t>S.A. O Estado de S. Paulo</t>
  </si>
  <si>
    <t>Fatura: 4021 - Cliente: 22 - O Estado de S. Paulo S.A - Caso: 5 - Portal Agro - Pyxys</t>
  </si>
  <si>
    <t>00003031</t>
  </si>
  <si>
    <t>11132</t>
  </si>
  <si>
    <t>Antonio Cleidenir Tonico Ramos</t>
  </si>
  <si>
    <t>Fatura: 3771 - Cliente: 109 - Antonio Cleidenir Tonico Ramos - Caso: 1 - Representação MPSP - Fundacao Arnaldo Vieira de Carvalho</t>
  </si>
  <si>
    <t>00002791</t>
  </si>
  <si>
    <t>11570</t>
  </si>
  <si>
    <t>Fatura: 3909 - Cliente: 109 - Antonio Cleidenir Tonico Ramos - Caso: 1 - Representação MPSP - Fundacao Arnaldo Vieira de Carvalho</t>
  </si>
  <si>
    <t>00002912</t>
  </si>
  <si>
    <t>12016</t>
  </si>
  <si>
    <t>Fatura: 4024 - Cliente: 7 - John Deere Brasil Ltda. - Caso: 19 - Investigação antidumping - Pneus Agrícolas</t>
  </si>
  <si>
    <t>12017</t>
  </si>
  <si>
    <t>Fatura: 4025 - Cliente: 81 - KCI Brazil Holdings LLC - Caso: 1 - PA Mercado de Trabalho - Ferreira</t>
  </si>
  <si>
    <t>00003038</t>
  </si>
  <si>
    <t>12011</t>
  </si>
  <si>
    <t>Fatura: 4019 - Cliente: 115 - Cansford Associates Limited - Caso: 1 - AMCHAM 156</t>
  </si>
  <si>
    <t>00003029</t>
  </si>
  <si>
    <t>12023</t>
  </si>
  <si>
    <t>Fatura: 4031 - Cliente: 139 - Zetta - Caso: 2 - Assessoria e Monitoramento (Etapa 3) - Cade</t>
  </si>
  <si>
    <t>00003036</t>
  </si>
  <si>
    <t>11993</t>
  </si>
  <si>
    <t>Fatura: 4013 - Cliente: 6 - Sherwin-Williams do Brasil Indústria e Comércio Ltda. - Caso: 4 - (Contrato Fixo) - Ação de Cobrança - Renato Vaz de Mello - Acompanhamento Processual</t>
  </si>
  <si>
    <t>00003037</t>
  </si>
  <si>
    <t>11889</t>
  </si>
  <si>
    <t>Atem's Distribuidora De Petróleo S.A.</t>
  </si>
  <si>
    <t>Fatura: 3971 - Cliente: 61 - Atem's Distribuidora De Petróleo S.A. - Caso: 23 - Execução - Grupo Cariocão</t>
  </si>
  <si>
    <t>12009</t>
  </si>
  <si>
    <t>Fatura: 4017 - Cliente: 115 - Cansford Associates Limited - Caso: 1 - AMCHAM 156</t>
  </si>
  <si>
    <t>00003028</t>
  </si>
  <si>
    <t>12012</t>
  </si>
  <si>
    <t>Fatura: 4020 - Cliente: 115 - Cansford Associates Limited - Caso: 1 - AMCHAM 156</t>
  </si>
  <si>
    <t>12015</t>
  </si>
  <si>
    <t>Fatura: 4023 - Cliente: 114 - Companhia Ultragaz S.A. - Caso: 1 - Trustee AC Ultragaz Supergasbras</t>
  </si>
  <si>
    <t>00003035</t>
  </si>
  <si>
    <t>11991</t>
  </si>
  <si>
    <t>CanadaHRT Brasil Royalties Ltda.</t>
  </si>
  <si>
    <t>Fatura: 4011 - Cliente: 125 - CanadaHRT Brasil Royalties Ltda. - Caso: 3 - CAMES: Anulatória Sentença Arbitral</t>
  </si>
  <si>
    <t>00003026</t>
  </si>
  <si>
    <t>12028</t>
  </si>
  <si>
    <t>Fatura: 4036 - Cliente: 61 - Atem's Distribuidora De Petróleo S.A. - Caso: 17 - Notificação de Operação ao CADE | Operação WPL</t>
  </si>
  <si>
    <t>00003053</t>
  </si>
  <si>
    <t>12081</t>
  </si>
  <si>
    <t>Fatura: 4052 - Cliente: 61 - Atem's Distribuidora De Petróleo S.A. - Caso: 24 - Reavaliação Contingências WPL</t>
  </si>
  <si>
    <t>00003057</t>
  </si>
  <si>
    <t>12131</t>
  </si>
  <si>
    <t>Fatura: 4058 - Cliente: 115 - Cansford Associates Limited - Caso: 1 - AMCHAM 156</t>
  </si>
  <si>
    <t>00003070</t>
  </si>
  <si>
    <t>12069</t>
  </si>
  <si>
    <t>Fatura: 4040 - Cliente: 7 - John Deere Brasil Ltda. - Caso: 18 - Consulta Econômico e Lei Ferrari - Parceria MWM – Tupy do Brasil Ltda.</t>
  </si>
  <si>
    <t>00003040</t>
  </si>
  <si>
    <t>12070</t>
  </si>
  <si>
    <t>Fatura: 4041 - Cliente: 7 - John Deere Brasil Ltda. - Caso: 19 - Investigação antidumping - Pneus Agrícolas</t>
  </si>
  <si>
    <t>00003041</t>
  </si>
  <si>
    <t>12071</t>
  </si>
  <si>
    <t>Fatura: 4042 - Cliente: 7 - John Deere Brasil Ltda. - Caso: 17 - Consulta - Programa Protect</t>
  </si>
  <si>
    <t>00003042</t>
  </si>
  <si>
    <t>11633</t>
  </si>
  <si>
    <t>12080</t>
  </si>
  <si>
    <t>Fatura: 4051 - Cliente: 61 - Atem's Distribuidora De Petróleo S.A. - Caso: 10 - Ream - Trabalhos Adicionais</t>
  </si>
  <si>
    <t>00003054</t>
  </si>
  <si>
    <t>12082</t>
  </si>
  <si>
    <t>Fatura: 4053 - Cliente: 61 - Atem's Distribuidora De Petróleo S.A. - Caso: 9 - Cade - Cumprimento ACC</t>
  </si>
  <si>
    <t>00003056</t>
  </si>
  <si>
    <t>12079</t>
  </si>
  <si>
    <t>Fatura: 4050 - Cliente: 132 - Eólica Serra Das Vacas Vii S.A. - Caso: 1 - Ação Indenizatória Neo Energia</t>
  </si>
  <si>
    <t>11940</t>
  </si>
  <si>
    <t>O Estado de S. Paulo S.A</t>
  </si>
  <si>
    <t>Fatura: 4003 - Cliente: 22 - O Estado de S. Paulo S.A - Caso: 5 - Portal Agro - Pyxys</t>
  </si>
  <si>
    <t>00002998</t>
  </si>
  <si>
    <t>11995</t>
  </si>
  <si>
    <t>Fatura: 4015 - Cliente: 12 - Abril Comunicações S.A - Caso: 15 - Ação de Obrigação de Fazer - Gaia</t>
  </si>
  <si>
    <t>00003061</t>
  </si>
  <si>
    <t>12150</t>
  </si>
  <si>
    <t>Fatura: 4063 - Cliente: 12 - Abril Comunicações S.A - Caso: 15 - Ação de Obrigação de Fazer - Gaia</t>
  </si>
  <si>
    <t>00003071</t>
  </si>
  <si>
    <t>12214</t>
  </si>
  <si>
    <t>Fatura: 4085 - Cliente: 92 - Agropecuária Sol da Costa S.A - Caso: 1 - Contratos Grune - Eucaliptos</t>
  </si>
  <si>
    <t>00003092</t>
  </si>
  <si>
    <t>12215</t>
  </si>
  <si>
    <t>Fatura: 4086 - Cliente: 101 - Antonio Jose Pereira Lyra - Caso: 1 - Assuntos pessoais Antonio Lyra</t>
  </si>
  <si>
    <t>00003093</t>
  </si>
  <si>
    <t>12191</t>
  </si>
  <si>
    <t>Guaçu Geração De Energia S/A</t>
  </si>
  <si>
    <t>Fatura: 4078 - Cliente: 94 - Gordilho Napolitano Advogados Associados - Caso: 2 - Procedimento Arbitral - Guaçu</t>
  </si>
  <si>
    <t>00003081</t>
  </si>
  <si>
    <t>12212</t>
  </si>
  <si>
    <t>Fatura: 4083 - Cliente: 64 - Nova Mata Agropecuária e Imobiliária Ltda - Caso: 3 - Consultas Gerais</t>
  </si>
  <si>
    <t>00003090</t>
  </si>
  <si>
    <t>12213</t>
  </si>
  <si>
    <t>Fatura: 4084 - Cliente: 68 - Casa Blanca Agropecuária e Imobiliária Ltda - Caso: 1 - [Casa Blanca] Ação judicial - Corretores de Imóvel</t>
  </si>
  <si>
    <t>00003091</t>
  </si>
  <si>
    <t>12049</t>
  </si>
  <si>
    <t>Mapa Capital Participações e Consultoria Ltda</t>
  </si>
  <si>
    <t>Fatura: 4038 - Cliente: 147 - Mapa Capital Participações e Consultoria Ltda - Caso: 1 - Notificação de operação ao CADE | Plural Care</t>
  </si>
  <si>
    <t>12250</t>
  </si>
  <si>
    <t>Fatura: 4089 - Cliente: 28 - Solange Queiroz Ramiro Costa - Caso: 12 - Falência/Inventário - Providências</t>
  </si>
  <si>
    <t>00003095</t>
  </si>
  <si>
    <t>12251</t>
  </si>
  <si>
    <t>Fatura: 4090 - Cliente: 28 - Solange Queiroz Ramiro Costa - Caso: 10 - Dionatan Meira</t>
  </si>
  <si>
    <t>00003094</t>
  </si>
  <si>
    <t>12289</t>
  </si>
  <si>
    <t>Mapa Capital Participações e Consultoria LTDA</t>
  </si>
  <si>
    <t>Fatura: 4092 - Cliente: 147 - Mapa Capital Participações e Consultoria Ltda - Caso: 1 - Notificação de operação ao CADE | Plural Care</t>
  </si>
  <si>
    <t>12072</t>
  </si>
  <si>
    <t>Fatura: 4043 - Cliente: 6 - Sherwin-Williams do Brasil Indústria e Comércio Ltda. - Caso: 19 - Renato Vaz x SWB - Reclamação</t>
  </si>
  <si>
    <t>00003065</t>
  </si>
  <si>
    <t>11996</t>
  </si>
  <si>
    <t>Fatura: 4016 - Cliente: 135 - Companhia Brasileira de Distribuição - GPA - Caso: 4 - Consultoria em Compliance</t>
  </si>
  <si>
    <t>00003032</t>
  </si>
  <si>
    <t>12109</t>
  </si>
  <si>
    <t>Fatura: 4055 - Cliente: 2 - VLI Multimodal S.A - Caso: 8 - (Contrato Fixo) - Ação Ordinária ANTAQ</t>
  </si>
  <si>
    <t>00003064</t>
  </si>
  <si>
    <t>12316</t>
  </si>
  <si>
    <t>Fatura: 4099 - Cliente: 145 - Marina Figueiredo de Mello Barros Castellani - Caso: 1 - Ação Civil Pública - Reserva Legal e APP</t>
  </si>
  <si>
    <t>12317</t>
  </si>
  <si>
    <t>Fatura: 4100 - Cliente: 145 - Marina Figueiredo de Mello Barros Castellani - Caso: 1 - Ação Civil Pública - Reserva Legal e APP</t>
  </si>
  <si>
    <t>12132</t>
  </si>
  <si>
    <t>Fatura: 4059 - Cliente: 115 - Cansford Associates Limited - Caso: 1 - AMCHAM 156</t>
  </si>
  <si>
    <t>00003069</t>
  </si>
  <si>
    <t>11899</t>
  </si>
  <si>
    <t>Dachser SE</t>
  </si>
  <si>
    <t>Fatura: 3981 - Cliente: 20 - Dachser SE - Caso: 2 - Appeal Brazilian Court</t>
  </si>
  <si>
    <t>E</t>
  </si>
  <si>
    <t>12192</t>
  </si>
  <si>
    <t>Fatura: 4079 - Cliente: 20 - Dachser SE - Caso: 2 - Appeal Brazilian Court</t>
  </si>
  <si>
    <t>00003096</t>
  </si>
  <si>
    <t>11791</t>
  </si>
  <si>
    <t>Deere &amp; Company</t>
  </si>
  <si>
    <t>Fatura: 3957 - Cliente: 136 - Deere &amp; Company - Caso: 3 - Project North</t>
  </si>
  <si>
    <t>U</t>
  </si>
  <si>
    <t>11903</t>
  </si>
  <si>
    <t>Fatura: 3985 - Cliente: 136 - Deere &amp; Company - Caso: 3 - Project North</t>
  </si>
  <si>
    <t>11989</t>
  </si>
  <si>
    <t>Fatura: 4009 - Cliente: 136 - Deere &amp; Company - Caso: 3 - Project North</t>
  </si>
  <si>
    <t>00003034</t>
  </si>
  <si>
    <t>12155</t>
  </si>
  <si>
    <t>Fatura: 4068 - Cliente: 136 - Deere &amp; Company - Caso: 3 - Project North</t>
  </si>
  <si>
    <t>00003099</t>
  </si>
  <si>
    <t>12018</t>
  </si>
  <si>
    <t>Spotify A.B</t>
  </si>
  <si>
    <t>Fatura: 4026 - Cliente: 87 - Spotify Technology S.A - Caso: 2 - CADE – Mercado Livre Complaint</t>
  </si>
  <si>
    <t>00003097</t>
  </si>
  <si>
    <t>12021</t>
  </si>
  <si>
    <t>Fatura: 4029 - Cliente: 87 - Spotify Technology S.A - Caso: 2 - CADE – Mercado Livre Complaint</t>
  </si>
  <si>
    <t>00003098</t>
  </si>
  <si>
    <t>12157</t>
  </si>
  <si>
    <t>Fatura: 4070 - Cliente: 87 - Spotify Technology S.A - Caso: 2 - CADE – Mercado Livre Complaint</t>
  </si>
  <si>
    <t>Acumulado Maio</t>
  </si>
  <si>
    <t>Total</t>
  </si>
  <si>
    <t>Mensal</t>
  </si>
  <si>
    <t>parcela 1/60</t>
  </si>
  <si>
    <t>Acumulado Junho</t>
  </si>
  <si>
    <t>parcela 2/60</t>
  </si>
  <si>
    <t>Acumulado Julho</t>
  </si>
  <si>
    <t>parcela 3/60</t>
  </si>
  <si>
    <t>Acumulado Agosto</t>
  </si>
  <si>
    <t>parcela 4/60</t>
  </si>
  <si>
    <t>Acumulado Setembro</t>
  </si>
  <si>
    <t>parcela 5/60</t>
  </si>
  <si>
    <t>Acumulado Outubro</t>
  </si>
  <si>
    <t>parcela 6/60</t>
  </si>
  <si>
    <t>Acumulado Novembro</t>
  </si>
  <si>
    <t>parcela 7/60</t>
  </si>
  <si>
    <t>Acumulado Dezembro</t>
  </si>
  <si>
    <t>parcela 8/60</t>
  </si>
  <si>
    <t>Acumulado Janeiro</t>
  </si>
  <si>
    <t xml:space="preserve">-   </t>
  </si>
  <si>
    <t>parcela 09/60</t>
  </si>
  <si>
    <t>Mês</t>
  </si>
  <si>
    <t xml:space="preserve">Parcela </t>
  </si>
  <si>
    <t>Valor Institucional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</si>
</sst>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#,##0.00_ ;[Red]\-#,##0.00\ "/>
    <numFmt numFmtId="166" formatCode="#,##0_ ;[Red]\-#,##0\ "/>
    <numFmt numFmtId="167" formatCode="_(* #,##0.00_);_(* \(#,##0.00\);_(* &quot;-&quot;??_);_(@_)"/>
    <numFmt numFmtId="168" formatCode="mmmm/yyyy"/>
  </numFmts>
  <fonts count="4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name val="Aptos Narrow"/>
      <family val="2"/>
      <scheme val="minor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8"/>
      <color theme="1"/>
      <name val="Arial"/>
      <family val="2"/>
    </font>
    <font>
      <sz val="18"/>
      <color theme="0"/>
      <name val="Arial"/>
      <family val="2"/>
    </font>
    <font>
      <b/>
      <sz val="14"/>
      <color indexed="8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sz val="13"/>
      <color indexed="81"/>
      <name val="Segoe UI"/>
      <family val="2"/>
    </font>
    <font>
      <b/>
      <sz val="13"/>
      <color indexed="81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theme="0"/>
      </patternFill>
    </fill>
  </fills>
  <borders count="90">
    <border>
      <left/>
      <right/>
      <top/>
      <bottom/>
      <diagonal/>
    </border>
    <border>
      <left style="thin">
        <color auto="1"/>
      </left>
      <right style="dashed">
        <color auto="1"/>
      </right>
      <top style="thick">
        <color rgb="FFFFFF00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ck">
        <color rgb="FFFFFF00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ck">
        <color rgb="FFFFFF00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FFC000"/>
      </bottom>
      <diagonal/>
    </border>
    <border>
      <left style="thick">
        <color rgb="FFFFC000"/>
      </left>
      <right style="thick">
        <color rgb="FFFFC000"/>
      </right>
      <top style="thick">
        <color rgb="FFFFC000"/>
      </top>
      <bottom style="thick">
        <color rgb="FFFFC000"/>
      </bottom>
      <diagonal/>
    </border>
    <border>
      <left style="thick">
        <color rgb="FFFFC000"/>
      </left>
      <right/>
      <top style="thick">
        <color rgb="FFFFC000"/>
      </top>
      <bottom style="thick">
        <color rgb="FFFFC000"/>
      </bottom>
      <diagonal/>
    </border>
    <border>
      <left/>
      <right style="thick">
        <color rgb="FFFFC000"/>
      </right>
      <top style="thick">
        <color rgb="FFFFC000"/>
      </top>
      <bottom style="thick">
        <color rgb="FFFFC000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rgb="FFFFC000"/>
      </top>
      <bottom style="medium">
        <color rgb="FFFFC000"/>
      </bottom>
      <diagonal/>
    </border>
    <border>
      <left style="thin">
        <color auto="1"/>
      </left>
      <right style="thin">
        <color auto="1"/>
      </right>
      <top style="medium">
        <color rgb="FFFFC000"/>
      </top>
      <bottom style="medium">
        <color rgb="FFFFC00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/>
      <right/>
      <top/>
      <bottom style="medium">
        <color rgb="FFFFC000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rgb="FFFFC000"/>
      </left>
      <right style="dash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rgb="FFFFC000"/>
      </left>
      <right/>
      <top/>
      <bottom style="medium">
        <color indexed="64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 style="thin">
        <color auto="1"/>
      </left>
      <right/>
      <top style="medium">
        <color rgb="FFFFC000"/>
      </top>
      <bottom style="medium">
        <color rgb="FFFFC000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rgb="FFFFC000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0" borderId="0">
      <alignment wrapText="1"/>
    </xf>
    <xf numFmtId="0" fontId="1" fillId="0" borderId="0"/>
    <xf numFmtId="9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>
      <alignment wrapText="1"/>
    </xf>
    <xf numFmtId="0" fontId="37" fillId="0" borderId="0">
      <alignment wrapText="1"/>
    </xf>
  </cellStyleXfs>
  <cellXfs count="571">
    <xf numFmtId="0" fontId="0" fillId="0" borderId="0" xfId="0"/>
    <xf numFmtId="164" fontId="0" fillId="3" borderId="0" xfId="0" applyNumberFormat="1" applyFill="1" applyAlignment="1">
      <alignment vertical="center"/>
    </xf>
    <xf numFmtId="164" fontId="6" fillId="3" borderId="0" xfId="1" applyNumberFormat="1" applyFont="1" applyFill="1" applyBorder="1" applyAlignment="1">
      <alignment horizontal="right" vertical="center"/>
    </xf>
    <xf numFmtId="164" fontId="6" fillId="3" borderId="0" xfId="1" applyNumberFormat="1" applyFont="1" applyFill="1" applyBorder="1" applyAlignment="1">
      <alignment vertical="center"/>
    </xf>
    <xf numFmtId="10" fontId="0" fillId="0" borderId="0" xfId="0" applyNumberFormat="1"/>
    <xf numFmtId="0" fontId="0" fillId="3" borderId="1" xfId="0" applyFill="1" applyBorder="1"/>
    <xf numFmtId="0" fontId="0" fillId="3" borderId="4" xfId="0" applyFill="1" applyBorder="1"/>
    <xf numFmtId="43" fontId="0" fillId="3" borderId="5" xfId="1" applyFont="1" applyFill="1" applyBorder="1"/>
    <xf numFmtId="0" fontId="4" fillId="3" borderId="10" xfId="0" applyFont="1" applyFill="1" applyBorder="1"/>
    <xf numFmtId="43" fontId="4" fillId="3" borderId="11" xfId="1" applyFont="1" applyFill="1" applyBorder="1"/>
    <xf numFmtId="0" fontId="0" fillId="3" borderId="7" xfId="0" applyFill="1" applyBorder="1"/>
    <xf numFmtId="43" fontId="0" fillId="3" borderId="8" xfId="1" applyFont="1" applyFill="1" applyBorder="1"/>
    <xf numFmtId="164" fontId="7" fillId="0" borderId="25" xfId="1" applyNumberFormat="1" applyFont="1" applyFill="1" applyBorder="1" applyAlignment="1">
      <alignment horizontal="left" vertical="center"/>
    </xf>
    <xf numFmtId="164" fontId="7" fillId="0" borderId="23" xfId="1" applyNumberFormat="1" applyFont="1" applyFill="1" applyBorder="1" applyAlignment="1">
      <alignment horizontal="center" vertical="center" wrapText="1"/>
    </xf>
    <xf numFmtId="164" fontId="8" fillId="0" borderId="0" xfId="0" applyNumberFormat="1" applyFont="1" applyAlignment="1">
      <alignment vertical="center"/>
    </xf>
    <xf numFmtId="164" fontId="5" fillId="4" borderId="0" xfId="0" applyNumberFormat="1" applyFont="1" applyFill="1" applyAlignment="1">
      <alignment horizontal="left" vertical="center"/>
    </xf>
    <xf numFmtId="164" fontId="6" fillId="3" borderId="0" xfId="0" applyNumberFormat="1" applyFont="1" applyFill="1" applyAlignment="1">
      <alignment horizontal="right" vertical="center"/>
    </xf>
    <xf numFmtId="164" fontId="6" fillId="0" borderId="0" xfId="0" applyNumberFormat="1" applyFont="1" applyAlignment="1">
      <alignment vertical="center"/>
    </xf>
    <xf numFmtId="164" fontId="0" fillId="0" borderId="34" xfId="0" applyNumberFormat="1" applyBorder="1" applyAlignment="1">
      <alignment horizontal="center"/>
    </xf>
    <xf numFmtId="164" fontId="0" fillId="0" borderId="34" xfId="0" applyNumberFormat="1" applyBorder="1"/>
    <xf numFmtId="164" fontId="5" fillId="4" borderId="33" xfId="0" applyNumberFormat="1" applyFont="1" applyFill="1" applyBorder="1" applyAlignment="1">
      <alignment horizontal="center" vertical="center"/>
    </xf>
    <xf numFmtId="164" fontId="0" fillId="0" borderId="33" xfId="0" applyNumberFormat="1" applyBorder="1" applyAlignment="1">
      <alignment horizontal="center"/>
    </xf>
    <xf numFmtId="164" fontId="0" fillId="0" borderId="33" xfId="0" applyNumberFormat="1" applyBorder="1"/>
    <xf numFmtId="164" fontId="0" fillId="0" borderId="0" xfId="0" applyNumberFormat="1" applyAlignment="1">
      <alignment vertical="center"/>
    </xf>
    <xf numFmtId="164" fontId="6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horizontal="left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5" fillId="3" borderId="0" xfId="0" applyNumberFormat="1" applyFont="1" applyFill="1" applyAlignment="1">
      <alignment horizontal="right" vertical="center"/>
    </xf>
    <xf numFmtId="164" fontId="6" fillId="3" borderId="0" xfId="1" applyNumberFormat="1" applyFont="1" applyFill="1" applyBorder="1" applyAlignment="1">
      <alignment horizontal="center" vertical="center"/>
    </xf>
    <xf numFmtId="0" fontId="4" fillId="0" borderId="0" xfId="0" applyFont="1"/>
    <xf numFmtId="43" fontId="0" fillId="0" borderId="0" xfId="0" applyNumberFormat="1"/>
    <xf numFmtId="164" fontId="6" fillId="9" borderId="0" xfId="0" applyNumberFormat="1" applyFont="1" applyFill="1" applyAlignment="1">
      <alignment vertical="center"/>
    </xf>
    <xf numFmtId="164" fontId="0" fillId="9" borderId="33" xfId="0" applyNumberFormat="1" applyFill="1" applyBorder="1" applyAlignment="1">
      <alignment horizontal="center"/>
    </xf>
    <xf numFmtId="164" fontId="0" fillId="9" borderId="34" xfId="0" applyNumberFormat="1" applyFill="1" applyBorder="1" applyAlignment="1">
      <alignment horizontal="center"/>
    </xf>
    <xf numFmtId="164" fontId="0" fillId="9" borderId="34" xfId="0" applyNumberFormat="1" applyFill="1" applyBorder="1"/>
    <xf numFmtId="164" fontId="0" fillId="9" borderId="0" xfId="0" applyNumberFormat="1" applyFill="1" applyAlignment="1">
      <alignment vertical="center"/>
    </xf>
    <xf numFmtId="164" fontId="6" fillId="9" borderId="0" xfId="0" applyNumberFormat="1" applyFont="1" applyFill="1" applyAlignment="1">
      <alignment horizontal="right" vertical="center"/>
    </xf>
    <xf numFmtId="164" fontId="6" fillId="10" borderId="0" xfId="0" applyNumberFormat="1" applyFont="1" applyFill="1" applyAlignment="1">
      <alignment horizontal="right" vertical="center"/>
    </xf>
    <xf numFmtId="164" fontId="6" fillId="10" borderId="0" xfId="0" applyNumberFormat="1" applyFont="1" applyFill="1" applyAlignment="1">
      <alignment vertical="center"/>
    </xf>
    <xf numFmtId="164" fontId="0" fillId="10" borderId="34" xfId="0" applyNumberFormat="1" applyFill="1" applyBorder="1" applyAlignment="1">
      <alignment horizontal="center"/>
    </xf>
    <xf numFmtId="164" fontId="0" fillId="10" borderId="34" xfId="0" applyNumberFormat="1" applyFill="1" applyBorder="1"/>
    <xf numFmtId="164" fontId="0" fillId="10" borderId="0" xfId="0" applyNumberFormat="1" applyFill="1" applyAlignment="1">
      <alignment vertical="center"/>
    </xf>
    <xf numFmtId="164" fontId="6" fillId="11" borderId="0" xfId="0" applyNumberFormat="1" applyFont="1" applyFill="1" applyAlignment="1">
      <alignment horizontal="right" vertical="center"/>
    </xf>
    <xf numFmtId="164" fontId="6" fillId="11" borderId="0" xfId="0" applyNumberFormat="1" applyFont="1" applyFill="1" applyAlignment="1">
      <alignment vertical="center"/>
    </xf>
    <xf numFmtId="164" fontId="0" fillId="11" borderId="34" xfId="0" applyNumberFormat="1" applyFill="1" applyBorder="1" applyAlignment="1">
      <alignment horizontal="center"/>
    </xf>
    <xf numFmtId="164" fontId="0" fillId="11" borderId="34" xfId="0" applyNumberFormat="1" applyFill="1" applyBorder="1"/>
    <xf numFmtId="164" fontId="0" fillId="11" borderId="0" xfId="0" applyNumberFormat="1" applyFill="1" applyAlignment="1">
      <alignment vertical="center"/>
    </xf>
    <xf numFmtId="43" fontId="0" fillId="0" borderId="0" xfId="1" applyFont="1"/>
    <xf numFmtId="10" fontId="0" fillId="0" borderId="0" xfId="2" applyNumberFormat="1" applyFont="1"/>
    <xf numFmtId="164" fontId="0" fillId="9" borderId="33" xfId="0" applyNumberFormat="1" applyFill="1" applyBorder="1"/>
    <xf numFmtId="164" fontId="0" fillId="13" borderId="33" xfId="0" applyNumberFormat="1" applyFill="1" applyBorder="1" applyAlignment="1">
      <alignment horizontal="center"/>
    </xf>
    <xf numFmtId="164" fontId="0" fillId="13" borderId="33" xfId="0" applyNumberFormat="1" applyFill="1" applyBorder="1"/>
    <xf numFmtId="164" fontId="6" fillId="13" borderId="0" xfId="0" applyNumberFormat="1" applyFont="1" applyFill="1" applyAlignment="1">
      <alignment vertical="center"/>
    </xf>
    <xf numFmtId="0" fontId="6" fillId="14" borderId="0" xfId="0" applyFont="1" applyFill="1" applyAlignment="1">
      <alignment vertical="center"/>
    </xf>
    <xf numFmtId="164" fontId="0" fillId="14" borderId="0" xfId="0" applyNumberFormat="1" applyFill="1" applyAlignment="1">
      <alignment vertical="center"/>
    </xf>
    <xf numFmtId="0" fontId="0" fillId="0" borderId="0" xfId="0" applyAlignment="1">
      <alignment horizontal="center"/>
    </xf>
    <xf numFmtId="43" fontId="0" fillId="0" borderId="41" xfId="1" applyFont="1" applyBorder="1"/>
    <xf numFmtId="166" fontId="0" fillId="3" borderId="41" xfId="1" applyNumberFormat="1" applyFont="1" applyFill="1" applyBorder="1"/>
    <xf numFmtId="43" fontId="6" fillId="0" borderId="0" xfId="1" applyFont="1"/>
    <xf numFmtId="9" fontId="6" fillId="0" borderId="0" xfId="2" applyFont="1"/>
    <xf numFmtId="166" fontId="0" fillId="3" borderId="0" xfId="1" applyNumberFormat="1" applyFont="1" applyFill="1" applyBorder="1"/>
    <xf numFmtId="43" fontId="0" fillId="3" borderId="0" xfId="1" applyFont="1" applyFill="1"/>
    <xf numFmtId="43" fontId="4" fillId="3" borderId="0" xfId="1" applyFont="1" applyFill="1" applyBorder="1" applyAlignment="1">
      <alignment horizontal="center" vertical="center"/>
    </xf>
    <xf numFmtId="165" fontId="0" fillId="0" borderId="41" xfId="0" applyNumberFormat="1" applyBorder="1"/>
    <xf numFmtId="0" fontId="0" fillId="0" borderId="41" xfId="0" applyBorder="1"/>
    <xf numFmtId="165" fontId="4" fillId="0" borderId="0" xfId="0" applyNumberFormat="1" applyFont="1"/>
    <xf numFmtId="165" fontId="13" fillId="0" borderId="41" xfId="1" applyNumberFormat="1" applyFont="1" applyFill="1" applyBorder="1" applyAlignment="1">
      <alignment horizontal="center" vertical="center" wrapText="1"/>
    </xf>
    <xf numFmtId="0" fontId="12" fillId="0" borderId="41" xfId="0" applyFont="1" applyBorder="1"/>
    <xf numFmtId="165" fontId="13" fillId="5" borderId="41" xfId="1" applyNumberFormat="1" applyFont="1" applyFill="1" applyBorder="1" applyAlignment="1">
      <alignment horizontal="center" vertical="center" wrapText="1"/>
    </xf>
    <xf numFmtId="10" fontId="13" fillId="5" borderId="41" xfId="2" applyNumberFormat="1" applyFont="1" applyFill="1" applyBorder="1" applyAlignment="1">
      <alignment horizontal="center" vertical="center" wrapText="1"/>
    </xf>
    <xf numFmtId="165" fontId="13" fillId="7" borderId="41" xfId="1" applyNumberFormat="1" applyFont="1" applyFill="1" applyBorder="1" applyAlignment="1">
      <alignment horizontal="center" vertical="center" wrapText="1"/>
    </xf>
    <xf numFmtId="165" fontId="10" fillId="0" borderId="41" xfId="0" applyNumberFormat="1" applyFont="1" applyBorder="1" applyAlignment="1">
      <alignment vertical="center"/>
    </xf>
    <xf numFmtId="0" fontId="12" fillId="0" borderId="41" xfId="0" applyFont="1" applyBorder="1" applyAlignment="1">
      <alignment horizontal="left"/>
    </xf>
    <xf numFmtId="10" fontId="12" fillId="0" borderId="41" xfId="2" applyNumberFormat="1" applyFont="1" applyBorder="1"/>
    <xf numFmtId="0" fontId="12" fillId="5" borderId="41" xfId="0" applyFont="1" applyFill="1" applyBorder="1"/>
    <xf numFmtId="10" fontId="12" fillId="5" borderId="41" xfId="2" applyNumberFormat="1" applyFont="1" applyFill="1" applyBorder="1"/>
    <xf numFmtId="10" fontId="13" fillId="5" borderId="40" xfId="2" applyNumberFormat="1" applyFont="1" applyFill="1" applyBorder="1" applyAlignment="1">
      <alignment horizontal="center" vertical="center" wrapText="1"/>
    </xf>
    <xf numFmtId="0" fontId="9" fillId="3" borderId="40" xfId="0" applyFont="1" applyFill="1" applyBorder="1" applyAlignment="1">
      <alignment horizontal="left" vertical="center"/>
    </xf>
    <xf numFmtId="166" fontId="10" fillId="0" borderId="40" xfId="0" applyNumberFormat="1" applyFont="1" applyBorder="1" applyAlignment="1">
      <alignment horizontal="center" vertical="center"/>
    </xf>
    <xf numFmtId="164" fontId="10" fillId="5" borderId="40" xfId="1" applyNumberFormat="1" applyFont="1" applyFill="1" applyBorder="1" applyAlignment="1">
      <alignment horizontal="center" vertical="center"/>
    </xf>
    <xf numFmtId="166" fontId="10" fillId="5" borderId="40" xfId="1" applyNumberFormat="1" applyFont="1" applyFill="1" applyBorder="1" applyAlignment="1">
      <alignment horizontal="center" vertical="center"/>
    </xf>
    <xf numFmtId="10" fontId="14" fillId="5" borderId="40" xfId="2" applyNumberFormat="1" applyFont="1" applyFill="1" applyBorder="1" applyAlignment="1">
      <alignment horizontal="center" vertical="center"/>
    </xf>
    <xf numFmtId="164" fontId="10" fillId="7" borderId="40" xfId="1" applyNumberFormat="1" applyFont="1" applyFill="1" applyBorder="1" applyAlignment="1">
      <alignment horizontal="center" vertical="center"/>
    </xf>
    <xf numFmtId="165" fontId="10" fillId="7" borderId="40" xfId="0" applyNumberFormat="1" applyFont="1" applyFill="1" applyBorder="1" applyAlignment="1">
      <alignment horizontal="center" vertical="center"/>
    </xf>
    <xf numFmtId="166" fontId="16" fillId="8" borderId="40" xfId="0" applyNumberFormat="1" applyFont="1" applyFill="1" applyBorder="1" applyAlignment="1">
      <alignment vertical="center"/>
    </xf>
    <xf numFmtId="165" fontId="10" fillId="0" borderId="40" xfId="0" applyNumberFormat="1" applyFont="1" applyBorder="1" applyAlignment="1">
      <alignment vertical="center"/>
    </xf>
    <xf numFmtId="0" fontId="10" fillId="0" borderId="40" xfId="0" applyFont="1" applyBorder="1" applyAlignment="1">
      <alignment vertical="center"/>
    </xf>
    <xf numFmtId="165" fontId="13" fillId="0" borderId="28" xfId="1" applyNumberFormat="1" applyFont="1" applyFill="1" applyBorder="1" applyAlignment="1">
      <alignment horizontal="center" vertical="center" wrapText="1"/>
    </xf>
    <xf numFmtId="164" fontId="13" fillId="0" borderId="28" xfId="1" applyNumberFormat="1" applyFont="1" applyFill="1" applyBorder="1" applyAlignment="1">
      <alignment horizontal="left" vertical="center"/>
    </xf>
    <xf numFmtId="165" fontId="13" fillId="5" borderId="28" xfId="1" applyNumberFormat="1" applyFont="1" applyFill="1" applyBorder="1" applyAlignment="1">
      <alignment horizontal="center" vertical="center" wrapText="1"/>
    </xf>
    <xf numFmtId="10" fontId="13" fillId="5" borderId="28" xfId="2" applyNumberFormat="1" applyFont="1" applyFill="1" applyBorder="1" applyAlignment="1">
      <alignment horizontal="center" vertical="center" wrapText="1"/>
    </xf>
    <xf numFmtId="165" fontId="13" fillId="7" borderId="28" xfId="1" applyNumberFormat="1" applyFont="1" applyFill="1" applyBorder="1" applyAlignment="1">
      <alignment horizontal="center" vertical="center" wrapText="1"/>
    </xf>
    <xf numFmtId="0" fontId="14" fillId="0" borderId="28" xfId="0" applyFont="1" applyBorder="1"/>
    <xf numFmtId="0" fontId="9" fillId="0" borderId="40" xfId="0" applyFont="1" applyBorder="1" applyAlignment="1">
      <alignment horizontal="left" vertical="center"/>
    </xf>
    <xf numFmtId="0" fontId="9" fillId="0" borderId="4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 wrapText="1"/>
    </xf>
    <xf numFmtId="0" fontId="9" fillId="7" borderId="40" xfId="0" applyFont="1" applyFill="1" applyBorder="1" applyAlignment="1">
      <alignment horizontal="center" vertical="center" wrapText="1"/>
    </xf>
    <xf numFmtId="0" fontId="12" fillId="0" borderId="40" xfId="0" applyFont="1" applyBorder="1" applyAlignment="1">
      <alignment vertical="center"/>
    </xf>
    <xf numFmtId="0" fontId="11" fillId="0" borderId="44" xfId="0" applyFont="1" applyBorder="1" applyAlignment="1">
      <alignment horizontal="left" vertical="center"/>
    </xf>
    <xf numFmtId="166" fontId="12" fillId="0" borderId="45" xfId="0" applyNumberFormat="1" applyFont="1" applyBorder="1" applyAlignment="1">
      <alignment horizontal="center" vertical="center"/>
    </xf>
    <xf numFmtId="164" fontId="12" fillId="12" borderId="45" xfId="1" applyNumberFormat="1" applyFont="1" applyFill="1" applyBorder="1" applyAlignment="1">
      <alignment horizontal="center" vertical="center"/>
    </xf>
    <xf numFmtId="164" fontId="12" fillId="5" borderId="45" xfId="1" applyNumberFormat="1" applyFont="1" applyFill="1" applyBorder="1" applyAlignment="1">
      <alignment horizontal="center" vertical="center"/>
    </xf>
    <xf numFmtId="166" fontId="12" fillId="5" borderId="45" xfId="1" applyNumberFormat="1" applyFont="1" applyFill="1" applyBorder="1" applyAlignment="1">
      <alignment horizontal="center" vertical="center"/>
    </xf>
    <xf numFmtId="10" fontId="14" fillId="5" borderId="45" xfId="2" applyNumberFormat="1" applyFont="1" applyFill="1" applyBorder="1" applyAlignment="1">
      <alignment horizontal="center" vertical="center"/>
    </xf>
    <xf numFmtId="164" fontId="12" fillId="7" borderId="45" xfId="1" applyNumberFormat="1" applyFont="1" applyFill="1" applyBorder="1" applyAlignment="1">
      <alignment horizontal="center" vertical="center"/>
    </xf>
    <xf numFmtId="165" fontId="12" fillId="7" borderId="45" xfId="0" applyNumberFormat="1" applyFont="1" applyFill="1" applyBorder="1" applyAlignment="1">
      <alignment horizontal="center" vertical="center"/>
    </xf>
    <xf numFmtId="165" fontId="10" fillId="0" borderId="45" xfId="0" applyNumberFormat="1" applyFont="1" applyBorder="1" applyAlignment="1">
      <alignment vertical="center"/>
    </xf>
    <xf numFmtId="0" fontId="12" fillId="0" borderId="45" xfId="0" applyFont="1" applyBorder="1" applyAlignment="1">
      <alignment vertical="center"/>
    </xf>
    <xf numFmtId="0" fontId="11" fillId="0" borderId="46" xfId="0" applyFont="1" applyBorder="1" applyAlignment="1">
      <alignment horizontal="left" vertical="center"/>
    </xf>
    <xf numFmtId="166" fontId="12" fillId="0" borderId="47" xfId="0" applyNumberFormat="1" applyFont="1" applyBorder="1" applyAlignment="1">
      <alignment horizontal="center" vertical="center"/>
    </xf>
    <xf numFmtId="164" fontId="12" fillId="5" borderId="47" xfId="1" applyNumberFormat="1" applyFont="1" applyFill="1" applyBorder="1" applyAlignment="1">
      <alignment horizontal="center" vertical="center"/>
    </xf>
    <xf numFmtId="166" fontId="12" fillId="5" borderId="47" xfId="1" applyNumberFormat="1" applyFont="1" applyFill="1" applyBorder="1" applyAlignment="1">
      <alignment horizontal="center" vertical="center"/>
    </xf>
    <xf numFmtId="10" fontId="14" fillId="5" borderId="47" xfId="2" applyNumberFormat="1" applyFont="1" applyFill="1" applyBorder="1" applyAlignment="1">
      <alignment horizontal="center" vertical="center"/>
    </xf>
    <xf numFmtId="164" fontId="12" fillId="7" borderId="47" xfId="1" applyNumberFormat="1" applyFont="1" applyFill="1" applyBorder="1" applyAlignment="1">
      <alignment horizontal="center" vertical="center"/>
    </xf>
    <xf numFmtId="165" fontId="12" fillId="7" borderId="4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vertical="center"/>
    </xf>
    <xf numFmtId="0" fontId="11" fillId="0" borderId="48" xfId="0" applyFont="1" applyBorder="1" applyAlignment="1">
      <alignment horizontal="left" vertical="center"/>
    </xf>
    <xf numFmtId="166" fontId="12" fillId="0" borderId="49" xfId="0" applyNumberFormat="1" applyFont="1" applyBorder="1" applyAlignment="1">
      <alignment horizontal="center" vertical="center"/>
    </xf>
    <xf numFmtId="10" fontId="14" fillId="5" borderId="49" xfId="2" applyNumberFormat="1" applyFont="1" applyFill="1" applyBorder="1" applyAlignment="1">
      <alignment horizontal="center" vertical="center"/>
    </xf>
    <xf numFmtId="164" fontId="12" fillId="7" borderId="49" xfId="1" applyNumberFormat="1" applyFont="1" applyFill="1" applyBorder="1" applyAlignment="1">
      <alignment horizontal="center" vertical="center"/>
    </xf>
    <xf numFmtId="165" fontId="12" fillId="7" borderId="49" xfId="0" applyNumberFormat="1" applyFont="1" applyFill="1" applyBorder="1" applyAlignment="1">
      <alignment horizontal="center" vertical="center"/>
    </xf>
    <xf numFmtId="0" fontId="12" fillId="0" borderId="49" xfId="0" applyFont="1" applyBorder="1" applyAlignment="1">
      <alignment vertical="center"/>
    </xf>
    <xf numFmtId="166" fontId="12" fillId="12" borderId="45" xfId="1" applyNumberFormat="1" applyFont="1" applyFill="1" applyBorder="1" applyAlignment="1">
      <alignment horizontal="center" vertical="center"/>
    </xf>
    <xf numFmtId="166" fontId="12" fillId="12" borderId="47" xfId="1" applyNumberFormat="1" applyFont="1" applyFill="1" applyBorder="1" applyAlignment="1">
      <alignment horizontal="center" vertical="center"/>
    </xf>
    <xf numFmtId="165" fontId="10" fillId="0" borderId="47" xfId="0" applyNumberFormat="1" applyFont="1" applyBorder="1" applyAlignment="1">
      <alignment vertical="center"/>
    </xf>
    <xf numFmtId="0" fontId="11" fillId="0" borderId="50" xfId="0" applyFont="1" applyBorder="1" applyAlignment="1">
      <alignment horizontal="left" vertical="center"/>
    </xf>
    <xf numFmtId="166" fontId="12" fillId="0" borderId="51" xfId="0" applyNumberFormat="1" applyFont="1" applyBorder="1" applyAlignment="1">
      <alignment horizontal="center" vertical="center"/>
    </xf>
    <xf numFmtId="166" fontId="12" fillId="5" borderId="51" xfId="1" applyNumberFormat="1" applyFont="1" applyFill="1" applyBorder="1" applyAlignment="1">
      <alignment horizontal="center" vertical="center"/>
    </xf>
    <xf numFmtId="10" fontId="14" fillId="5" borderId="51" xfId="2" applyNumberFormat="1" applyFont="1" applyFill="1" applyBorder="1" applyAlignment="1">
      <alignment horizontal="center" vertical="center"/>
    </xf>
    <xf numFmtId="164" fontId="12" fillId="7" borderId="51" xfId="1" applyNumberFormat="1" applyFont="1" applyFill="1" applyBorder="1" applyAlignment="1">
      <alignment horizontal="center" vertical="center"/>
    </xf>
    <xf numFmtId="165" fontId="12" fillId="7" borderId="51" xfId="0" applyNumberFormat="1" applyFont="1" applyFill="1" applyBorder="1" applyAlignment="1">
      <alignment horizontal="center" vertical="center"/>
    </xf>
    <xf numFmtId="165" fontId="10" fillId="0" borderId="51" xfId="0" applyNumberFormat="1" applyFont="1" applyBorder="1" applyAlignment="1">
      <alignment vertical="center"/>
    </xf>
    <xf numFmtId="0" fontId="12" fillId="0" borderId="51" xfId="0" applyFont="1" applyBorder="1" applyAlignment="1">
      <alignment vertical="center"/>
    </xf>
    <xf numFmtId="0" fontId="26" fillId="0" borderId="28" xfId="0" applyFont="1" applyBorder="1" applyAlignment="1">
      <alignment horizontal="center" vertical="center"/>
    </xf>
    <xf numFmtId="165" fontId="27" fillId="5" borderId="28" xfId="1" applyNumberFormat="1" applyFont="1" applyFill="1" applyBorder="1" applyAlignment="1">
      <alignment horizontal="center" vertical="center" wrapText="1"/>
    </xf>
    <xf numFmtId="10" fontId="27" fillId="5" borderId="28" xfId="2" applyNumberFormat="1" applyFont="1" applyFill="1" applyBorder="1" applyAlignment="1">
      <alignment horizontal="center" vertical="center" wrapText="1"/>
    </xf>
    <xf numFmtId="166" fontId="28" fillId="5" borderId="28" xfId="1" applyNumberFormat="1" applyFont="1" applyFill="1" applyBorder="1" applyAlignment="1">
      <alignment horizontal="center" vertical="center" wrapText="1"/>
    </xf>
    <xf numFmtId="166" fontId="27" fillId="5" borderId="28" xfId="1" applyNumberFormat="1" applyFont="1" applyFill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/>
    </xf>
    <xf numFmtId="164" fontId="13" fillId="5" borderId="55" xfId="1" applyNumberFormat="1" applyFont="1" applyFill="1" applyBorder="1" applyAlignment="1">
      <alignment horizontal="center" vertical="center"/>
    </xf>
    <xf numFmtId="10" fontId="14" fillId="5" borderId="55" xfId="2" applyNumberFormat="1" applyFont="1" applyFill="1" applyBorder="1" applyAlignment="1">
      <alignment horizontal="center" vertical="center"/>
    </xf>
    <xf numFmtId="10" fontId="13" fillId="5" borderId="51" xfId="2" applyNumberFormat="1" applyFont="1" applyFill="1" applyBorder="1" applyAlignment="1">
      <alignment horizontal="center" vertical="center"/>
    </xf>
    <xf numFmtId="0" fontId="13" fillId="0" borderId="44" xfId="0" applyFont="1" applyBorder="1" applyAlignment="1">
      <alignment horizontal="left" vertical="center"/>
    </xf>
    <xf numFmtId="166" fontId="13" fillId="0" borderId="45" xfId="0" applyNumberFormat="1" applyFont="1" applyBorder="1" applyAlignment="1">
      <alignment horizontal="center" vertical="center"/>
    </xf>
    <xf numFmtId="164" fontId="13" fillId="5" borderId="45" xfId="1" applyNumberFormat="1" applyFont="1" applyFill="1" applyBorder="1" applyAlignment="1">
      <alignment horizontal="center" vertical="center"/>
    </xf>
    <xf numFmtId="166" fontId="13" fillId="5" borderId="45" xfId="0" applyNumberFormat="1" applyFont="1" applyFill="1" applyBorder="1" applyAlignment="1">
      <alignment horizontal="center" vertical="center"/>
    </xf>
    <xf numFmtId="166" fontId="13" fillId="7" borderId="45" xfId="0" applyNumberFormat="1" applyFont="1" applyFill="1" applyBorder="1" applyAlignment="1">
      <alignment horizontal="center" vertical="center"/>
    </xf>
    <xf numFmtId="165" fontId="10" fillId="0" borderId="45" xfId="0" applyNumberFormat="1" applyFont="1" applyBorder="1" applyAlignment="1">
      <alignment horizontal="center" vertical="center"/>
    </xf>
    <xf numFmtId="0" fontId="12" fillId="7" borderId="45" xfId="0" applyFont="1" applyFill="1" applyBorder="1" applyAlignment="1">
      <alignment horizontal="center" vertical="center"/>
    </xf>
    <xf numFmtId="0" fontId="13" fillId="0" borderId="46" xfId="0" applyFont="1" applyBorder="1" applyAlignment="1">
      <alignment horizontal="left" vertical="center"/>
    </xf>
    <xf numFmtId="166" fontId="13" fillId="0" borderId="47" xfId="0" applyNumberFormat="1" applyFont="1" applyBorder="1" applyAlignment="1">
      <alignment horizontal="center" vertical="center"/>
    </xf>
    <xf numFmtId="0" fontId="16" fillId="8" borderId="47" xfId="0" applyFont="1" applyFill="1" applyBorder="1" applyAlignment="1">
      <alignment vertical="center"/>
    </xf>
    <xf numFmtId="10" fontId="13" fillId="0" borderId="47" xfId="2" applyNumberFormat="1" applyFont="1" applyFill="1" applyBorder="1" applyAlignment="1">
      <alignment horizontal="center" vertical="center"/>
    </xf>
    <xf numFmtId="10" fontId="13" fillId="5" borderId="47" xfId="2" applyNumberFormat="1" applyFont="1" applyFill="1" applyBorder="1" applyAlignment="1">
      <alignment horizontal="center" vertical="center"/>
    </xf>
    <xf numFmtId="165" fontId="12" fillId="5" borderId="47" xfId="0" applyNumberFormat="1" applyFont="1" applyFill="1" applyBorder="1" applyAlignment="1">
      <alignment horizontal="center" vertical="center"/>
    </xf>
    <xf numFmtId="10" fontId="12" fillId="5" borderId="47" xfId="2" applyNumberFormat="1" applyFont="1" applyFill="1" applyBorder="1" applyAlignment="1">
      <alignment horizontal="center" vertical="center"/>
    </xf>
    <xf numFmtId="0" fontId="13" fillId="0" borderId="56" xfId="0" applyFont="1" applyBorder="1" applyAlignment="1">
      <alignment horizontal="left" vertical="center"/>
    </xf>
    <xf numFmtId="166" fontId="13" fillId="0" borderId="57" xfId="0" applyNumberFormat="1" applyFont="1" applyBorder="1" applyAlignment="1">
      <alignment horizontal="center" vertical="center"/>
    </xf>
    <xf numFmtId="166" fontId="13" fillId="5" borderId="57" xfId="0" applyNumberFormat="1" applyFont="1" applyFill="1" applyBorder="1" applyAlignment="1">
      <alignment horizontal="center" vertical="center"/>
    </xf>
    <xf numFmtId="10" fontId="14" fillId="5" borderId="57" xfId="2" applyNumberFormat="1" applyFont="1" applyFill="1" applyBorder="1" applyAlignment="1">
      <alignment horizontal="center" vertical="center"/>
    </xf>
    <xf numFmtId="166" fontId="13" fillId="7" borderId="57" xfId="0" applyNumberFormat="1" applyFont="1" applyFill="1" applyBorder="1" applyAlignment="1">
      <alignment horizontal="center" vertical="center"/>
    </xf>
    <xf numFmtId="0" fontId="12" fillId="7" borderId="57" xfId="0" applyFont="1" applyFill="1" applyBorder="1" applyAlignment="1">
      <alignment horizontal="center" vertical="center"/>
    </xf>
    <xf numFmtId="10" fontId="13" fillId="5" borderId="59" xfId="2" applyNumberFormat="1" applyFont="1" applyFill="1" applyBorder="1" applyAlignment="1">
      <alignment horizontal="center" vertical="center"/>
    </xf>
    <xf numFmtId="9" fontId="30" fillId="3" borderId="41" xfId="0" applyNumberFormat="1" applyFont="1" applyFill="1" applyBorder="1" applyAlignment="1">
      <alignment horizontal="left"/>
    </xf>
    <xf numFmtId="165" fontId="27" fillId="0" borderId="60" xfId="1" applyNumberFormat="1" applyFont="1" applyFill="1" applyBorder="1" applyAlignment="1">
      <alignment horizontal="center" vertical="center" wrapText="1"/>
    </xf>
    <xf numFmtId="0" fontId="29" fillId="5" borderId="41" xfId="0" applyFont="1" applyFill="1" applyBorder="1"/>
    <xf numFmtId="10" fontId="29" fillId="5" borderId="41" xfId="2" applyNumberFormat="1" applyFont="1" applyFill="1" applyBorder="1"/>
    <xf numFmtId="0" fontId="29" fillId="0" borderId="41" xfId="0" applyFont="1" applyBorder="1"/>
    <xf numFmtId="165" fontId="26" fillId="0" borderId="41" xfId="0" applyNumberFormat="1" applyFont="1" applyBorder="1" applyAlignment="1">
      <alignment vertical="center"/>
    </xf>
    <xf numFmtId="164" fontId="25" fillId="0" borderId="41" xfId="1" applyNumberFormat="1" applyFont="1" applyFill="1" applyBorder="1" applyAlignment="1">
      <alignment horizontal="center" vertical="center"/>
    </xf>
    <xf numFmtId="166" fontId="11" fillId="0" borderId="47" xfId="0" applyNumberFormat="1" applyFont="1" applyBorder="1" applyAlignment="1">
      <alignment horizontal="center" vertical="center"/>
    </xf>
    <xf numFmtId="165" fontId="10" fillId="7" borderId="47" xfId="0" applyNumberFormat="1" applyFont="1" applyFill="1" applyBorder="1" applyAlignment="1">
      <alignment horizontal="center" vertical="center"/>
    </xf>
    <xf numFmtId="166" fontId="12" fillId="12" borderId="47" xfId="0" applyNumberFormat="1" applyFont="1" applyFill="1" applyBorder="1" applyAlignment="1">
      <alignment horizontal="center" vertical="center"/>
    </xf>
    <xf numFmtId="166" fontId="12" fillId="3" borderId="47" xfId="0" applyNumberFormat="1" applyFont="1" applyFill="1" applyBorder="1" applyAlignment="1">
      <alignment horizontal="center" vertical="center"/>
    </xf>
    <xf numFmtId="166" fontId="9" fillId="5" borderId="47" xfId="1" applyNumberFormat="1" applyFont="1" applyFill="1" applyBorder="1" applyAlignment="1">
      <alignment horizontal="center" vertical="center"/>
    </xf>
    <xf numFmtId="166" fontId="16" fillId="5" borderId="47" xfId="0" applyNumberFormat="1" applyFont="1" applyFill="1" applyBorder="1" applyAlignment="1">
      <alignment horizontal="center" vertical="center"/>
    </xf>
    <xf numFmtId="165" fontId="16" fillId="5" borderId="47" xfId="0" applyNumberFormat="1" applyFont="1" applyFill="1" applyBorder="1" applyAlignment="1">
      <alignment horizontal="center" vertical="center"/>
    </xf>
    <xf numFmtId="0" fontId="13" fillId="3" borderId="46" xfId="0" applyFont="1" applyFill="1" applyBorder="1" applyAlignment="1">
      <alignment horizontal="left" vertical="center"/>
    </xf>
    <xf numFmtId="166" fontId="13" fillId="3" borderId="47" xfId="0" applyNumberFormat="1" applyFont="1" applyFill="1" applyBorder="1" applyAlignment="1">
      <alignment horizontal="center" vertical="center"/>
    </xf>
    <xf numFmtId="10" fontId="13" fillId="3" borderId="47" xfId="2" applyNumberFormat="1" applyFont="1" applyFill="1" applyBorder="1" applyAlignment="1">
      <alignment horizontal="center" vertical="center"/>
    </xf>
    <xf numFmtId="10" fontId="12" fillId="3" borderId="47" xfId="2" applyNumberFormat="1" applyFont="1" applyFill="1" applyBorder="1" applyAlignment="1">
      <alignment horizontal="center" vertical="center"/>
    </xf>
    <xf numFmtId="165" fontId="10" fillId="3" borderId="47" xfId="0" applyNumberFormat="1" applyFont="1" applyFill="1" applyBorder="1" applyAlignment="1">
      <alignment vertical="center"/>
    </xf>
    <xf numFmtId="0" fontId="12" fillId="3" borderId="47" xfId="0" applyFont="1" applyFill="1" applyBorder="1" applyAlignment="1">
      <alignment vertical="center"/>
    </xf>
    <xf numFmtId="0" fontId="13" fillId="0" borderId="48" xfId="0" applyFont="1" applyBorder="1" applyAlignment="1">
      <alignment horizontal="left" vertical="center"/>
    </xf>
    <xf numFmtId="166" fontId="9" fillId="0" borderId="49" xfId="0" applyNumberFormat="1" applyFont="1" applyBorder="1" applyAlignment="1">
      <alignment horizontal="center" vertical="center"/>
    </xf>
    <xf numFmtId="166" fontId="10" fillId="12" borderId="49" xfId="0" applyNumberFormat="1" applyFont="1" applyFill="1" applyBorder="1" applyAlignment="1">
      <alignment horizontal="center" vertical="center"/>
    </xf>
    <xf numFmtId="166" fontId="13" fillId="3" borderId="49" xfId="0" applyNumberFormat="1" applyFont="1" applyFill="1" applyBorder="1" applyAlignment="1">
      <alignment horizontal="center" vertical="center"/>
    </xf>
    <xf numFmtId="10" fontId="13" fillId="3" borderId="49" xfId="2" applyNumberFormat="1" applyFont="1" applyFill="1" applyBorder="1" applyAlignment="1">
      <alignment horizontal="center" vertical="center"/>
    </xf>
    <xf numFmtId="10" fontId="10" fillId="3" borderId="49" xfId="2" applyNumberFormat="1" applyFont="1" applyFill="1" applyBorder="1" applyAlignment="1">
      <alignment horizontal="center" vertical="center"/>
    </xf>
    <xf numFmtId="166" fontId="10" fillId="3" borderId="49" xfId="0" applyNumberFormat="1" applyFont="1" applyFill="1" applyBorder="1" applyAlignment="1">
      <alignment horizontal="center" vertical="center"/>
    </xf>
    <xf numFmtId="165" fontId="10" fillId="3" borderId="49" xfId="0" applyNumberFormat="1" applyFont="1" applyFill="1" applyBorder="1" applyAlignment="1">
      <alignment vertical="center"/>
    </xf>
    <xf numFmtId="0" fontId="10" fillId="3" borderId="49" xfId="0" applyFont="1" applyFill="1" applyBorder="1" applyAlignment="1">
      <alignment vertical="center"/>
    </xf>
    <xf numFmtId="10" fontId="12" fillId="5" borderId="45" xfId="2" applyNumberFormat="1" applyFont="1" applyFill="1" applyBorder="1" applyAlignment="1">
      <alignment horizontal="center" vertical="center"/>
    </xf>
    <xf numFmtId="10" fontId="19" fillId="5" borderId="45" xfId="2" applyNumberFormat="1" applyFont="1" applyFill="1" applyBorder="1" applyAlignment="1">
      <alignment horizontal="center" vertical="center"/>
    </xf>
    <xf numFmtId="165" fontId="12" fillId="5" borderId="45" xfId="0" applyNumberFormat="1" applyFont="1" applyFill="1" applyBorder="1" applyAlignment="1">
      <alignment horizontal="center" vertical="center"/>
    </xf>
    <xf numFmtId="10" fontId="13" fillId="5" borderId="45" xfId="2" applyNumberFormat="1" applyFont="1" applyFill="1" applyBorder="1" applyAlignment="1">
      <alignment horizontal="center" vertical="center"/>
    </xf>
    <xf numFmtId="165" fontId="16" fillId="5" borderId="45" xfId="0" applyNumberFormat="1" applyFont="1" applyFill="1" applyBorder="1" applyAlignment="1">
      <alignment horizontal="center" vertical="center"/>
    </xf>
    <xf numFmtId="10" fontId="14" fillId="0" borderId="63" xfId="2" applyNumberFormat="1" applyFont="1" applyBorder="1" applyAlignment="1">
      <alignment horizontal="center" vertical="center"/>
    </xf>
    <xf numFmtId="10" fontId="13" fillId="0" borderId="63" xfId="2" applyNumberFormat="1" applyFont="1" applyFill="1" applyBorder="1" applyAlignment="1">
      <alignment horizontal="center" vertical="center" wrapText="1"/>
    </xf>
    <xf numFmtId="10" fontId="14" fillId="0" borderId="64" xfId="2" applyNumberFormat="1" applyFont="1" applyBorder="1" applyAlignment="1">
      <alignment horizontal="center" vertical="center"/>
    </xf>
    <xf numFmtId="10" fontId="14" fillId="0" borderId="65" xfId="2" applyNumberFormat="1" applyFont="1" applyBorder="1" applyAlignment="1">
      <alignment horizontal="center" vertical="center"/>
    </xf>
    <xf numFmtId="10" fontId="14" fillId="0" borderId="66" xfId="2" applyNumberFormat="1" applyFont="1" applyBorder="1" applyAlignment="1">
      <alignment horizontal="center" vertical="center"/>
    </xf>
    <xf numFmtId="10" fontId="12" fillId="0" borderId="64" xfId="2" applyNumberFormat="1" applyFont="1" applyBorder="1" applyAlignment="1">
      <alignment horizontal="center" vertical="center"/>
    </xf>
    <xf numFmtId="10" fontId="12" fillId="0" borderId="65" xfId="2" applyNumberFormat="1" applyFont="1" applyBorder="1" applyAlignment="1">
      <alignment horizontal="center" vertical="center"/>
    </xf>
    <xf numFmtId="10" fontId="12" fillId="0" borderId="67" xfId="2" applyNumberFormat="1" applyFont="1" applyBorder="1" applyAlignment="1">
      <alignment horizontal="center" vertical="center"/>
    </xf>
    <xf numFmtId="10" fontId="13" fillId="0" borderId="64" xfId="2" applyNumberFormat="1" applyFont="1" applyBorder="1" applyAlignment="1">
      <alignment horizontal="center" vertical="center"/>
    </xf>
    <xf numFmtId="10" fontId="13" fillId="0" borderId="69" xfId="2" applyNumberFormat="1" applyFont="1" applyBorder="1" applyAlignment="1">
      <alignment horizontal="center" vertical="center"/>
    </xf>
    <xf numFmtId="10" fontId="13" fillId="0" borderId="60" xfId="2" applyNumberFormat="1" applyFont="1" applyFill="1" applyBorder="1" applyAlignment="1">
      <alignment horizontal="center" vertical="center" wrapText="1"/>
    </xf>
    <xf numFmtId="10" fontId="13" fillId="0" borderId="65" xfId="2" applyNumberFormat="1" applyFont="1" applyBorder="1" applyAlignment="1">
      <alignment horizontal="center" vertical="center"/>
    </xf>
    <xf numFmtId="10" fontId="13" fillId="3" borderId="65" xfId="2" applyNumberFormat="1" applyFont="1" applyFill="1" applyBorder="1" applyAlignment="1">
      <alignment horizontal="center" vertical="center"/>
    </xf>
    <xf numFmtId="10" fontId="13" fillId="3" borderId="66" xfId="2" applyNumberFormat="1" applyFont="1" applyFill="1" applyBorder="1" applyAlignment="1">
      <alignment horizontal="center" vertical="center"/>
    </xf>
    <xf numFmtId="165" fontId="13" fillId="5" borderId="62" xfId="1" applyNumberFormat="1" applyFont="1" applyFill="1" applyBorder="1" applyAlignment="1">
      <alignment horizontal="center" vertical="center" wrapText="1"/>
    </xf>
    <xf numFmtId="165" fontId="27" fillId="5" borderId="53" xfId="1" applyNumberFormat="1" applyFont="1" applyFill="1" applyBorder="1" applyAlignment="1">
      <alignment horizontal="center" vertical="center" wrapText="1"/>
    </xf>
    <xf numFmtId="165" fontId="13" fillId="5" borderId="53" xfId="1" applyNumberFormat="1" applyFont="1" applyFill="1" applyBorder="1" applyAlignment="1">
      <alignment horizontal="center" vertical="center" wrapText="1"/>
    </xf>
    <xf numFmtId="164" fontId="10" fillId="5" borderId="71" xfId="1" applyNumberFormat="1" applyFont="1" applyFill="1" applyBorder="1" applyAlignment="1">
      <alignment horizontal="center" vertical="center"/>
    </xf>
    <xf numFmtId="10" fontId="13" fillId="5" borderId="71" xfId="2" applyNumberFormat="1" applyFont="1" applyFill="1" applyBorder="1" applyAlignment="1">
      <alignment horizontal="center" vertical="center" wrapText="1"/>
    </xf>
    <xf numFmtId="164" fontId="12" fillId="12" borderId="72" xfId="1" applyNumberFormat="1" applyFont="1" applyFill="1" applyBorder="1" applyAlignment="1">
      <alignment horizontal="center" vertical="center"/>
    </xf>
    <xf numFmtId="164" fontId="12" fillId="12" borderId="73" xfId="1" applyNumberFormat="1" applyFont="1" applyFill="1" applyBorder="1" applyAlignment="1">
      <alignment horizontal="center" vertical="center"/>
    </xf>
    <xf numFmtId="164" fontId="12" fillId="12" borderId="74" xfId="1" applyNumberFormat="1" applyFont="1" applyFill="1" applyBorder="1" applyAlignment="1">
      <alignment horizontal="center" vertical="center"/>
    </xf>
    <xf numFmtId="164" fontId="13" fillId="5" borderId="75" xfId="1" applyNumberFormat="1" applyFont="1" applyFill="1" applyBorder="1" applyAlignment="1">
      <alignment horizontal="center" vertical="center"/>
    </xf>
    <xf numFmtId="164" fontId="13" fillId="5" borderId="72" xfId="1" applyNumberFormat="1" applyFont="1" applyFill="1" applyBorder="1" applyAlignment="1">
      <alignment horizontal="center" vertical="center"/>
    </xf>
    <xf numFmtId="164" fontId="13" fillId="5" borderId="76" xfId="1" applyNumberFormat="1" applyFont="1" applyFill="1" applyBorder="1" applyAlignment="1">
      <alignment horizontal="center" vertical="center"/>
    </xf>
    <xf numFmtId="10" fontId="13" fillId="5" borderId="77" xfId="2" applyNumberFormat="1" applyFont="1" applyFill="1" applyBorder="1" applyAlignment="1">
      <alignment horizontal="center" vertical="center"/>
    </xf>
    <xf numFmtId="0" fontId="29" fillId="5" borderId="62" xfId="0" applyFont="1" applyFill="1" applyBorder="1"/>
    <xf numFmtId="166" fontId="12" fillId="12" borderId="73" xfId="1" applyNumberFormat="1" applyFont="1" applyFill="1" applyBorder="1" applyAlignment="1">
      <alignment horizontal="center" vertical="center"/>
    </xf>
    <xf numFmtId="166" fontId="9" fillId="5" borderId="73" xfId="1" applyNumberFormat="1" applyFont="1" applyFill="1" applyBorder="1" applyAlignment="1">
      <alignment horizontal="center" vertical="center"/>
    </xf>
    <xf numFmtId="10" fontId="12" fillId="5" borderId="73" xfId="2" applyNumberFormat="1" applyFont="1" applyFill="1" applyBorder="1" applyAlignment="1">
      <alignment horizontal="center" vertical="center"/>
    </xf>
    <xf numFmtId="166" fontId="9" fillId="3" borderId="73" xfId="1" applyNumberFormat="1" applyFont="1" applyFill="1" applyBorder="1" applyAlignment="1">
      <alignment horizontal="center" vertical="center"/>
    </xf>
    <xf numFmtId="166" fontId="9" fillId="3" borderId="74" xfId="1" applyNumberFormat="1" applyFont="1" applyFill="1" applyBorder="1" applyAlignment="1">
      <alignment horizontal="center" vertical="center"/>
    </xf>
    <xf numFmtId="10" fontId="12" fillId="5" borderId="72" xfId="2" applyNumberFormat="1" applyFont="1" applyFill="1" applyBorder="1" applyAlignment="1">
      <alignment horizontal="center" vertical="center"/>
    </xf>
    <xf numFmtId="0" fontId="12" fillId="5" borderId="62" xfId="0" applyFont="1" applyFill="1" applyBorder="1"/>
    <xf numFmtId="0" fontId="31" fillId="0" borderId="41" xfId="0" applyFont="1" applyBorder="1" applyAlignment="1">
      <alignment horizontal="left" vertical="center"/>
    </xf>
    <xf numFmtId="0" fontId="3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 wrapText="1"/>
    </xf>
    <xf numFmtId="10" fontId="23" fillId="0" borderId="60" xfId="2" applyNumberFormat="1" applyFont="1" applyFill="1" applyBorder="1" applyAlignment="1">
      <alignment horizontal="center" vertical="center" wrapText="1"/>
    </xf>
    <xf numFmtId="10" fontId="23" fillId="5" borderId="62" xfId="2" applyNumberFormat="1" applyFont="1" applyFill="1" applyBorder="1" applyAlignment="1">
      <alignment horizontal="center" vertical="center" wrapText="1"/>
    </xf>
    <xf numFmtId="10" fontId="23" fillId="5" borderId="41" xfId="2" applyNumberFormat="1" applyFont="1" applyFill="1" applyBorder="1" applyAlignment="1">
      <alignment horizontal="center" vertical="center" wrapText="1"/>
    </xf>
    <xf numFmtId="0" fontId="31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vertical="center"/>
    </xf>
    <xf numFmtId="0" fontId="4" fillId="3" borderId="41" xfId="0" applyFont="1" applyFill="1" applyBorder="1"/>
    <xf numFmtId="0" fontId="0" fillId="3" borderId="43" xfId="0" applyFill="1" applyBorder="1"/>
    <xf numFmtId="43" fontId="0" fillId="0" borderId="41" xfId="0" applyNumberFormat="1" applyBorder="1"/>
    <xf numFmtId="43" fontId="0" fillId="3" borderId="40" xfId="0" applyNumberFormat="1" applyFill="1" applyBorder="1"/>
    <xf numFmtId="0" fontId="0" fillId="3" borderId="0" xfId="0" applyFill="1"/>
    <xf numFmtId="0" fontId="32" fillId="16" borderId="41" xfId="0" applyFont="1" applyFill="1" applyBorder="1"/>
    <xf numFmtId="0" fontId="33" fillId="0" borderId="41" xfId="0" applyFont="1" applyBorder="1"/>
    <xf numFmtId="0" fontId="33" fillId="17" borderId="43" xfId="0" applyFont="1" applyFill="1" applyBorder="1"/>
    <xf numFmtId="4" fontId="33" fillId="16" borderId="40" xfId="0" applyNumberFormat="1" applyFont="1" applyFill="1" applyBorder="1"/>
    <xf numFmtId="168" fontId="0" fillId="0" borderId="41" xfId="0" applyNumberFormat="1" applyBorder="1"/>
    <xf numFmtId="0" fontId="31" fillId="5" borderId="41" xfId="0" applyFont="1" applyFill="1" applyBorder="1" applyAlignment="1">
      <alignment horizontal="left" vertical="center"/>
    </xf>
    <xf numFmtId="166" fontId="22" fillId="5" borderId="41" xfId="0" applyNumberFormat="1" applyFont="1" applyFill="1" applyBorder="1" applyAlignment="1">
      <alignment horizontal="center" vertical="center"/>
    </xf>
    <xf numFmtId="10" fontId="22" fillId="5" borderId="60" xfId="2" applyNumberFormat="1" applyFont="1" applyFill="1" applyBorder="1" applyAlignment="1">
      <alignment horizontal="center" vertical="center"/>
    </xf>
    <xf numFmtId="165" fontId="22" fillId="5" borderId="41" xfId="0" applyNumberFormat="1" applyFont="1" applyFill="1" applyBorder="1" applyAlignment="1">
      <alignment horizontal="center" vertical="center"/>
    </xf>
    <xf numFmtId="164" fontId="22" fillId="5" borderId="62" xfId="1" applyNumberFormat="1" applyFont="1" applyFill="1" applyBorder="1" applyAlignment="1">
      <alignment horizontal="center" vertical="center"/>
    </xf>
    <xf numFmtId="164" fontId="22" fillId="5" borderId="41" xfId="1" applyNumberFormat="1" applyFont="1" applyFill="1" applyBorder="1" applyAlignment="1">
      <alignment horizontal="center" vertical="center"/>
    </xf>
    <xf numFmtId="166" fontId="22" fillId="5" borderId="41" xfId="1" applyNumberFormat="1" applyFont="1" applyFill="1" applyBorder="1" applyAlignment="1">
      <alignment horizontal="center" vertical="center"/>
    </xf>
    <xf numFmtId="10" fontId="22" fillId="5" borderId="41" xfId="2" applyNumberFormat="1" applyFont="1" applyFill="1" applyBorder="1" applyAlignment="1">
      <alignment horizontal="center" vertical="center"/>
    </xf>
    <xf numFmtId="165" fontId="22" fillId="5" borderId="41" xfId="0" applyNumberFormat="1" applyFont="1" applyFill="1" applyBorder="1" applyAlignment="1">
      <alignment vertical="center"/>
    </xf>
    <xf numFmtId="0" fontId="22" fillId="5" borderId="41" xfId="0" applyFont="1" applyFill="1" applyBorder="1" applyAlignment="1">
      <alignment vertical="center"/>
    </xf>
    <xf numFmtId="0" fontId="13" fillId="5" borderId="54" xfId="0" applyFont="1" applyFill="1" applyBorder="1" applyAlignment="1">
      <alignment horizontal="left" vertical="center"/>
    </xf>
    <xf numFmtId="166" fontId="13" fillId="5" borderId="55" xfId="0" applyNumberFormat="1" applyFont="1" applyFill="1" applyBorder="1" applyAlignment="1">
      <alignment horizontal="center" vertical="center"/>
    </xf>
    <xf numFmtId="10" fontId="13" fillId="5" borderId="68" xfId="2" applyNumberFormat="1" applyFont="1" applyFill="1" applyBorder="1" applyAlignment="1">
      <alignment horizontal="center" vertical="center"/>
    </xf>
    <xf numFmtId="165" fontId="10" fillId="5" borderId="55" xfId="0" applyNumberFormat="1" applyFont="1" applyFill="1" applyBorder="1" applyAlignment="1">
      <alignment vertical="center"/>
    </xf>
    <xf numFmtId="0" fontId="16" fillId="5" borderId="55" xfId="0" applyFont="1" applyFill="1" applyBorder="1" applyAlignment="1">
      <alignment vertical="center"/>
    </xf>
    <xf numFmtId="0" fontId="13" fillId="5" borderId="50" xfId="0" applyFont="1" applyFill="1" applyBorder="1" applyAlignment="1">
      <alignment horizontal="left" vertical="center"/>
    </xf>
    <xf numFmtId="166" fontId="13" fillId="5" borderId="51" xfId="0" applyNumberFormat="1" applyFont="1" applyFill="1" applyBorder="1" applyAlignment="1">
      <alignment horizontal="center" vertical="center"/>
    </xf>
    <xf numFmtId="10" fontId="13" fillId="5" borderId="67" xfId="2" applyNumberFormat="1" applyFont="1" applyFill="1" applyBorder="1" applyAlignment="1">
      <alignment horizontal="center" vertical="center"/>
    </xf>
    <xf numFmtId="165" fontId="10" fillId="5" borderId="51" xfId="0" applyNumberFormat="1" applyFont="1" applyFill="1" applyBorder="1" applyAlignment="1">
      <alignment vertical="center"/>
    </xf>
    <xf numFmtId="0" fontId="16" fillId="5" borderId="51" xfId="0" applyFont="1" applyFill="1" applyBorder="1" applyAlignment="1">
      <alignment vertical="center"/>
    </xf>
    <xf numFmtId="0" fontId="9" fillId="5" borderId="41" xfId="0" applyFont="1" applyFill="1" applyBorder="1" applyAlignment="1">
      <alignment horizontal="left" vertical="center"/>
    </xf>
    <xf numFmtId="0" fontId="13" fillId="5" borderId="58" xfId="0" applyFont="1" applyFill="1" applyBorder="1" applyAlignment="1">
      <alignment horizontal="left" vertical="center"/>
    </xf>
    <xf numFmtId="166" fontId="13" fillId="5" borderId="59" xfId="0" applyNumberFormat="1" applyFont="1" applyFill="1" applyBorder="1" applyAlignment="1">
      <alignment horizontal="center" vertical="center"/>
    </xf>
    <xf numFmtId="10" fontId="13" fillId="5" borderId="70" xfId="2" applyNumberFormat="1" applyFont="1" applyFill="1" applyBorder="1" applyAlignment="1">
      <alignment horizontal="center" vertical="center"/>
    </xf>
    <xf numFmtId="165" fontId="10" fillId="5" borderId="59" xfId="0" applyNumberFormat="1" applyFont="1" applyFill="1" applyBorder="1" applyAlignment="1">
      <alignment vertical="center"/>
    </xf>
    <xf numFmtId="0" fontId="16" fillId="5" borderId="59" xfId="0" applyFont="1" applyFill="1" applyBorder="1" applyAlignment="1">
      <alignment vertical="center"/>
    </xf>
    <xf numFmtId="0" fontId="13" fillId="5" borderId="46" xfId="0" applyFont="1" applyFill="1" applyBorder="1" applyAlignment="1">
      <alignment horizontal="left" vertical="center"/>
    </xf>
    <xf numFmtId="166" fontId="13" fillId="5" borderId="47" xfId="0" applyNumberFormat="1" applyFont="1" applyFill="1" applyBorder="1" applyAlignment="1">
      <alignment horizontal="center" vertical="center"/>
    </xf>
    <xf numFmtId="10" fontId="13" fillId="5" borderId="65" xfId="2" applyNumberFormat="1" applyFont="1" applyFill="1" applyBorder="1" applyAlignment="1">
      <alignment horizontal="center" vertical="center"/>
    </xf>
    <xf numFmtId="166" fontId="13" fillId="5" borderId="73" xfId="0" applyNumberFormat="1" applyFont="1" applyFill="1" applyBorder="1" applyAlignment="1">
      <alignment horizontal="center" vertical="center"/>
    </xf>
    <xf numFmtId="165" fontId="10" fillId="5" borderId="47" xfId="0" applyNumberFormat="1" applyFont="1" applyFill="1" applyBorder="1" applyAlignment="1">
      <alignment vertical="center"/>
    </xf>
    <xf numFmtId="0" fontId="16" fillId="5" borderId="47" xfId="0" applyFont="1" applyFill="1" applyBorder="1" applyAlignment="1">
      <alignment vertical="center"/>
    </xf>
    <xf numFmtId="166" fontId="13" fillId="3" borderId="73" xfId="0" applyNumberFormat="1" applyFont="1" applyFill="1" applyBorder="1" applyAlignment="1">
      <alignment horizontal="center" vertical="center"/>
    </xf>
    <xf numFmtId="0" fontId="16" fillId="3" borderId="47" xfId="0" applyFont="1" applyFill="1" applyBorder="1" applyAlignment="1">
      <alignment vertical="center"/>
    </xf>
    <xf numFmtId="0" fontId="13" fillId="5" borderId="44" xfId="0" applyFont="1" applyFill="1" applyBorder="1" applyAlignment="1">
      <alignment horizontal="left" vertical="center"/>
    </xf>
    <xf numFmtId="10" fontId="13" fillId="5" borderId="64" xfId="2" applyNumberFormat="1" applyFont="1" applyFill="1" applyBorder="1" applyAlignment="1">
      <alignment horizontal="center" vertical="center"/>
    </xf>
    <xf numFmtId="165" fontId="10" fillId="5" borderId="45" xfId="0" applyNumberFormat="1" applyFont="1" applyFill="1" applyBorder="1" applyAlignment="1">
      <alignment vertical="center"/>
    </xf>
    <xf numFmtId="0" fontId="16" fillId="5" borderId="45" xfId="0" applyFont="1" applyFill="1" applyBorder="1" applyAlignment="1">
      <alignment vertical="center"/>
    </xf>
    <xf numFmtId="166" fontId="13" fillId="3" borderId="47" xfId="1" applyNumberFormat="1" applyFont="1" applyFill="1" applyBorder="1" applyAlignment="1">
      <alignment horizontal="center" vertical="center"/>
    </xf>
    <xf numFmtId="9" fontId="0" fillId="0" borderId="0" xfId="2" applyFont="1"/>
    <xf numFmtId="164" fontId="0" fillId="0" borderId="0" xfId="1" applyNumberFormat="1" applyFont="1"/>
    <xf numFmtId="164" fontId="4" fillId="0" borderId="78" xfId="1" applyNumberFormat="1" applyFont="1" applyBorder="1" applyAlignment="1">
      <alignment horizontal="center" vertical="center"/>
    </xf>
    <xf numFmtId="164" fontId="4" fillId="0" borderId="43" xfId="1" applyNumberFormat="1" applyFont="1" applyBorder="1" applyAlignment="1">
      <alignment horizontal="center" vertical="center"/>
    </xf>
    <xf numFmtId="164" fontId="4" fillId="0" borderId="78" xfId="1" applyNumberFormat="1" applyFont="1" applyBorder="1" applyAlignment="1">
      <alignment horizontal="left" vertical="center"/>
    </xf>
    <xf numFmtId="164" fontId="4" fillId="0" borderId="79" xfId="1" applyNumberFormat="1" applyFont="1" applyBorder="1" applyAlignment="1">
      <alignment horizontal="left" vertical="center"/>
    </xf>
    <xf numFmtId="164" fontId="4" fillId="0" borderId="42" xfId="1" applyNumberFormat="1" applyFont="1" applyBorder="1" applyAlignment="1">
      <alignment horizontal="center" vertical="center" wrapText="1"/>
    </xf>
    <xf numFmtId="164" fontId="0" fillId="0" borderId="63" xfId="1" applyNumberFormat="1" applyFont="1" applyBorder="1"/>
    <xf numFmtId="164" fontId="0" fillId="0" borderId="40" xfId="1" applyNumberFormat="1" applyFont="1" applyBorder="1"/>
    <xf numFmtId="164" fontId="0" fillId="0" borderId="71" xfId="1" applyNumberFormat="1" applyFont="1" applyBorder="1"/>
    <xf numFmtId="164" fontId="4" fillId="0" borderId="60" xfId="1" applyNumberFormat="1" applyFont="1" applyBorder="1" applyAlignment="1"/>
    <xf numFmtId="164" fontId="4" fillId="0" borderId="61" xfId="1" applyNumberFormat="1" applyFont="1" applyBorder="1" applyAlignment="1"/>
    <xf numFmtId="164" fontId="4" fillId="0" borderId="62" xfId="1" applyNumberFormat="1" applyFont="1" applyBorder="1" applyAlignment="1"/>
    <xf numFmtId="164" fontId="0" fillId="0" borderId="0" xfId="1" applyNumberFormat="1" applyFont="1" applyAlignment="1">
      <alignment horizontal="center"/>
    </xf>
    <xf numFmtId="164" fontId="0" fillId="0" borderId="0" xfId="2" applyNumberFormat="1" applyFont="1"/>
    <xf numFmtId="164" fontId="2" fillId="2" borderId="0" xfId="1" applyNumberFormat="1" applyFont="1" applyFill="1"/>
    <xf numFmtId="164" fontId="0" fillId="5" borderId="0" xfId="1" applyNumberFormat="1" applyFont="1" applyFill="1"/>
    <xf numFmtId="164" fontId="0" fillId="18" borderId="0" xfId="1" applyNumberFormat="1" applyFont="1" applyFill="1"/>
    <xf numFmtId="0" fontId="0" fillId="9" borderId="0" xfId="0" applyFill="1"/>
    <xf numFmtId="164" fontId="0" fillId="9" borderId="0" xfId="1" applyNumberFormat="1" applyFont="1" applyFill="1"/>
    <xf numFmtId="164" fontId="4" fillId="3" borderId="0" xfId="1" applyNumberFormat="1" applyFont="1" applyFill="1"/>
    <xf numFmtId="9" fontId="0" fillId="3" borderId="0" xfId="2" applyFont="1" applyFill="1"/>
    <xf numFmtId="10" fontId="0" fillId="3" borderId="0" xfId="0" applyNumberFormat="1" applyFill="1"/>
    <xf numFmtId="9" fontId="0" fillId="3" borderId="0" xfId="0" applyNumberFormat="1" applyFill="1"/>
    <xf numFmtId="9" fontId="0" fillId="0" borderId="0" xfId="0" applyNumberFormat="1"/>
    <xf numFmtId="10" fontId="34" fillId="5" borderId="45" xfId="2" applyNumberFormat="1" applyFont="1" applyFill="1" applyBorder="1" applyAlignment="1">
      <alignment horizontal="center" vertical="center"/>
    </xf>
    <xf numFmtId="164" fontId="0" fillId="3" borderId="33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33" xfId="0" applyNumberFormat="1" applyFill="1" applyBorder="1"/>
    <xf numFmtId="10" fontId="0" fillId="3" borderId="3" xfId="2" applyNumberFormat="1" applyFont="1" applyFill="1" applyBorder="1"/>
    <xf numFmtId="10" fontId="0" fillId="3" borderId="6" xfId="2" applyNumberFormat="1" applyFont="1" applyFill="1" applyBorder="1"/>
    <xf numFmtId="10" fontId="0" fillId="3" borderId="9" xfId="2" applyNumberFormat="1" applyFont="1" applyFill="1" applyBorder="1"/>
    <xf numFmtId="10" fontId="0" fillId="3" borderId="12" xfId="0" applyNumberFormat="1" applyFill="1" applyBorder="1"/>
    <xf numFmtId="0" fontId="0" fillId="0" borderId="78" xfId="0" applyBorder="1"/>
    <xf numFmtId="43" fontId="0" fillId="0" borderId="0" xfId="1" applyFont="1" applyBorder="1"/>
    <xf numFmtId="0" fontId="11" fillId="0" borderId="58" xfId="0" applyFont="1" applyBorder="1" applyAlignment="1">
      <alignment horizontal="left" vertical="center"/>
    </xf>
    <xf numFmtId="166" fontId="12" fillId="0" borderId="59" xfId="0" applyNumberFormat="1" applyFont="1" applyBorder="1" applyAlignment="1">
      <alignment horizontal="center" vertical="center"/>
    </xf>
    <xf numFmtId="10" fontId="14" fillId="0" borderId="70" xfId="2" applyNumberFormat="1" applyFont="1" applyBorder="1" applyAlignment="1">
      <alignment horizontal="center" vertical="center"/>
    </xf>
    <xf numFmtId="164" fontId="12" fillId="12" borderId="77" xfId="1" applyNumberFormat="1" applyFont="1" applyFill="1" applyBorder="1" applyAlignment="1">
      <alignment horizontal="center" vertical="center"/>
    </xf>
    <xf numFmtId="10" fontId="14" fillId="5" borderId="59" xfId="2" applyNumberFormat="1" applyFont="1" applyFill="1" applyBorder="1" applyAlignment="1">
      <alignment horizontal="center" vertical="center"/>
    </xf>
    <xf numFmtId="164" fontId="12" fillId="7" borderId="59" xfId="1" applyNumberFormat="1" applyFont="1" applyFill="1" applyBorder="1" applyAlignment="1">
      <alignment horizontal="center" vertical="center"/>
    </xf>
    <xf numFmtId="165" fontId="12" fillId="7" borderId="59" xfId="0" applyNumberFormat="1" applyFont="1" applyFill="1" applyBorder="1" applyAlignment="1">
      <alignment horizontal="center" vertical="center"/>
    </xf>
    <xf numFmtId="0" fontId="12" fillId="0" borderId="59" xfId="0" applyFont="1" applyBorder="1" applyAlignment="1">
      <alignment vertical="center"/>
    </xf>
    <xf numFmtId="0" fontId="11" fillId="0" borderId="56" xfId="0" applyFont="1" applyBorder="1" applyAlignment="1">
      <alignment horizontal="left" vertical="center"/>
    </xf>
    <xf numFmtId="166" fontId="12" fillId="0" borderId="57" xfId="0" applyNumberFormat="1" applyFont="1" applyBorder="1" applyAlignment="1">
      <alignment horizontal="center" vertical="center"/>
    </xf>
    <xf numFmtId="10" fontId="14" fillId="0" borderId="69" xfId="2" applyNumberFormat="1" applyFont="1" applyBorder="1" applyAlignment="1">
      <alignment horizontal="center" vertical="center"/>
    </xf>
    <xf numFmtId="164" fontId="12" fillId="12" borderId="76" xfId="1" applyNumberFormat="1" applyFont="1" applyFill="1" applyBorder="1" applyAlignment="1">
      <alignment horizontal="center" vertical="center"/>
    </xf>
    <xf numFmtId="164" fontId="12" fillId="7" borderId="57" xfId="1" applyNumberFormat="1" applyFont="1" applyFill="1" applyBorder="1" applyAlignment="1">
      <alignment horizontal="center" vertical="center"/>
    </xf>
    <xf numFmtId="165" fontId="12" fillId="7" borderId="57" xfId="0" applyNumberFormat="1" applyFont="1" applyFill="1" applyBorder="1" applyAlignment="1">
      <alignment horizontal="center" vertical="center"/>
    </xf>
    <xf numFmtId="0" fontId="12" fillId="0" borderId="57" xfId="0" applyFont="1" applyBorder="1" applyAlignment="1">
      <alignment vertical="center"/>
    </xf>
    <xf numFmtId="0" fontId="11" fillId="0" borderId="63" xfId="0" applyFont="1" applyBorder="1" applyAlignment="1">
      <alignment horizontal="left" vertical="center"/>
    </xf>
    <xf numFmtId="164" fontId="12" fillId="12" borderId="21" xfId="1" applyNumberFormat="1" applyFont="1" applyFill="1" applyBorder="1" applyAlignment="1">
      <alignment horizontal="center" vertical="center"/>
    </xf>
    <xf numFmtId="164" fontId="12" fillId="12" borderId="81" xfId="1" applyNumberFormat="1" applyFont="1" applyFill="1" applyBorder="1" applyAlignment="1">
      <alignment horizontal="center" vertical="center"/>
    </xf>
    <xf numFmtId="10" fontId="14" fillId="5" borderId="21" xfId="2" applyNumberFormat="1" applyFont="1" applyFill="1" applyBorder="1" applyAlignment="1">
      <alignment horizontal="center" vertical="center"/>
    </xf>
    <xf numFmtId="164" fontId="12" fillId="7" borderId="21" xfId="1" applyNumberFormat="1" applyFont="1" applyFill="1" applyBorder="1" applyAlignment="1">
      <alignment horizontal="center" vertical="center"/>
    </xf>
    <xf numFmtId="165" fontId="12" fillId="7" borderId="21" xfId="0" applyNumberFormat="1" applyFont="1" applyFill="1" applyBorder="1" applyAlignment="1">
      <alignment horizontal="center" vertical="center"/>
    </xf>
    <xf numFmtId="0" fontId="12" fillId="0" borderId="21" xfId="0" applyFont="1" applyBorder="1" applyAlignment="1">
      <alignment vertical="center"/>
    </xf>
    <xf numFmtId="0" fontId="31" fillId="5" borderId="78" xfId="0" applyFont="1" applyFill="1" applyBorder="1" applyAlignment="1">
      <alignment horizontal="left" vertical="center"/>
    </xf>
    <xf numFmtId="166" fontId="22" fillId="5" borderId="0" xfId="0" applyNumberFormat="1" applyFont="1" applyFill="1" applyAlignment="1">
      <alignment horizontal="center" vertical="center"/>
    </xf>
    <xf numFmtId="10" fontId="22" fillId="5" borderId="0" xfId="2" applyNumberFormat="1" applyFont="1" applyFill="1" applyBorder="1" applyAlignment="1">
      <alignment horizontal="center" vertical="center"/>
    </xf>
    <xf numFmtId="165" fontId="22" fillId="5" borderId="0" xfId="0" applyNumberFormat="1" applyFont="1" applyFill="1" applyAlignment="1">
      <alignment horizontal="center" vertical="center"/>
    </xf>
    <xf numFmtId="164" fontId="22" fillId="5" borderId="0" xfId="1" applyNumberFormat="1" applyFont="1" applyFill="1" applyBorder="1" applyAlignment="1">
      <alignment horizontal="center" vertical="center"/>
    </xf>
    <xf numFmtId="166" fontId="22" fillId="5" borderId="0" xfId="1" applyNumberFormat="1" applyFont="1" applyFill="1" applyBorder="1" applyAlignment="1">
      <alignment horizontal="center" vertical="center"/>
    </xf>
    <xf numFmtId="165" fontId="22" fillId="5" borderId="0" xfId="0" applyNumberFormat="1" applyFont="1" applyFill="1" applyAlignment="1">
      <alignment vertical="center"/>
    </xf>
    <xf numFmtId="0" fontId="22" fillId="5" borderId="0" xfId="0" applyFont="1" applyFill="1" applyAlignment="1">
      <alignment vertical="center"/>
    </xf>
    <xf numFmtId="43" fontId="4" fillId="4" borderId="41" xfId="1" applyFont="1" applyFill="1" applyBorder="1" applyAlignment="1">
      <alignment horizontal="center" wrapText="1"/>
    </xf>
    <xf numFmtId="43" fontId="4" fillId="4" borderId="41" xfId="1" applyFont="1" applyFill="1" applyBorder="1" applyAlignment="1">
      <alignment vertical="center"/>
    </xf>
    <xf numFmtId="43" fontId="4" fillId="4" borderId="41" xfId="1" applyFont="1" applyFill="1" applyBorder="1" applyAlignment="1">
      <alignment horizontal="center" vertical="center"/>
    </xf>
    <xf numFmtId="166" fontId="0" fillId="0" borderId="0" xfId="0" applyNumberFormat="1"/>
    <xf numFmtId="43" fontId="35" fillId="0" borderId="0" xfId="1" applyFont="1"/>
    <xf numFmtId="164" fontId="4" fillId="6" borderId="0" xfId="1" applyNumberFormat="1" applyFont="1" applyFill="1"/>
    <xf numFmtId="0" fontId="10" fillId="0" borderId="22" xfId="4" applyFont="1" applyBorder="1" applyAlignment="1">
      <alignment horizontal="left"/>
    </xf>
    <xf numFmtId="0" fontId="10" fillId="0" borderId="22" xfId="4" applyFont="1" applyBorder="1" applyAlignment="1">
      <alignment horizontal="center"/>
    </xf>
    <xf numFmtId="165" fontId="13" fillId="0" borderId="24" xfId="5" applyNumberFormat="1" applyFont="1" applyFill="1" applyBorder="1" applyAlignment="1">
      <alignment horizontal="center" vertical="center" wrapText="1"/>
    </xf>
    <xf numFmtId="0" fontId="12" fillId="0" borderId="0" xfId="4" applyFont="1"/>
    <xf numFmtId="164" fontId="13" fillId="0" borderId="25" xfId="5" applyNumberFormat="1" applyFont="1" applyFill="1" applyBorder="1" applyAlignment="1">
      <alignment horizontal="left" vertical="center"/>
    </xf>
    <xf numFmtId="164" fontId="13" fillId="0" borderId="25" xfId="5" applyNumberFormat="1" applyFont="1" applyFill="1" applyBorder="1" applyAlignment="1">
      <alignment horizontal="center" vertical="center"/>
    </xf>
    <xf numFmtId="165" fontId="13" fillId="0" borderId="23" xfId="5" applyNumberFormat="1" applyFont="1" applyFill="1" applyBorder="1" applyAlignment="1">
      <alignment horizontal="center" vertical="center" wrapText="1"/>
    </xf>
    <xf numFmtId="0" fontId="14" fillId="0" borderId="0" xfId="4" applyFont="1"/>
    <xf numFmtId="0" fontId="9" fillId="3" borderId="30" xfId="4" applyFont="1" applyFill="1" applyBorder="1" applyAlignment="1">
      <alignment horizontal="left" vertical="center"/>
    </xf>
    <xf numFmtId="166" fontId="9" fillId="3" borderId="30" xfId="4" applyNumberFormat="1" applyFont="1" applyFill="1" applyBorder="1" applyAlignment="1">
      <alignment horizontal="center" vertical="center"/>
    </xf>
    <xf numFmtId="166" fontId="10" fillId="0" borderId="29" xfId="4" applyNumberFormat="1" applyFont="1" applyBorder="1" applyAlignment="1">
      <alignment horizontal="center" vertical="center"/>
    </xf>
    <xf numFmtId="0" fontId="10" fillId="0" borderId="0" xfId="4" applyFont="1" applyAlignment="1">
      <alignment vertical="center"/>
    </xf>
    <xf numFmtId="0" fontId="9" fillId="0" borderId="27" xfId="4" applyFont="1" applyBorder="1" applyAlignment="1">
      <alignment horizontal="left" vertical="center"/>
    </xf>
    <xf numFmtId="0" fontId="9" fillId="0" borderId="27" xfId="4" applyFont="1" applyBorder="1" applyAlignment="1">
      <alignment horizontal="center" vertical="center"/>
    </xf>
    <xf numFmtId="0" fontId="12" fillId="0" borderId="0" xfId="4" applyFont="1" applyAlignment="1">
      <alignment vertical="center"/>
    </xf>
    <xf numFmtId="0" fontId="9" fillId="5" borderId="36" xfId="4" applyFont="1" applyFill="1" applyBorder="1" applyAlignment="1">
      <alignment horizontal="left" vertical="center"/>
    </xf>
    <xf numFmtId="166" fontId="10" fillId="5" borderId="37" xfId="4" applyNumberFormat="1" applyFont="1" applyFill="1" applyBorder="1" applyAlignment="1">
      <alignment horizontal="center" vertical="center"/>
    </xf>
    <xf numFmtId="166" fontId="10" fillId="5" borderId="38" xfId="4" applyNumberFormat="1" applyFont="1" applyFill="1" applyBorder="1" applyAlignment="1">
      <alignment horizontal="center" vertical="center"/>
    </xf>
    <xf numFmtId="0" fontId="11" fillId="0" borderId="16" xfId="4" applyFont="1" applyBorder="1" applyAlignment="1">
      <alignment horizontal="left" vertical="center"/>
    </xf>
    <xf numFmtId="166" fontId="12" fillId="0" borderId="15" xfId="4" applyNumberFormat="1" applyFont="1" applyBorder="1" applyAlignment="1">
      <alignment horizontal="center" vertical="center"/>
    </xf>
    <xf numFmtId="0" fontId="12" fillId="0" borderId="15" xfId="4" applyFont="1" applyBorder="1" applyAlignment="1">
      <alignment vertical="center"/>
    </xf>
    <xf numFmtId="0" fontId="11" fillId="0" borderId="17" xfId="4" applyFont="1" applyBorder="1" applyAlignment="1">
      <alignment horizontal="left" vertical="center"/>
    </xf>
    <xf numFmtId="166" fontId="12" fillId="0" borderId="5" xfId="4" applyNumberFormat="1" applyFont="1" applyBorder="1" applyAlignment="1">
      <alignment horizontal="center" vertical="center"/>
    </xf>
    <xf numFmtId="0" fontId="12" fillId="0" borderId="5" xfId="4" applyFont="1" applyBorder="1" applyAlignment="1">
      <alignment vertical="center"/>
    </xf>
    <xf numFmtId="0" fontId="9" fillId="5" borderId="20" xfId="4" applyFont="1" applyFill="1" applyBorder="1" applyAlignment="1">
      <alignment horizontal="left" vertical="center"/>
    </xf>
    <xf numFmtId="166" fontId="10" fillId="5" borderId="28" xfId="4" applyNumberFormat="1" applyFont="1" applyFill="1" applyBorder="1" applyAlignment="1">
      <alignment horizontal="center" vertical="center"/>
    </xf>
    <xf numFmtId="0" fontId="11" fillId="0" borderId="18" xfId="4" applyFont="1" applyBorder="1" applyAlignment="1">
      <alignment horizontal="left" vertical="center"/>
    </xf>
    <xf numFmtId="166" fontId="12" fillId="0" borderId="14" xfId="4" applyNumberFormat="1" applyFont="1" applyBorder="1" applyAlignment="1">
      <alignment horizontal="center" vertical="center"/>
    </xf>
    <xf numFmtId="0" fontId="11" fillId="0" borderId="19" xfId="4" applyFont="1" applyBorder="1" applyAlignment="1">
      <alignment horizontal="left" vertical="center"/>
    </xf>
    <xf numFmtId="0" fontId="13" fillId="0" borderId="31" xfId="4" applyFont="1" applyBorder="1" applyAlignment="1">
      <alignment horizontal="left" vertical="center"/>
    </xf>
    <xf numFmtId="166" fontId="13" fillId="0" borderId="32" xfId="4" applyNumberFormat="1" applyFont="1" applyBorder="1" applyAlignment="1">
      <alignment horizontal="center" vertical="center"/>
    </xf>
    <xf numFmtId="0" fontId="16" fillId="8" borderId="0" xfId="4" applyFont="1" applyFill="1" applyAlignment="1">
      <alignment vertical="center"/>
    </xf>
    <xf numFmtId="0" fontId="13" fillId="0" borderId="35" xfId="4" applyFont="1" applyBorder="1" applyAlignment="1">
      <alignment horizontal="left" vertical="center"/>
    </xf>
    <xf numFmtId="10" fontId="13" fillId="0" borderId="35" xfId="6" applyNumberFormat="1" applyFont="1" applyFill="1" applyBorder="1" applyAlignment="1">
      <alignment horizontal="center" vertical="center"/>
    </xf>
    <xf numFmtId="166" fontId="12" fillId="0" borderId="35" xfId="4" applyNumberFormat="1" applyFont="1" applyBorder="1" applyAlignment="1">
      <alignment horizontal="center" vertical="center"/>
    </xf>
    <xf numFmtId="166" fontId="13" fillId="0" borderId="32" xfId="4" applyNumberFormat="1" applyFont="1" applyBorder="1" applyAlignment="1">
      <alignment vertical="center"/>
    </xf>
    <xf numFmtId="0" fontId="12" fillId="7" borderId="0" xfId="4" applyFont="1" applyFill="1" applyAlignment="1">
      <alignment vertical="center"/>
    </xf>
    <xf numFmtId="0" fontId="12" fillId="0" borderId="0" xfId="4" applyFont="1" applyAlignment="1">
      <alignment horizontal="left"/>
    </xf>
    <xf numFmtId="0" fontId="12" fillId="0" borderId="0" xfId="4" applyFont="1" applyAlignment="1">
      <alignment horizontal="center"/>
    </xf>
    <xf numFmtId="10" fontId="6" fillId="3" borderId="0" xfId="9" applyNumberFormat="1" applyFont="1" applyFill="1" applyAlignment="1">
      <alignment vertical="center"/>
    </xf>
    <xf numFmtId="9" fontId="12" fillId="0" borderId="0" xfId="4" applyNumberFormat="1" applyFont="1" applyAlignment="1">
      <alignment horizontal="center"/>
    </xf>
    <xf numFmtId="10" fontId="12" fillId="0" borderId="0" xfId="4" applyNumberFormat="1" applyFont="1"/>
    <xf numFmtId="166" fontId="10" fillId="0" borderId="83" xfId="4" applyNumberFormat="1" applyFont="1" applyBorder="1" applyAlignment="1">
      <alignment horizontal="center" vertical="center"/>
    </xf>
    <xf numFmtId="166" fontId="9" fillId="3" borderId="26" xfId="4" applyNumberFormat="1" applyFont="1" applyFill="1" applyBorder="1" applyAlignment="1">
      <alignment horizontal="center" vertical="center"/>
    </xf>
    <xf numFmtId="166" fontId="10" fillId="5" borderId="15" xfId="4" applyNumberFormat="1" applyFont="1" applyFill="1" applyBorder="1" applyAlignment="1">
      <alignment horizontal="center" vertical="center"/>
    </xf>
    <xf numFmtId="166" fontId="10" fillId="5" borderId="84" xfId="4" applyNumberFormat="1" applyFont="1" applyFill="1" applyBorder="1" applyAlignment="1">
      <alignment horizontal="center" vertical="center"/>
    </xf>
    <xf numFmtId="166" fontId="12" fillId="0" borderId="85" xfId="4" applyNumberFormat="1" applyFont="1" applyBorder="1" applyAlignment="1">
      <alignment horizontal="center" vertical="center"/>
    </xf>
    <xf numFmtId="166" fontId="12" fillId="0" borderId="86" xfId="4" applyNumberFormat="1" applyFont="1" applyBorder="1" applyAlignment="1">
      <alignment horizontal="center" vertical="center"/>
    </xf>
    <xf numFmtId="166" fontId="10" fillId="5" borderId="52" xfId="4" applyNumberFormat="1" applyFont="1" applyFill="1" applyBorder="1" applyAlignment="1">
      <alignment horizontal="center" vertical="center"/>
    </xf>
    <xf numFmtId="166" fontId="12" fillId="0" borderId="87" xfId="4" applyNumberFormat="1" applyFont="1" applyBorder="1" applyAlignment="1">
      <alignment horizontal="center" vertical="center"/>
    </xf>
    <xf numFmtId="166" fontId="13" fillId="0" borderId="88" xfId="4" applyNumberFormat="1" applyFont="1" applyBorder="1" applyAlignment="1">
      <alignment horizontal="center" vertical="center"/>
    </xf>
    <xf numFmtId="9" fontId="10" fillId="0" borderId="15" xfId="9" applyFont="1" applyBorder="1" applyAlignment="1">
      <alignment horizontal="center" vertical="center"/>
    </xf>
    <xf numFmtId="166" fontId="13" fillId="0" borderId="88" xfId="4" applyNumberFormat="1" applyFont="1" applyBorder="1" applyAlignment="1">
      <alignment vertical="center"/>
    </xf>
    <xf numFmtId="166" fontId="10" fillId="0" borderId="15" xfId="4" applyNumberFormat="1" applyFont="1" applyBorder="1" applyAlignment="1">
      <alignment horizontal="center" vertical="center"/>
    </xf>
    <xf numFmtId="10" fontId="13" fillId="0" borderId="35" xfId="6" applyNumberFormat="1" applyFont="1" applyBorder="1" applyAlignment="1">
      <alignment horizontal="center" vertical="center"/>
    </xf>
    <xf numFmtId="0" fontId="12" fillId="3" borderId="0" xfId="4" applyFont="1" applyFill="1"/>
    <xf numFmtId="164" fontId="6" fillId="3" borderId="0" xfId="11" applyNumberFormat="1" applyFont="1" applyFill="1" applyAlignment="1">
      <alignment vertical="center"/>
    </xf>
    <xf numFmtId="164" fontId="6" fillId="3" borderId="0" xfId="11" applyNumberFormat="1" applyFont="1" applyFill="1" applyBorder="1" applyAlignment="1">
      <alignment vertical="center"/>
    </xf>
    <xf numFmtId="164" fontId="1" fillId="3" borderId="0" xfId="11" applyNumberFormat="1" applyFont="1" applyFill="1" applyAlignment="1">
      <alignment vertical="center"/>
    </xf>
    <xf numFmtId="164" fontId="7" fillId="0" borderId="25" xfId="11" applyNumberFormat="1" applyFont="1" applyFill="1" applyBorder="1" applyAlignment="1">
      <alignment horizontal="left" vertical="center"/>
    </xf>
    <xf numFmtId="164" fontId="7" fillId="0" borderId="23" xfId="11" applyNumberFormat="1" applyFont="1" applyFill="1" applyBorder="1" applyAlignment="1">
      <alignment horizontal="center" vertical="center" wrapText="1"/>
    </xf>
    <xf numFmtId="164" fontId="8" fillId="0" borderId="0" xfId="11" applyNumberFormat="1" applyFont="1" applyAlignment="1">
      <alignment vertical="center"/>
    </xf>
    <xf numFmtId="164" fontId="5" fillId="4" borderId="0" xfId="11" applyNumberFormat="1" applyFont="1" applyFill="1" applyAlignment="1">
      <alignment horizontal="left" vertical="center"/>
    </xf>
    <xf numFmtId="164" fontId="5" fillId="4" borderId="0" xfId="11" applyNumberFormat="1" applyFont="1" applyFill="1" applyAlignment="1">
      <alignment horizontal="center" vertical="center"/>
    </xf>
    <xf numFmtId="164" fontId="6" fillId="3" borderId="0" xfId="11" applyNumberFormat="1" applyFont="1" applyFill="1" applyAlignment="1">
      <alignment horizontal="right" vertical="center"/>
    </xf>
    <xf numFmtId="164" fontId="6" fillId="0" borderId="0" xfId="11" applyNumberFormat="1" applyFont="1" applyAlignment="1">
      <alignment vertical="center"/>
    </xf>
    <xf numFmtId="164" fontId="6" fillId="0" borderId="33" xfId="11" applyNumberFormat="1" applyFont="1" applyBorder="1" applyAlignment="1">
      <alignment vertical="center"/>
    </xf>
    <xf numFmtId="164" fontId="0" fillId="3" borderId="0" xfId="11" applyNumberFormat="1" applyFont="1" applyFill="1" applyAlignment="1">
      <alignment vertical="center"/>
    </xf>
    <xf numFmtId="164" fontId="4" fillId="7" borderId="33" xfId="11" applyNumberFormat="1" applyFont="1" applyFill="1" applyBorder="1" applyAlignment="1">
      <alignment horizontal="center"/>
    </xf>
    <xf numFmtId="164" fontId="5" fillId="4" borderId="33" xfId="11" applyNumberFormat="1" applyFont="1" applyFill="1" applyBorder="1" applyAlignment="1">
      <alignment horizontal="center" vertical="center"/>
    </xf>
    <xf numFmtId="164" fontId="5" fillId="3" borderId="0" xfId="11" applyNumberFormat="1" applyFont="1" applyFill="1" applyAlignment="1">
      <alignment horizontal="right" vertical="center"/>
    </xf>
    <xf numFmtId="164" fontId="6" fillId="9" borderId="0" xfId="11" applyNumberFormat="1" applyFont="1" applyFill="1" applyAlignment="1">
      <alignment vertical="center"/>
    </xf>
    <xf numFmtId="164" fontId="1" fillId="0" borderId="33" xfId="11" applyNumberFormat="1" applyFont="1" applyBorder="1" applyAlignment="1">
      <alignment horizontal="center"/>
    </xf>
    <xf numFmtId="164" fontId="1" fillId="6" borderId="33" xfId="11" applyNumberFormat="1" applyFont="1" applyFill="1" applyBorder="1" applyAlignment="1">
      <alignment horizontal="center"/>
    </xf>
    <xf numFmtId="164" fontId="1" fillId="0" borderId="34" xfId="11" applyNumberFormat="1" applyFont="1" applyBorder="1" applyAlignment="1">
      <alignment horizontal="center"/>
    </xf>
    <xf numFmtId="164" fontId="1" fillId="0" borderId="34" xfId="11" applyNumberFormat="1" applyFont="1" applyBorder="1"/>
    <xf numFmtId="164" fontId="5" fillId="4" borderId="34" xfId="11" applyNumberFormat="1" applyFont="1" applyFill="1" applyBorder="1" applyAlignment="1">
      <alignment horizontal="center" vertical="center"/>
    </xf>
    <xf numFmtId="164" fontId="3" fillId="3" borderId="0" xfId="11" applyNumberFormat="1" applyFont="1" applyFill="1" applyAlignment="1">
      <alignment vertical="center"/>
    </xf>
    <xf numFmtId="164" fontId="1" fillId="3" borderId="33" xfId="11" applyNumberFormat="1" applyFont="1" applyFill="1" applyBorder="1" applyAlignment="1">
      <alignment horizontal="center"/>
    </xf>
    <xf numFmtId="164" fontId="6" fillId="6" borderId="0" xfId="11" applyNumberFormat="1" applyFont="1" applyFill="1" applyAlignment="1">
      <alignment vertical="center"/>
    </xf>
    <xf numFmtId="164" fontId="1" fillId="0" borderId="0" xfId="11" applyNumberFormat="1" applyFont="1" applyAlignment="1">
      <alignment vertical="center"/>
    </xf>
    <xf numFmtId="164" fontId="5" fillId="6" borderId="0" xfId="11" applyNumberFormat="1" applyFont="1" applyFill="1" applyAlignment="1">
      <alignment horizontal="left" vertical="center"/>
    </xf>
    <xf numFmtId="164" fontId="5" fillId="7" borderId="0" xfId="11" applyNumberFormat="1" applyFont="1" applyFill="1" applyAlignment="1">
      <alignment horizontal="left" vertical="center"/>
    </xf>
    <xf numFmtId="164" fontId="6" fillId="0" borderId="0" xfId="11" applyNumberFormat="1" applyFont="1" applyAlignment="1">
      <alignment horizontal="right" vertical="center"/>
    </xf>
    <xf numFmtId="164" fontId="6" fillId="10" borderId="0" xfId="11" applyNumberFormat="1" applyFont="1" applyFill="1" applyAlignment="1">
      <alignment vertical="center"/>
    </xf>
    <xf numFmtId="164" fontId="6" fillId="11" borderId="0" xfId="11" applyNumberFormat="1" applyFont="1" applyFill="1" applyAlignment="1">
      <alignment vertical="center"/>
    </xf>
    <xf numFmtId="164" fontId="2" fillId="19" borderId="0" xfId="0" applyNumberFormat="1" applyFont="1" applyFill="1" applyAlignment="1">
      <alignment horizontal="left" vertical="center"/>
    </xf>
    <xf numFmtId="164" fontId="2" fillId="19" borderId="0" xfId="0" applyNumberFormat="1" applyFont="1" applyFill="1" applyAlignment="1">
      <alignment horizontal="center" vertical="center"/>
    </xf>
    <xf numFmtId="164" fontId="35" fillId="19" borderId="0" xfId="0" applyNumberFormat="1" applyFont="1" applyFill="1" applyAlignment="1">
      <alignment horizontal="right" vertical="center"/>
    </xf>
    <xf numFmtId="164" fontId="2" fillId="19" borderId="33" xfId="0" applyNumberFormat="1" applyFont="1" applyFill="1" applyBorder="1" applyAlignment="1">
      <alignment horizontal="center" vertical="center"/>
    </xf>
    <xf numFmtId="164" fontId="2" fillId="19" borderId="34" xfId="0" applyNumberFormat="1" applyFont="1" applyFill="1" applyBorder="1" applyAlignment="1">
      <alignment horizontal="center" vertical="center"/>
    </xf>
    <xf numFmtId="164" fontId="2" fillId="19" borderId="0" xfId="11" applyNumberFormat="1" applyFont="1" applyFill="1" applyAlignment="1">
      <alignment horizontal="left" vertical="center"/>
    </xf>
    <xf numFmtId="164" fontId="35" fillId="19" borderId="33" xfId="11" applyNumberFormat="1" applyFont="1" applyFill="1" applyBorder="1" applyAlignment="1">
      <alignment horizontal="center"/>
    </xf>
    <xf numFmtId="164" fontId="2" fillId="19" borderId="33" xfId="11" applyNumberFormat="1" applyFont="1" applyFill="1" applyBorder="1" applyAlignment="1">
      <alignment horizontal="center" vertical="center"/>
    </xf>
    <xf numFmtId="164" fontId="2" fillId="19" borderId="34" xfId="11" applyNumberFormat="1" applyFont="1" applyFill="1" applyBorder="1" applyAlignment="1">
      <alignment horizontal="center" vertical="center"/>
    </xf>
    <xf numFmtId="164" fontId="35" fillId="19" borderId="0" xfId="11" applyNumberFormat="1" applyFont="1" applyFill="1" applyAlignment="1">
      <alignment horizontal="right" vertical="center"/>
    </xf>
    <xf numFmtId="164" fontId="35" fillId="19" borderId="33" xfId="0" applyNumberFormat="1" applyFont="1" applyFill="1" applyBorder="1" applyAlignment="1">
      <alignment horizontal="center"/>
    </xf>
    <xf numFmtId="166" fontId="31" fillId="5" borderId="41" xfId="0" applyNumberFormat="1" applyFont="1" applyFill="1" applyBorder="1" applyAlignment="1">
      <alignment horizontal="center" vertical="center"/>
    </xf>
    <xf numFmtId="166" fontId="31" fillId="5" borderId="0" xfId="0" applyNumberFormat="1" applyFont="1" applyFill="1" applyAlignment="1">
      <alignment horizontal="center" vertical="center"/>
    </xf>
    <xf numFmtId="0" fontId="12" fillId="0" borderId="41" xfId="0" applyFont="1" applyBorder="1" applyAlignment="1">
      <alignment horizontal="center"/>
    </xf>
    <xf numFmtId="166" fontId="22" fillId="6" borderId="41" xfId="0" applyNumberFormat="1" applyFont="1" applyFill="1" applyBorder="1" applyAlignment="1">
      <alignment horizontal="center" vertical="center"/>
    </xf>
    <xf numFmtId="164" fontId="6" fillId="3" borderId="0" xfId="13" applyNumberFormat="1" applyFont="1" applyFill="1" applyAlignment="1">
      <alignment vertical="center"/>
    </xf>
    <xf numFmtId="164" fontId="37" fillId="3" borderId="33" xfId="13" applyNumberFormat="1" applyFill="1" applyBorder="1" applyAlignment="1">
      <alignment horizontal="center"/>
    </xf>
    <xf numFmtId="164" fontId="37" fillId="3" borderId="33" xfId="13" applyNumberFormat="1" applyFill="1" applyBorder="1" applyAlignment="1"/>
    <xf numFmtId="164" fontId="6" fillId="3" borderId="0" xfId="13" applyNumberFormat="1" applyFont="1" applyFill="1" applyAlignment="1">
      <alignment horizontal="right" vertical="center"/>
    </xf>
    <xf numFmtId="164" fontId="37" fillId="3" borderId="0" xfId="13" applyNumberFormat="1" applyFill="1" applyAlignment="1">
      <alignment vertical="center"/>
    </xf>
    <xf numFmtId="164" fontId="3" fillId="0" borderId="0" xfId="13" applyNumberFormat="1" applyFont="1" applyAlignment="1">
      <alignment vertical="center"/>
    </xf>
    <xf numFmtId="164" fontId="37" fillId="0" borderId="33" xfId="13" applyNumberFormat="1" applyBorder="1" applyAlignment="1">
      <alignment horizontal="center"/>
    </xf>
    <xf numFmtId="164" fontId="37" fillId="0" borderId="34" xfId="13" applyNumberFormat="1" applyBorder="1" applyAlignment="1">
      <alignment horizontal="center"/>
    </xf>
    <xf numFmtId="164" fontId="37" fillId="0" borderId="34" xfId="13" applyNumberFormat="1" applyBorder="1" applyAlignment="1"/>
    <xf numFmtId="164" fontId="3" fillId="0" borderId="0" xfId="11" applyNumberFormat="1" applyFont="1" applyAlignment="1">
      <alignment vertical="center"/>
    </xf>
    <xf numFmtId="164" fontId="10" fillId="0" borderId="89" xfId="11" applyNumberFormat="1" applyFont="1" applyBorder="1" applyAlignment="1">
      <alignment horizontal="center"/>
    </xf>
    <xf numFmtId="0" fontId="13" fillId="3" borderId="46" xfId="13" applyFont="1" applyFill="1" applyBorder="1" applyAlignment="1">
      <alignment horizontal="left" vertical="center"/>
    </xf>
    <xf numFmtId="166" fontId="13" fillId="3" borderId="47" xfId="13" applyNumberFormat="1" applyFont="1" applyFill="1" applyBorder="1" applyAlignment="1">
      <alignment horizontal="center" vertical="center"/>
    </xf>
    <xf numFmtId="166" fontId="13" fillId="3" borderId="65" xfId="13" applyNumberFormat="1" applyFont="1" applyFill="1" applyBorder="1" applyAlignment="1">
      <alignment horizontal="center" vertical="center"/>
    </xf>
    <xf numFmtId="0" fontId="16" fillId="3" borderId="0" xfId="13" applyFont="1" applyFill="1" applyAlignment="1">
      <alignment vertical="center"/>
    </xf>
    <xf numFmtId="0" fontId="16" fillId="3" borderId="47" xfId="13" applyFont="1" applyFill="1" applyBorder="1" applyAlignment="1">
      <alignment vertical="center"/>
    </xf>
    <xf numFmtId="166" fontId="12" fillId="0" borderId="0" xfId="4" applyNumberFormat="1" applyFont="1" applyAlignment="1">
      <alignment horizontal="center"/>
    </xf>
    <xf numFmtId="9" fontId="12" fillId="0" borderId="0" xfId="2" applyFont="1" applyAlignment="1">
      <alignment horizontal="center"/>
    </xf>
    <xf numFmtId="43" fontId="0" fillId="3" borderId="2" xfId="1" applyFont="1" applyFill="1" applyBorder="1"/>
    <xf numFmtId="10" fontId="0" fillId="0" borderId="79" xfId="2" applyNumberFormat="1" applyFont="1" applyBorder="1"/>
    <xf numFmtId="0" fontId="0" fillId="0" borderId="60" xfId="0" applyBorder="1"/>
    <xf numFmtId="43" fontId="0" fillId="0" borderId="61" xfId="1" applyFont="1" applyBorder="1"/>
    <xf numFmtId="10" fontId="0" fillId="0" borderId="62" xfId="0" applyNumberFormat="1" applyBorder="1"/>
    <xf numFmtId="10" fontId="34" fillId="5" borderId="47" xfId="2" applyNumberFormat="1" applyFont="1" applyFill="1" applyBorder="1" applyAlignment="1">
      <alignment horizontal="center" vertical="center"/>
    </xf>
    <xf numFmtId="10" fontId="19" fillId="5" borderId="47" xfId="2" applyNumberFormat="1" applyFont="1" applyFill="1" applyBorder="1" applyAlignment="1">
      <alignment horizontal="center" vertical="center"/>
    </xf>
    <xf numFmtId="10" fontId="34" fillId="5" borderId="59" xfId="2" applyNumberFormat="1" applyFont="1" applyFill="1" applyBorder="1" applyAlignment="1">
      <alignment horizontal="center" vertical="center"/>
    </xf>
    <xf numFmtId="10" fontId="34" fillId="5" borderId="51" xfId="2" applyNumberFormat="1" applyFont="1" applyFill="1" applyBorder="1" applyAlignment="1">
      <alignment horizontal="center" vertical="center"/>
    </xf>
    <xf numFmtId="166" fontId="38" fillId="5" borderId="41" xfId="0" applyNumberFormat="1" applyFont="1" applyFill="1" applyBorder="1" applyAlignment="1">
      <alignment horizontal="center" vertical="center"/>
    </xf>
    <xf numFmtId="166" fontId="34" fillId="3" borderId="47" xfId="0" applyNumberFormat="1" applyFont="1" applyFill="1" applyBorder="1" applyAlignment="1">
      <alignment horizontal="center" vertical="center"/>
    </xf>
    <xf numFmtId="10" fontId="3" fillId="0" borderId="0" xfId="2" applyNumberFormat="1" applyFont="1"/>
    <xf numFmtId="164" fontId="1" fillId="9" borderId="33" xfId="11" applyNumberFormat="1" applyFont="1" applyFill="1" applyBorder="1" applyAlignment="1">
      <alignment horizontal="center"/>
    </xf>
    <xf numFmtId="164" fontId="1" fillId="9" borderId="0" xfId="11" applyNumberFormat="1" applyFont="1" applyFill="1" applyAlignment="1">
      <alignment vertical="center"/>
    </xf>
    <xf numFmtId="164" fontId="1" fillId="9" borderId="34" xfId="11" applyNumberFormat="1" applyFont="1" applyFill="1" applyBorder="1" applyAlignment="1">
      <alignment horizontal="center"/>
    </xf>
    <xf numFmtId="164" fontId="1" fillId="9" borderId="34" xfId="11" applyNumberFormat="1" applyFont="1" applyFill="1" applyBorder="1"/>
    <xf numFmtId="164" fontId="1" fillId="10" borderId="33" xfId="11" applyNumberFormat="1" applyFont="1" applyFill="1" applyBorder="1" applyAlignment="1">
      <alignment horizontal="center"/>
    </xf>
    <xf numFmtId="164" fontId="1" fillId="10" borderId="0" xfId="11" applyNumberFormat="1" applyFont="1" applyFill="1" applyAlignment="1">
      <alignment vertical="center"/>
    </xf>
    <xf numFmtId="164" fontId="1" fillId="10" borderId="34" xfId="11" applyNumberFormat="1" applyFont="1" applyFill="1" applyBorder="1" applyAlignment="1">
      <alignment horizontal="center"/>
    </xf>
    <xf numFmtId="164" fontId="1" fillId="10" borderId="34" xfId="11" applyNumberFormat="1" applyFont="1" applyFill="1" applyBorder="1"/>
    <xf numFmtId="164" fontId="1" fillId="11" borderId="33" xfId="11" applyNumberFormat="1" applyFont="1" applyFill="1" applyBorder="1" applyAlignment="1">
      <alignment horizontal="center"/>
    </xf>
    <xf numFmtId="164" fontId="1" fillId="11" borderId="0" xfId="11" applyNumberFormat="1" applyFont="1" applyFill="1" applyAlignment="1">
      <alignment vertical="center"/>
    </xf>
    <xf numFmtId="164" fontId="1" fillId="11" borderId="34" xfId="11" applyNumberFormat="1" applyFont="1" applyFill="1" applyBorder="1" applyAlignment="1">
      <alignment horizontal="center"/>
    </xf>
    <xf numFmtId="164" fontId="1" fillId="11" borderId="34" xfId="11" applyNumberFormat="1" applyFont="1" applyFill="1" applyBorder="1"/>
    <xf numFmtId="164" fontId="0" fillId="6" borderId="34" xfId="0" applyNumberFormat="1" applyFill="1" applyBorder="1" applyAlignment="1">
      <alignment horizontal="center"/>
    </xf>
    <xf numFmtId="165" fontId="13" fillId="0" borderId="28" xfId="1" applyNumberFormat="1" applyFont="1" applyBorder="1" applyAlignment="1">
      <alignment horizontal="center" vertical="center" wrapText="1"/>
    </xf>
    <xf numFmtId="10" fontId="13" fillId="0" borderId="63" xfId="2" applyNumberFormat="1" applyFont="1" applyBorder="1" applyAlignment="1">
      <alignment horizontal="center" vertical="center" wrapText="1"/>
    </xf>
    <xf numFmtId="165" fontId="27" fillId="0" borderId="60" xfId="1" applyNumberFormat="1" applyFont="1" applyBorder="1" applyAlignment="1">
      <alignment horizontal="center" vertical="center" wrapText="1"/>
    </xf>
    <xf numFmtId="165" fontId="13" fillId="0" borderId="41" xfId="1" applyNumberFormat="1" applyFont="1" applyBorder="1" applyAlignment="1">
      <alignment horizontal="center" vertical="center" wrapText="1"/>
    </xf>
    <xf numFmtId="10" fontId="13" fillId="0" borderId="60" xfId="2" applyNumberFormat="1" applyFont="1" applyBorder="1" applyAlignment="1">
      <alignment horizontal="center" vertical="center" wrapText="1"/>
    </xf>
    <xf numFmtId="10" fontId="23" fillId="0" borderId="60" xfId="2" applyNumberFormat="1" applyFont="1" applyBorder="1" applyAlignment="1">
      <alignment horizontal="center" vertical="center" wrapText="1"/>
    </xf>
    <xf numFmtId="10" fontId="22" fillId="5" borderId="0" xfId="2" applyNumberFormat="1" applyFont="1" applyFill="1" applyAlignment="1">
      <alignment horizontal="center" vertical="center"/>
    </xf>
    <xf numFmtId="10" fontId="13" fillId="0" borderId="47" xfId="2" applyNumberFormat="1" applyFont="1" applyBorder="1" applyAlignment="1">
      <alignment horizontal="center" vertical="center"/>
    </xf>
    <xf numFmtId="164" fontId="22" fillId="5" borderId="0" xfId="1" applyNumberFormat="1" applyFont="1" applyFill="1" applyAlignment="1">
      <alignment horizontal="center" vertical="center"/>
    </xf>
    <xf numFmtId="10" fontId="0" fillId="20" borderId="0" xfId="2" applyNumberFormat="1" applyFont="1" applyFill="1"/>
    <xf numFmtId="164" fontId="6" fillId="3" borderId="34" xfId="0" applyNumberFormat="1" applyFont="1" applyFill="1" applyBorder="1" applyAlignment="1">
      <alignment horizontal="center"/>
    </xf>
    <xf numFmtId="164" fontId="6" fillId="6" borderId="0" xfId="0" applyNumberFormat="1" applyFont="1" applyFill="1" applyAlignment="1">
      <alignment horizontal="right" vertical="center"/>
    </xf>
    <xf numFmtId="164" fontId="6" fillId="6" borderId="0" xfId="0" applyNumberFormat="1" applyFont="1" applyFill="1" applyAlignment="1">
      <alignment vertical="center"/>
    </xf>
    <xf numFmtId="164" fontId="0" fillId="6" borderId="0" xfId="0" applyNumberFormat="1" applyFill="1" applyAlignment="1">
      <alignment horizontal="center"/>
    </xf>
    <xf numFmtId="164" fontId="0" fillId="6" borderId="0" xfId="0" applyNumberFormat="1" applyFill="1" applyAlignment="1">
      <alignment vertical="center"/>
    </xf>
    <xf numFmtId="164" fontId="5" fillId="6" borderId="0" xfId="0" applyNumberFormat="1" applyFont="1" applyFill="1" applyAlignment="1">
      <alignment horizontal="right" vertical="center"/>
    </xf>
    <xf numFmtId="164" fontId="4" fillId="6" borderId="0" xfId="0" applyNumberFormat="1" applyFont="1" applyFill="1" applyAlignment="1">
      <alignment vertical="center"/>
    </xf>
    <xf numFmtId="0" fontId="0" fillId="0" borderId="0" xfId="0" applyAlignment="1">
      <alignment horizontal="right"/>
    </xf>
    <xf numFmtId="164" fontId="0" fillId="21" borderId="33" xfId="0" applyNumberFormat="1" applyFill="1" applyBorder="1" applyAlignment="1">
      <alignment horizontal="center"/>
    </xf>
    <xf numFmtId="164" fontId="0" fillId="6" borderId="34" xfId="0" applyNumberFormat="1" applyFill="1" applyBorder="1"/>
    <xf numFmtId="164" fontId="3" fillId="11" borderId="34" xfId="0" applyNumberFormat="1" applyFont="1" applyFill="1" applyBorder="1" applyAlignment="1">
      <alignment horizontal="center"/>
    </xf>
    <xf numFmtId="164" fontId="0" fillId="3" borderId="34" xfId="0" applyNumberFormat="1" applyFill="1" applyBorder="1"/>
    <xf numFmtId="0" fontId="20" fillId="15" borderId="41" xfId="12" applyFont="1" applyFill="1" applyBorder="1" applyAlignment="1">
      <alignment horizontal="center" vertical="center" wrapText="1"/>
    </xf>
    <xf numFmtId="0" fontId="20" fillId="3" borderId="41" xfId="12" applyFont="1" applyFill="1" applyBorder="1" applyAlignment="1">
      <alignment horizontal="center" vertical="center" wrapText="1"/>
    </xf>
    <xf numFmtId="0" fontId="20" fillId="6" borderId="41" xfId="12" applyFont="1" applyFill="1" applyBorder="1" applyAlignment="1">
      <alignment horizontal="center" vertical="center" wrapText="1"/>
    </xf>
    <xf numFmtId="0" fontId="21" fillId="0" borderId="0" xfId="12" applyAlignment="1">
      <alignment horizontal="center" vertical="center" wrapText="1"/>
    </xf>
    <xf numFmtId="49" fontId="21" fillId="0" borderId="41" xfId="12" applyNumberFormat="1" applyBorder="1" applyAlignment="1">
      <alignment horizontal="center" vertical="center" wrapText="1"/>
    </xf>
    <xf numFmtId="2" fontId="21" fillId="0" borderId="41" xfId="12" applyNumberFormat="1" applyBorder="1" applyAlignment="1">
      <alignment horizontal="right" vertical="center"/>
    </xf>
    <xf numFmtId="14" fontId="21" fillId="0" borderId="41" xfId="12" applyNumberFormat="1" applyBorder="1" applyAlignment="1">
      <alignment horizontal="center" vertical="center" wrapText="1"/>
    </xf>
    <xf numFmtId="2" fontId="21" fillId="6" borderId="41" xfId="12" applyNumberFormat="1" applyFill="1" applyBorder="1" applyAlignment="1">
      <alignment horizontal="right" vertical="center"/>
    </xf>
    <xf numFmtId="2" fontId="21" fillId="3" borderId="41" xfId="12" applyNumberFormat="1" applyFill="1" applyBorder="1" applyAlignment="1">
      <alignment horizontal="right" vertical="center"/>
    </xf>
    <xf numFmtId="0" fontId="21" fillId="3" borderId="0" xfId="12" applyFill="1" applyAlignment="1">
      <alignment horizontal="center" vertical="center" wrapText="1"/>
    </xf>
    <xf numFmtId="0" fontId="21" fillId="6" borderId="0" xfId="12" applyFill="1" applyAlignment="1">
      <alignment horizontal="center" vertical="center" wrapText="1"/>
    </xf>
    <xf numFmtId="166" fontId="23" fillId="5" borderId="4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164" fontId="34" fillId="5" borderId="47" xfId="1" applyNumberFormat="1" applyFont="1" applyFill="1" applyBorder="1" applyAlignment="1">
      <alignment horizontal="center" vertical="center"/>
    </xf>
    <xf numFmtId="164" fontId="38" fillId="5" borderId="41" xfId="1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166" fontId="13" fillId="3" borderId="0" xfId="0" applyNumberFormat="1" applyFont="1" applyFill="1" applyAlignment="1">
      <alignment horizontal="center" vertical="center"/>
    </xf>
    <xf numFmtId="166" fontId="34" fillId="3" borderId="0" xfId="0" applyNumberFormat="1" applyFont="1" applyFill="1" applyAlignment="1">
      <alignment horizontal="center" vertical="center"/>
    </xf>
    <xf numFmtId="10" fontId="13" fillId="3" borderId="0" xfId="2" applyNumberFormat="1" applyFont="1" applyFill="1" applyBorder="1" applyAlignment="1">
      <alignment horizontal="center" vertical="center"/>
    </xf>
    <xf numFmtId="166" fontId="16" fillId="8" borderId="0" xfId="0" applyNumberFormat="1" applyFont="1" applyFill="1" applyAlignment="1">
      <alignment vertical="center"/>
    </xf>
    <xf numFmtId="165" fontId="10" fillId="3" borderId="0" xfId="0" applyNumberFormat="1" applyFont="1" applyFill="1" applyAlignment="1">
      <alignment vertical="center"/>
    </xf>
    <xf numFmtId="0" fontId="16" fillId="3" borderId="0" xfId="0" applyFont="1" applyFill="1" applyAlignment="1">
      <alignment vertical="center"/>
    </xf>
    <xf numFmtId="164" fontId="0" fillId="6" borderId="33" xfId="0" applyNumberFormat="1" applyFill="1" applyBorder="1" applyAlignment="1">
      <alignment horizontal="center"/>
    </xf>
    <xf numFmtId="165" fontId="27" fillId="0" borderId="52" xfId="1" applyNumberFormat="1" applyFont="1" applyBorder="1" applyAlignment="1">
      <alignment horizontal="center" vertical="center" wrapText="1"/>
    </xf>
    <xf numFmtId="165" fontId="27" fillId="0" borderId="13" xfId="1" applyNumberFormat="1" applyFont="1" applyBorder="1" applyAlignment="1">
      <alignment horizontal="center" vertical="center" wrapText="1"/>
    </xf>
    <xf numFmtId="165" fontId="27" fillId="0" borderId="39" xfId="1" applyNumberFormat="1" applyFont="1" applyBorder="1" applyAlignment="1">
      <alignment horizontal="center" vertical="center" wrapText="1"/>
    </xf>
    <xf numFmtId="165" fontId="27" fillId="0" borderId="60" xfId="1" applyNumberFormat="1" applyFont="1" applyBorder="1" applyAlignment="1">
      <alignment horizontal="center" vertical="center" wrapText="1"/>
    </xf>
    <xf numFmtId="165" fontId="27" fillId="0" borderId="61" xfId="1" applyNumberFormat="1" applyFont="1" applyBorder="1" applyAlignment="1">
      <alignment horizontal="center" vertical="center" wrapText="1"/>
    </xf>
    <xf numFmtId="165" fontId="27" fillId="0" borderId="62" xfId="1" applyNumberFormat="1" applyFont="1" applyBorder="1" applyAlignment="1">
      <alignment horizontal="center" vertical="center" wrapText="1"/>
    </xf>
    <xf numFmtId="165" fontId="27" fillId="0" borderId="60" xfId="1" applyNumberFormat="1" applyFont="1" applyFill="1" applyBorder="1" applyAlignment="1">
      <alignment horizontal="center" vertical="center" wrapText="1"/>
    </xf>
    <xf numFmtId="165" fontId="27" fillId="0" borderId="61" xfId="1" applyNumberFormat="1" applyFont="1" applyFill="1" applyBorder="1" applyAlignment="1">
      <alignment horizontal="center" vertical="center" wrapText="1"/>
    </xf>
    <xf numFmtId="165" fontId="27" fillId="0" borderId="62" xfId="1" applyNumberFormat="1" applyFont="1" applyFill="1" applyBorder="1" applyAlignment="1">
      <alignment horizontal="center" vertical="center" wrapText="1"/>
    </xf>
    <xf numFmtId="165" fontId="27" fillId="0" borderId="52" xfId="1" applyNumberFormat="1" applyFont="1" applyFill="1" applyBorder="1" applyAlignment="1">
      <alignment horizontal="center" vertical="center" wrapText="1"/>
    </xf>
    <xf numFmtId="164" fontId="4" fillId="0" borderId="60" xfId="1" applyNumberFormat="1" applyFont="1" applyBorder="1" applyAlignment="1">
      <alignment horizontal="center"/>
    </xf>
    <xf numFmtId="164" fontId="4" fillId="0" borderId="61" xfId="1" applyNumberFormat="1" applyFont="1" applyBorder="1" applyAlignment="1">
      <alignment horizontal="center"/>
    </xf>
    <xf numFmtId="164" fontId="4" fillId="0" borderId="62" xfId="1" applyNumberFormat="1" applyFont="1" applyBorder="1" applyAlignment="1">
      <alignment horizontal="center"/>
    </xf>
    <xf numFmtId="0" fontId="12" fillId="0" borderId="0" xfId="4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0" borderId="80" xfId="0" applyFont="1" applyBorder="1" applyAlignment="1">
      <alignment horizontal="center"/>
    </xf>
    <xf numFmtId="0" fontId="4" fillId="0" borderId="81" xfId="0" applyFont="1" applyBorder="1" applyAlignment="1">
      <alignment horizontal="center"/>
    </xf>
    <xf numFmtId="0" fontId="4" fillId="0" borderId="82" xfId="0" applyFont="1" applyBorder="1" applyAlignment="1">
      <alignment horizontal="center"/>
    </xf>
    <xf numFmtId="43" fontId="0" fillId="0" borderId="0" xfId="1" applyFont="1" applyAlignment="1">
      <alignment horizontal="center"/>
    </xf>
    <xf numFmtId="168" fontId="4" fillId="12" borderId="60" xfId="0" applyNumberFormat="1" applyFont="1" applyFill="1" applyBorder="1" applyAlignment="1">
      <alignment horizontal="center"/>
    </xf>
    <xf numFmtId="168" fontId="4" fillId="12" borderId="61" xfId="0" applyNumberFormat="1" applyFont="1" applyFill="1" applyBorder="1" applyAlignment="1">
      <alignment horizontal="center"/>
    </xf>
    <xf numFmtId="168" fontId="4" fillId="12" borderId="62" xfId="0" applyNumberFormat="1" applyFont="1" applyFill="1" applyBorder="1" applyAlignment="1">
      <alignment horizontal="center"/>
    </xf>
  </cellXfs>
  <cellStyles count="14">
    <cellStyle name="Normal" xfId="0" builtinId="0"/>
    <cellStyle name="Normal 2" xfId="7" xr:uid="{0F76C2B1-F082-4940-8D86-76990A9881E6}"/>
    <cellStyle name="Normal 3" xfId="12" xr:uid="{3331D069-B9B3-4EF7-9DA8-90F75A30FB3B}"/>
    <cellStyle name="Normal 4" xfId="13" xr:uid="{CFEE5212-F013-4047-ACFA-89E4866C2B46}"/>
    <cellStyle name="Normal 5" xfId="8" xr:uid="{A6DCB35F-5485-44B3-B1DD-CA43B7186536}"/>
    <cellStyle name="Normal 7" xfId="4" xr:uid="{0FAD4BE8-4AF4-4AE1-B682-8D9CFEFA5130}"/>
    <cellStyle name="Porcentagem" xfId="2" builtinId="5"/>
    <cellStyle name="Porcentagem 2" xfId="9" xr:uid="{4EE255BB-16CC-4F6D-829B-99B949D82106}"/>
    <cellStyle name="Porcentagem 5" xfId="6" xr:uid="{32B88602-4322-4B1D-B8E0-90D7A00B4159}"/>
    <cellStyle name="Vírgula" xfId="1" builtinId="3"/>
    <cellStyle name="Vírgula 2" xfId="3" xr:uid="{E76FBDEF-4CF4-422A-9970-A1831FD6FF61}"/>
    <cellStyle name="Vírgula 3" xfId="11" xr:uid="{94246D3A-10B7-49EB-B8BC-AE090B823D39}"/>
    <cellStyle name="Vírgula 4" xfId="10" xr:uid="{56E50D24-9351-4EA4-AB52-B1E9BA6139C6}"/>
    <cellStyle name="Vírgula 6" xfId="5" xr:uid="{4272585B-29ED-477E-B6AB-9A7408F9803A}"/>
  </cellStyles>
  <dxfs count="0"/>
  <tableStyles count="0" defaultTableStyle="TableStyleMedium2" defaultPivotStyle="PivotStyleLight16"/>
  <colors>
    <mruColors>
      <color rgb="FFFFCC66"/>
      <color rgb="FFFDB913"/>
      <color rgb="FFFFD47D"/>
      <color rgb="FFFFCC99"/>
      <color rgb="FFFFCC00"/>
      <color rgb="FFFF5D37"/>
      <color rgb="FFFF57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Institucional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700530610368435"/>
          <c:y val="0.31578921363020485"/>
          <c:w val="0.8172799650043745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'Meta (2)'!$B$13</c:f>
              <c:strCache>
                <c:ptCount val="1"/>
                <c:pt idx="0">
                  <c:v> Faturamento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'Meta (2)'!$A$14:$A$15</c:f>
              <c:strCache>
                <c:ptCount val="2"/>
                <c:pt idx="0">
                  <c:v> Jan </c:v>
                </c:pt>
                <c:pt idx="1">
                  <c:v> Fev </c:v>
                </c:pt>
              </c:strCache>
            </c:strRef>
          </c:cat>
          <c:val>
            <c:numRef>
              <c:f>'Meta (2)'!$B$14:$B$15</c:f>
              <c:numCache>
                <c:formatCode>_-* #,##0_-;\-* #,##0_-;_-* "-"??_-;_-@_-</c:formatCode>
                <c:ptCount val="2"/>
                <c:pt idx="0">
                  <c:v>444545.69</c:v>
                </c:pt>
                <c:pt idx="1">
                  <c:v>534752.84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6-4897-8046-2949A69EEF08}"/>
            </c:ext>
          </c:extLst>
        </c:ser>
        <c:ser>
          <c:idx val="1"/>
          <c:order val="1"/>
          <c:tx>
            <c:strRef>
              <c:f>'Meta (2)'!$C$13</c:f>
              <c:strCache>
                <c:ptCount val="1"/>
                <c:pt idx="0">
                  <c:v> Recebimento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'Meta (2)'!$A$14:$A$15</c:f>
              <c:strCache>
                <c:ptCount val="2"/>
                <c:pt idx="0">
                  <c:v> Jan </c:v>
                </c:pt>
                <c:pt idx="1">
                  <c:v> Fev </c:v>
                </c:pt>
              </c:strCache>
            </c:strRef>
          </c:cat>
          <c:val>
            <c:numRef>
              <c:f>'Meta (2)'!$C$14:$C$15</c:f>
              <c:numCache>
                <c:formatCode>_-* #,##0_-;\-* #,##0_-;_-* "-"??_-;_-@_-</c:formatCode>
                <c:ptCount val="2"/>
                <c:pt idx="0">
                  <c:v>279821.07</c:v>
                </c:pt>
                <c:pt idx="1">
                  <c:v>319233.58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16-4897-8046-2949A69EEF08}"/>
            </c:ext>
          </c:extLst>
        </c:ser>
        <c:ser>
          <c:idx val="2"/>
          <c:order val="2"/>
          <c:tx>
            <c:strRef>
              <c:f>'Meta (2)'!$D$13</c:f>
              <c:strCache>
                <c:ptCount val="1"/>
                <c:pt idx="0">
                  <c:v> Faturamento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'Meta (2)'!$A$14:$A$15</c:f>
              <c:strCache>
                <c:ptCount val="2"/>
                <c:pt idx="0">
                  <c:v> Jan </c:v>
                </c:pt>
                <c:pt idx="1">
                  <c:v> Fev </c:v>
                </c:pt>
              </c:strCache>
            </c:strRef>
          </c:cat>
          <c:val>
            <c:numRef>
              <c:f>'Meta (2)'!$D$14:$D$15</c:f>
            </c:numRef>
          </c:val>
          <c:smooth val="0"/>
          <c:extLst>
            <c:ext xmlns:c16="http://schemas.microsoft.com/office/drawing/2014/chart" uri="{C3380CC4-5D6E-409C-BE32-E72D297353CC}">
              <c16:uniqueId val="{00000002-1E16-4897-8046-2949A69EEF08}"/>
            </c:ext>
          </c:extLst>
        </c:ser>
        <c:ser>
          <c:idx val="3"/>
          <c:order val="3"/>
          <c:tx>
            <c:strRef>
              <c:f>'Meta (2)'!$E$13</c:f>
              <c:strCache>
                <c:ptCount val="1"/>
                <c:pt idx="0">
                  <c:v> Meta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'Meta (2)'!$A$14:$A$15</c:f>
              <c:strCache>
                <c:ptCount val="2"/>
                <c:pt idx="0">
                  <c:v> Jan </c:v>
                </c:pt>
                <c:pt idx="1">
                  <c:v> Fev </c:v>
                </c:pt>
              </c:strCache>
            </c:strRef>
          </c:cat>
          <c:val>
            <c:numRef>
              <c:f>'Meta (2)'!$E$14:$E$15</c:f>
              <c:numCache>
                <c:formatCode>_-* #,##0_-;\-* #,##0_-;_-* "-"??_-;_-@_-</c:formatCode>
                <c:ptCount val="2"/>
                <c:pt idx="0">
                  <c:v>671667</c:v>
                </c:pt>
                <c:pt idx="1">
                  <c:v>671667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16-4897-8046-2949A69EEF08}"/>
            </c:ext>
          </c:extLst>
        </c:ser>
        <c:ser>
          <c:idx val="4"/>
          <c:order val="4"/>
          <c:tx>
            <c:strRef>
              <c:f>'Meta (2)'!$F$13</c:f>
              <c:strCache>
                <c:ptCount val="1"/>
                <c:pt idx="0">
                  <c:v> Despesas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'Meta (2)'!$A$14:$A$15</c:f>
              <c:strCache>
                <c:ptCount val="2"/>
                <c:pt idx="0">
                  <c:v> Jan </c:v>
                </c:pt>
                <c:pt idx="1">
                  <c:v> Fev </c:v>
                </c:pt>
              </c:strCache>
            </c:strRef>
          </c:cat>
          <c:val>
            <c:numRef>
              <c:f>'Meta (2)'!$F$14:$F$15</c:f>
              <c:numCache>
                <c:formatCode>_-* #,##0_-;\-* #,##0_-;_-* "-"??_-;_-@_-</c:formatCode>
                <c:ptCount val="2"/>
                <c:pt idx="0">
                  <c:v>311424.08999999997</c:v>
                </c:pt>
                <c:pt idx="1">
                  <c:v>313501.13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9C-4182-8072-DFC113114E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03506655"/>
        <c:axId val="1703507135"/>
      </c:lineChart>
      <c:catAx>
        <c:axId val="170350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3507135"/>
        <c:crosses val="autoZero"/>
        <c:auto val="1"/>
        <c:lblAlgn val="ctr"/>
        <c:lblOffset val="100"/>
        <c:noMultiLvlLbl val="0"/>
      </c:catAx>
      <c:valAx>
        <c:axId val="170350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350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Institucional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'Meta (2)'!$C$13</c:f>
              <c:strCache>
                <c:ptCount val="1"/>
                <c:pt idx="0">
                  <c:v> Recebimento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'Meta (2)'!$A$14:$A$20</c:f>
              <c:strCache>
                <c:ptCount val="7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  <c:pt idx="6">
                  <c:v> Jul </c:v>
                </c:pt>
              </c:strCache>
            </c:strRef>
          </c:cat>
          <c:val>
            <c:numRef>
              <c:f>'Meta (2)'!$C$14:$C$20</c:f>
              <c:numCache>
                <c:formatCode>_-* #,##0_-;\-* #,##0_-;_-* "-"??_-;_-@_-</c:formatCode>
                <c:ptCount val="7"/>
                <c:pt idx="0">
                  <c:v>279821.07</c:v>
                </c:pt>
                <c:pt idx="1">
                  <c:v>319233.58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97-4058-A981-F13D2AB2254D}"/>
            </c:ext>
          </c:extLst>
        </c:ser>
        <c:ser>
          <c:idx val="1"/>
          <c:order val="1"/>
          <c:tx>
            <c:strRef>
              <c:f>'Meta (2)'!$D$13</c:f>
              <c:strCache>
                <c:ptCount val="1"/>
                <c:pt idx="0">
                  <c:v> Faturamento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'Meta (2)'!$A$14:$A$20</c:f>
              <c:strCache>
                <c:ptCount val="7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  <c:pt idx="6">
                  <c:v> Jul </c:v>
                </c:pt>
              </c:strCache>
            </c:strRef>
          </c:cat>
          <c:val>
            <c:numRef>
              <c:f>'Meta (2)'!$D$14:$D$20</c:f>
            </c:numRef>
          </c:val>
          <c:smooth val="0"/>
          <c:extLst>
            <c:ext xmlns:c16="http://schemas.microsoft.com/office/drawing/2014/chart" uri="{C3380CC4-5D6E-409C-BE32-E72D297353CC}">
              <c16:uniqueId val="{00000001-A697-4058-A981-F13D2AB2254D}"/>
            </c:ext>
          </c:extLst>
        </c:ser>
        <c:ser>
          <c:idx val="2"/>
          <c:order val="2"/>
          <c:tx>
            <c:strRef>
              <c:f>'Meta (2)'!$E$13</c:f>
              <c:strCache>
                <c:ptCount val="1"/>
                <c:pt idx="0">
                  <c:v> Meta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'Meta (2)'!$A$14:$A$20</c:f>
              <c:strCache>
                <c:ptCount val="7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  <c:pt idx="6">
                  <c:v> Jul </c:v>
                </c:pt>
              </c:strCache>
            </c:strRef>
          </c:cat>
          <c:val>
            <c:numRef>
              <c:f>'Meta (2)'!$E$14:$E$20</c:f>
              <c:numCache>
                <c:formatCode>_-* #,##0_-;\-* #,##0_-;_-* "-"??_-;_-@_-</c:formatCode>
                <c:ptCount val="7"/>
                <c:pt idx="0">
                  <c:v>671667</c:v>
                </c:pt>
                <c:pt idx="1">
                  <c:v>671667</c:v>
                </c:pt>
                <c:pt idx="2">
                  <c:v>671667</c:v>
                </c:pt>
                <c:pt idx="3">
                  <c:v>671667</c:v>
                </c:pt>
                <c:pt idx="4">
                  <c:v>671667</c:v>
                </c:pt>
                <c:pt idx="5">
                  <c:v>671667</c:v>
                </c:pt>
                <c:pt idx="6">
                  <c:v>671667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97-4058-A981-F13D2AB2254D}"/>
            </c:ext>
          </c:extLst>
        </c:ser>
        <c:ser>
          <c:idx val="3"/>
          <c:order val="3"/>
          <c:tx>
            <c:strRef>
              <c:f>'Meta (2)'!$F$13</c:f>
              <c:strCache>
                <c:ptCount val="1"/>
                <c:pt idx="0">
                  <c:v> Despesas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'Meta (2)'!$A$14:$A$20</c:f>
              <c:strCache>
                <c:ptCount val="7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  <c:pt idx="6">
                  <c:v> Jul </c:v>
                </c:pt>
              </c:strCache>
            </c:strRef>
          </c:cat>
          <c:val>
            <c:numRef>
              <c:f>'Meta (2)'!$F$14:$F$20</c:f>
              <c:numCache>
                <c:formatCode>_-* #,##0_-;\-* #,##0_-;_-* "-"??_-;_-@_-</c:formatCode>
                <c:ptCount val="7"/>
                <c:pt idx="0">
                  <c:v>311424.08999999997</c:v>
                </c:pt>
                <c:pt idx="1">
                  <c:v>313501.13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97-4058-A981-F13D2AB22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957056"/>
        <c:axId val="1279960896"/>
      </c:lineChart>
      <c:catAx>
        <c:axId val="12799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960896"/>
        <c:crosses val="autoZero"/>
        <c:auto val="1"/>
        <c:lblAlgn val="ctr"/>
        <c:lblOffset val="100"/>
        <c:noMultiLvlLbl val="0"/>
      </c:catAx>
      <c:valAx>
        <c:axId val="12799608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127995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Institucional!$A$1:$A$5</c:f>
              <c:strCache>
                <c:ptCount val="5"/>
                <c:pt idx="1">
                  <c:v>Recebimento</c:v>
                </c:pt>
                <c:pt idx="2">
                  <c:v>Custo equipe</c:v>
                </c:pt>
                <c:pt idx="3">
                  <c:v>Despesas </c:v>
                </c:pt>
                <c:pt idx="4">
                  <c:v>Resultado Bruto</c:v>
                </c:pt>
              </c:strCache>
            </c:strRef>
          </c:cat>
          <c:val>
            <c:numRef>
              <c:f>Institucional!$B$1:$B$5</c:f>
              <c:numCache>
                <c:formatCode>_-* #,##0_-;\-* #,##0_-;_-* "-"??_-;_-@_-</c:formatCode>
                <c:ptCount val="5"/>
                <c:pt idx="0" formatCode="General">
                  <c:v>0</c:v>
                </c:pt>
                <c:pt idx="1">
                  <c:v>3358333.35</c:v>
                </c:pt>
                <c:pt idx="2">
                  <c:v>1806527.7499999995</c:v>
                </c:pt>
                <c:pt idx="3">
                  <c:v>1228915.9292000001</c:v>
                </c:pt>
                <c:pt idx="4">
                  <c:v>322889.67080000043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Institucional!#REF!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5F3-4514-815A-0B7590D0F11C}"/>
            </c:ext>
          </c:extLst>
        </c:ser>
        <c:ser>
          <c:idx val="1"/>
          <c:order val="1"/>
          <c:spPr>
            <a:solidFill>
              <a:srgbClr val="FFC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Institucional!$A$1:$A$5</c:f>
              <c:strCache>
                <c:ptCount val="5"/>
                <c:pt idx="1">
                  <c:v>Recebimento</c:v>
                </c:pt>
                <c:pt idx="2">
                  <c:v>Custo equipe</c:v>
                </c:pt>
                <c:pt idx="3">
                  <c:v>Despesas </c:v>
                </c:pt>
                <c:pt idx="4">
                  <c:v>Resultado Bruto</c:v>
                </c:pt>
              </c:strCache>
            </c:strRef>
          </c:cat>
          <c:val>
            <c:numRef>
              <c:f>Institucional!$C$1:$C$5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1865811.87</c:v>
                </c:pt>
                <c:pt idx="2">
                  <c:v>1047438.1200000001</c:v>
                </c:pt>
                <c:pt idx="3">
                  <c:v>512865.24</c:v>
                </c:pt>
                <c:pt idx="4">
                  <c:v>305508.51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Institucional!#REF!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55F3-4514-815A-0B7590D0F1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3510704"/>
        <c:axId val="2007776224"/>
      </c:barChart>
      <c:catAx>
        <c:axId val="1743510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776224"/>
        <c:crosses val="autoZero"/>
        <c:auto val="1"/>
        <c:lblAlgn val="ctr"/>
        <c:lblOffset val="100"/>
        <c:noMultiLvlLbl val="0"/>
      </c:catAx>
      <c:valAx>
        <c:axId val="20077762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351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82-4AB1-824A-C7AC7015E68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682-4AB1-824A-C7AC7015E68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682-4AB1-824A-C7AC7015E6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Institucional!$A$12:$A$14</c:f>
              <c:strCache>
                <c:ptCount val="3"/>
                <c:pt idx="0">
                  <c:v>Custo equipe</c:v>
                </c:pt>
                <c:pt idx="1">
                  <c:v>Despesas </c:v>
                </c:pt>
                <c:pt idx="2">
                  <c:v>Resultado Bruto</c:v>
                </c:pt>
              </c:strCache>
            </c:strRef>
          </c:cat>
          <c:val>
            <c:numRef>
              <c:f>Institucional!$C$12:$C$14</c:f>
              <c:numCache>
                <c:formatCode>0.00%</c:formatCode>
                <c:ptCount val="3"/>
                <c:pt idx="0">
                  <c:v>0.56138463734824462</c:v>
                </c:pt>
                <c:pt idx="1">
                  <c:v>0.2748751083891432</c:v>
                </c:pt>
                <c:pt idx="2">
                  <c:v>0.16374025426261224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82-4AB1-824A-C7AC7015E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indiretas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3FD-4ADD-8B50-360BE0944C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3FD-4ADD-8B50-360BE0944C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3FD-4ADD-8B50-360BE0944C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3FD-4ADD-8B50-360BE0944C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3FD-4ADD-8B50-360BE0944C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3FD-4ADD-8B50-360BE0944C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3FD-4ADD-8B50-360BE0944C8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3FD-4ADD-8B50-360BE0944C8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3FD-4ADD-8B50-360BE0944C8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3FD-4ADD-8B50-360BE0944C82}"/>
              </c:ext>
            </c:extLst>
          </c:dPt>
          <c:cat>
            <c:strRef>
              <c:f>Institucional!$A$21:$A$30</c:f>
              <c:strCache>
                <c:ptCount val="10"/>
                <c:pt idx="0">
                  <c:v>Ocupação</c:v>
                </c:pt>
                <c:pt idx="1">
                  <c:v>Telecomunicações</c:v>
                </c:pt>
                <c:pt idx="2">
                  <c:v>Despesas Gerais</c:v>
                </c:pt>
                <c:pt idx="3">
                  <c:v>Consultoria</c:v>
                </c:pt>
                <c:pt idx="4">
                  <c:v>Salários Administração</c:v>
                </c:pt>
                <c:pt idx="5">
                  <c:v>Administrativas </c:v>
                </c:pt>
                <c:pt idx="6">
                  <c:v>Investimentos em Prospecção</c:v>
                </c:pt>
                <c:pt idx="7">
                  <c:v>Endomarketing</c:v>
                </c:pt>
                <c:pt idx="8">
                  <c:v>Gestão do Conhecimento</c:v>
                </c:pt>
                <c:pt idx="9">
                  <c:v>Informática </c:v>
                </c:pt>
              </c:strCache>
            </c:strRef>
          </c:cat>
          <c:val>
            <c:numRef>
              <c:f>Institucional!$B$21:$B$30</c:f>
              <c:numCache>
                <c:formatCode>_(* #,##0.00_);_(* \(#,##0.00\);_(* "-"??_);_(@_)</c:formatCode>
                <c:ptCount val="10"/>
                <c:pt idx="0">
                  <c:v>172052.00999999998</c:v>
                </c:pt>
                <c:pt idx="1">
                  <c:v>4071.2999999999993</c:v>
                </c:pt>
                <c:pt idx="2">
                  <c:v>30500.48</c:v>
                </c:pt>
                <c:pt idx="3">
                  <c:v>120094.62</c:v>
                </c:pt>
                <c:pt idx="4">
                  <c:v>43770.759999999995</c:v>
                </c:pt>
                <c:pt idx="5">
                  <c:v>28428.880000000001</c:v>
                </c:pt>
                <c:pt idx="6">
                  <c:v>6548.8200000000006</c:v>
                </c:pt>
                <c:pt idx="7">
                  <c:v>547.94000000000005</c:v>
                </c:pt>
                <c:pt idx="8">
                  <c:v>4836.8600000000006</c:v>
                </c:pt>
                <c:pt idx="9">
                  <c:v>102013.57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0-4117-8D42-C6128F8E108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BE0-4117-8D42-C6128F8E10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D3F-454F-B76B-2152D1847E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D3F-454F-B76B-2152D1847E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D3F-454F-B76B-2152D1847E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D3F-454F-B76B-2152D1847E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D3F-454F-B76B-2152D1847E5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D3F-454F-B76B-2152D1847E5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D3F-454F-B76B-2152D1847E5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D3F-454F-B76B-2152D1847E5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D3F-454F-B76B-2152D1847E5F}"/>
              </c:ext>
            </c:extLst>
          </c:dPt>
          <c:dLbls>
            <c:dLbl>
              <c:idx val="0"/>
              <c:layout>
                <c:manualLayout>
                  <c:x val="-2.3237970253718286E-2"/>
                  <c:y val="-2.4142607174103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E0-4117-8D42-C6128F8E10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Institucional!$A$21:$A$30</c:f>
              <c:strCache>
                <c:ptCount val="10"/>
                <c:pt idx="0">
                  <c:v>Ocupação</c:v>
                </c:pt>
                <c:pt idx="1">
                  <c:v>Telecomunicações</c:v>
                </c:pt>
                <c:pt idx="2">
                  <c:v>Despesas Gerais</c:v>
                </c:pt>
                <c:pt idx="3">
                  <c:v>Consultoria</c:v>
                </c:pt>
                <c:pt idx="4">
                  <c:v>Salários Administração</c:v>
                </c:pt>
                <c:pt idx="5">
                  <c:v>Administrativas </c:v>
                </c:pt>
                <c:pt idx="6">
                  <c:v>Investimentos em Prospecção</c:v>
                </c:pt>
                <c:pt idx="7">
                  <c:v>Endomarketing</c:v>
                </c:pt>
                <c:pt idx="8">
                  <c:v>Gestão do Conhecimento</c:v>
                </c:pt>
                <c:pt idx="9">
                  <c:v>Informática </c:v>
                </c:pt>
              </c:strCache>
            </c:strRef>
          </c:cat>
          <c:val>
            <c:numRef>
              <c:f>Institucional!$C$21:$C$30</c:f>
              <c:numCache>
                <c:formatCode>0.00%</c:formatCode>
                <c:ptCount val="10"/>
                <c:pt idx="0">
                  <c:v>9.2212946421012951E-2</c:v>
                </c:pt>
                <c:pt idx="1">
                  <c:v>2.1820527918498017E-3</c:v>
                </c:pt>
                <c:pt idx="2">
                  <c:v>1.6347028599405362E-2</c:v>
                </c:pt>
                <c:pt idx="3">
                  <c:v>6.4365878431248261E-2</c:v>
                </c:pt>
                <c:pt idx="4">
                  <c:v>2.3459364099768534E-2</c:v>
                </c:pt>
                <c:pt idx="5">
                  <c:v>1.5236734451689387E-2</c:v>
                </c:pt>
                <c:pt idx="6">
                  <c:v>3.5099037074943682E-3</c:v>
                </c:pt>
                <c:pt idx="7">
                  <c:v>2.9367376679836433E-4</c:v>
                </c:pt>
                <c:pt idx="8">
                  <c:v>2.5923621120493784E-3</c:v>
                </c:pt>
                <c:pt idx="9">
                  <c:v>5.4675164007826793E-2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E0-4117-8D42-C6128F8E1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'Institucional ano'!$A$1:$A$5</c:f>
              <c:strCache>
                <c:ptCount val="5"/>
                <c:pt idx="1">
                  <c:v>Recebimento</c:v>
                </c:pt>
                <c:pt idx="2">
                  <c:v>Custo equipe</c:v>
                </c:pt>
                <c:pt idx="3">
                  <c:v>Despesas </c:v>
                </c:pt>
                <c:pt idx="4">
                  <c:v>Resultado Bruto</c:v>
                </c:pt>
              </c:strCache>
            </c:strRef>
          </c:cat>
          <c:val>
            <c:numRef>
              <c:f>'Institucional ano'!$B$1:$B$5</c:f>
              <c:numCache>
                <c:formatCode>_-* #,##0_-;\-* #,##0_-;_-* "-"??_-;_-@_-</c:formatCode>
                <c:ptCount val="5"/>
                <c:pt idx="0" formatCode="General">
                  <c:v>0</c:v>
                </c:pt>
                <c:pt idx="1">
                  <c:v>3358333.35</c:v>
                </c:pt>
                <c:pt idx="2">
                  <c:v>1806527.7499999995</c:v>
                </c:pt>
                <c:pt idx="3">
                  <c:v>1228915.9292000001</c:v>
                </c:pt>
                <c:pt idx="4">
                  <c:v>322889.67080000043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Institucional!#REF!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0AE-4BCE-AEEB-555A619304FA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'Institucional ano'!$A$1:$A$5</c:f>
              <c:strCache>
                <c:ptCount val="5"/>
                <c:pt idx="1">
                  <c:v>Recebimento</c:v>
                </c:pt>
                <c:pt idx="2">
                  <c:v>Custo equipe</c:v>
                </c:pt>
                <c:pt idx="3">
                  <c:v>Despesas </c:v>
                </c:pt>
                <c:pt idx="4">
                  <c:v>Resultado Bruto</c:v>
                </c:pt>
              </c:strCache>
            </c:strRef>
          </c:cat>
          <c:val>
            <c:numRef>
              <c:f>'Institucional ano'!#REF!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Institucional!#REF!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0AE-4BCE-AEEB-555A619304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3510704"/>
        <c:axId val="2007776224"/>
      </c:barChart>
      <c:catAx>
        <c:axId val="1743510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776224"/>
        <c:crosses val="autoZero"/>
        <c:auto val="1"/>
        <c:lblAlgn val="ctr"/>
        <c:lblOffset val="100"/>
        <c:noMultiLvlLbl val="0"/>
      </c:catAx>
      <c:valAx>
        <c:axId val="20077762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351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02-4FD5-A268-6D9439C7F77E}"/>
              </c:ext>
            </c:extLst>
          </c:dPt>
          <c:cat>
            <c:strRef>
              <c:f>'Institucional ano'!$A$12:$A$14</c:f>
              <c:strCache>
                <c:ptCount val="3"/>
                <c:pt idx="0">
                  <c:v>Custo equipe</c:v>
                </c:pt>
                <c:pt idx="1">
                  <c:v>Despesas </c:v>
                </c:pt>
                <c:pt idx="2">
                  <c:v>Resultado Bruto</c:v>
                </c:pt>
              </c:strCache>
            </c:strRef>
          </c:cat>
          <c:val>
            <c:numRef>
              <c:f>'Institucional ano'!#REF!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02-4FD5-A268-6D9439C7F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E8-462F-A512-222518CE8D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FE8-462F-A512-222518CE8D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57-41EE-9EF2-7784E09B17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C57-41EE-9EF2-7784E09B17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C57-41EE-9EF2-7784E09B17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C57-41EE-9EF2-7784E09B173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C57-41EE-9EF2-7784E09B173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FE8-462F-A512-222518CE8DA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2FE8-462F-A512-222518CE8D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'Institucional ano'!$A$35:$A$41</c:f>
              <c:strCache>
                <c:ptCount val="7"/>
                <c:pt idx="0">
                  <c:v>Custos Diretos</c:v>
                </c:pt>
                <c:pt idx="1">
                  <c:v>Ocupação</c:v>
                </c:pt>
                <c:pt idx="2">
                  <c:v>Consultoria</c:v>
                </c:pt>
                <c:pt idx="3">
                  <c:v>Administrativas </c:v>
                </c:pt>
                <c:pt idx="4">
                  <c:v>Pessoal</c:v>
                </c:pt>
                <c:pt idx="5">
                  <c:v>TI</c:v>
                </c:pt>
                <c:pt idx="6">
                  <c:v>Prospecção</c:v>
                </c:pt>
              </c:strCache>
            </c:strRef>
          </c:cat>
          <c:val>
            <c:numRef>
              <c:f>'Institucional ano'!$B$35:$B$41</c:f>
              <c:numCache>
                <c:formatCode>0.00%</c:formatCode>
                <c:ptCount val="7"/>
                <c:pt idx="0">
                  <c:v>0.63753302037546411</c:v>
                </c:pt>
                <c:pt idx="1">
                  <c:v>0.10734046595181686</c:v>
                </c:pt>
                <c:pt idx="2">
                  <c:v>7.50494256082712E-2</c:v>
                </c:pt>
                <c:pt idx="3">
                  <c:v>4.4308965391724867E-2</c:v>
                </c:pt>
                <c:pt idx="4">
                  <c:v>2.4744070374791725E-2</c:v>
                </c:pt>
                <c:pt idx="5">
                  <c:v>8.5929582349838982E-2</c:v>
                </c:pt>
                <c:pt idx="6">
                  <c:v>2.5094469948092234E-2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8-462F-A512-222518CE8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Contencioso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Contencioso!$B$1</c:f>
              <c:strCache>
                <c:ptCount val="1"/>
                <c:pt idx="0">
                  <c:v>Orçado</c:v>
                </c:pt>
              </c:strCache>
            </c:strRef>
          </c:tx>
          <c:spPr>
            <a:solidFill>
              <a:schemeClr val="tx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Contencioso!$A$2:$A$6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Contencioso!$B$2:$B$6</c:f>
              <c:numCache>
                <c:formatCode>_-* #,##0_-;\-* #,##0_-;_-* "-"??_-;_-@_-</c:formatCode>
                <c:ptCount val="5"/>
                <c:pt idx="0">
                  <c:v>1259375.0062500001</c:v>
                </c:pt>
                <c:pt idx="1">
                  <c:v>374870.32500000001</c:v>
                </c:pt>
                <c:pt idx="3">
                  <c:v>23746.449999999997</c:v>
                </c:pt>
                <c:pt idx="4">
                  <c:v>183816.0519751707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9-46B2-81BA-FB4C43CEA331}"/>
            </c:ext>
          </c:extLst>
        </c:ser>
        <c:ser>
          <c:idx val="1"/>
          <c:order val="1"/>
          <c:tx>
            <c:strRef>
              <c:f>Contencioso!$C$1</c:f>
              <c:strCache>
                <c:ptCount val="1"/>
                <c:pt idx="0">
                  <c:v> Realizado </c:v>
                </c:pt>
              </c:strCache>
            </c:strRef>
          </c:tx>
          <c:spPr>
            <a:solidFill>
              <a:srgbClr val="FFC00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Contencioso!$A$2:$A$6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Contencioso!$C$2:$C$6</c:f>
              <c:numCache>
                <c:formatCode>_-* #,##0_-;\-* #,##0_-;_-* "-"??_-;_-@_-</c:formatCode>
                <c:ptCount val="5"/>
                <c:pt idx="0">
                  <c:v>654441</c:v>
                </c:pt>
                <c:pt idx="1">
                  <c:v>372279.42499999993</c:v>
                </c:pt>
                <c:pt idx="3">
                  <c:v>11996.265000000001</c:v>
                </c:pt>
                <c:pt idx="4">
                  <c:v>170869.75778144351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79-46B2-81BA-FB4C43CEA3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94414511"/>
        <c:axId val="1294419311"/>
      </c:barChart>
      <c:catAx>
        <c:axId val="12944145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9311"/>
        <c:crosses val="max"/>
        <c:auto val="1"/>
        <c:lblAlgn val="ctr"/>
        <c:lblOffset val="100"/>
        <c:noMultiLvlLbl val="0"/>
      </c:catAx>
      <c:valAx>
        <c:axId val="12944193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Contencioso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85-4610-B859-1CE79199F9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85-4610-B859-1CE79199F9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85-4610-B859-1CE79199F9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88-43B3-8F9E-836A7102E8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62-4A1A-BC1D-379A6D0944F5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Contencioso!$A$14:$A$18</c:f>
              <c:strCache>
                <c:ptCount val="5"/>
                <c:pt idx="0">
                  <c:v>Custo equipe</c:v>
                </c:pt>
                <c:pt idx="2">
                  <c:v>Despesas Equipe</c:v>
                </c:pt>
                <c:pt idx="3">
                  <c:v>Despesa Institucional</c:v>
                </c:pt>
                <c:pt idx="4">
                  <c:v>Resultado Bruto</c:v>
                </c:pt>
              </c:strCache>
            </c:strRef>
          </c:cat>
          <c:val>
            <c:numRef>
              <c:f>Contencioso!$B$14:$B$18</c:f>
              <c:numCache>
                <c:formatCode>0.00%</c:formatCode>
                <c:ptCount val="5"/>
                <c:pt idx="0">
                  <c:v>0.56885101177951858</c:v>
                </c:pt>
                <c:pt idx="2">
                  <c:v>1.8330552333976631E-2</c:v>
                </c:pt>
                <c:pt idx="3">
                  <c:v>0.261092684873722</c:v>
                </c:pt>
                <c:pt idx="4">
                  <c:v>0.15172575101278274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D-44BA-B0D2-764C64347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62-4D83-AF59-1B179EEF040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62-4D83-AF59-1B179EEF040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F62-4D83-AF59-1B179EEF04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Econômico!$A$11:$A$13</c:f>
              <c:strCache>
                <c:ptCount val="3"/>
                <c:pt idx="2">
                  <c:v>Recebimento</c:v>
                </c:pt>
              </c:strCache>
            </c:strRef>
          </c:cat>
          <c:val>
            <c:numRef>
              <c:f>Econômico!$C$11:$C$13</c:f>
              <c:numCache>
                <c:formatCode>0%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9F62-4D83-AF59-1B179EEF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Econômico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Econômico!$B$1</c:f>
              <c:strCache>
                <c:ptCount val="1"/>
                <c:pt idx="0">
                  <c:v>Orçado</c:v>
                </c:pt>
              </c:strCache>
            </c:strRef>
          </c:tx>
          <c:spPr>
            <a:solidFill>
              <a:schemeClr val="tx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Econômico!$A$2:$A$6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2">
                  <c:v>Participação/Comissão - Contencioso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Econômico!$B$2:$B$6</c:f>
              <c:numCache>
                <c:formatCode>_-* #,##0_-;\-* #,##0_-;_-* "-"??_-;_-@_-</c:formatCode>
                <c:ptCount val="5"/>
                <c:pt idx="0">
                  <c:v>1259375.0062500001</c:v>
                </c:pt>
                <c:pt idx="1">
                  <c:v>379995.82500000013</c:v>
                </c:pt>
                <c:pt idx="3">
                  <c:v>29066.449999999997</c:v>
                </c:pt>
                <c:pt idx="4">
                  <c:v>186367.99813675924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9-49A0-BD29-0FEA9BC30086}"/>
            </c:ext>
          </c:extLst>
        </c:ser>
        <c:ser>
          <c:idx val="1"/>
          <c:order val="1"/>
          <c:tx>
            <c:strRef>
              <c:f>Econômico!$C$1</c:f>
              <c:strCache>
                <c:ptCount val="1"/>
                <c:pt idx="0">
                  <c:v> Realizado </c:v>
                </c:pt>
              </c:strCache>
            </c:strRef>
          </c:tx>
          <c:spPr>
            <a:solidFill>
              <a:srgbClr val="FFC00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Econômico!$A$2:$A$6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2">
                  <c:v>Participação/Comissão - Contencioso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Econômico!$C$2:$C$6</c:f>
              <c:numCache>
                <c:formatCode>_-* #,##0_-;\-* #,##0_-;_-* "-"??_-;_-@_-</c:formatCode>
                <c:ptCount val="5"/>
                <c:pt idx="0">
                  <c:v>852201</c:v>
                </c:pt>
                <c:pt idx="1">
                  <c:v>389116.55499999993</c:v>
                </c:pt>
                <c:pt idx="2">
                  <c:v>3628.06</c:v>
                </c:pt>
                <c:pt idx="3">
                  <c:v>11726.605000000003</c:v>
                </c:pt>
                <c:pt idx="4">
                  <c:v>178701.29033245437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C9-49A0-BD29-0FEA9BC300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94414511"/>
        <c:axId val="1294419311"/>
      </c:barChart>
      <c:dateAx>
        <c:axId val="129441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9311"/>
        <c:crosses val="autoZero"/>
        <c:auto val="0"/>
        <c:lblOffset val="100"/>
        <c:baseTimeUnit val="days"/>
      </c:dateAx>
      <c:valAx>
        <c:axId val="1294419311"/>
        <c:scaling>
          <c:orientation val="minMax"/>
          <c:min val="5000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Econômico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FB-4730-8CFD-E78C72745F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FB-4730-8CFD-E78C72745F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FB-4730-8CFD-E78C72745F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C0-4509-915A-1291B7C73C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BA4-4857-B4AC-0546787642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Econômico!$A$14:$A$18</c:f>
              <c:strCache>
                <c:ptCount val="5"/>
                <c:pt idx="0">
                  <c:v>Custo equipe</c:v>
                </c:pt>
                <c:pt idx="1">
                  <c:v>Participação/Comissão - Contencioso</c:v>
                </c:pt>
                <c:pt idx="2">
                  <c:v>Despesas Equipe</c:v>
                </c:pt>
                <c:pt idx="3">
                  <c:v>Despesa Institucional</c:v>
                </c:pt>
                <c:pt idx="4">
                  <c:v>Resultado Bruto</c:v>
                </c:pt>
              </c:strCache>
            </c:strRef>
          </c:cat>
          <c:val>
            <c:numRef>
              <c:f>Econômico!$B$14:$B$18</c:f>
              <c:numCache>
                <c:formatCode>0.00%</c:formatCode>
                <c:ptCount val="5"/>
                <c:pt idx="0">
                  <c:v>0.45660185214520982</c:v>
                </c:pt>
                <c:pt idx="1">
                  <c:v>4.2572820261886574E-3</c:v>
                </c:pt>
                <c:pt idx="2">
                  <c:v>1.3760374606460216E-2</c:v>
                </c:pt>
                <c:pt idx="3">
                  <c:v>0.20969382848935214</c:v>
                </c:pt>
                <c:pt idx="4">
                  <c:v>0.31568666273278922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E-40DE-B1A0-6E0E4897B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39-49EA-AC9C-D698EEEEE24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39-49EA-AC9C-D698EEEEE24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39-49EA-AC9C-D698EEEEE2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Arbitragem!$A$11:$A$13</c:f>
              <c:strCache>
                <c:ptCount val="3"/>
                <c:pt idx="2">
                  <c:v>Recebimento</c:v>
                </c:pt>
              </c:strCache>
            </c:strRef>
          </c:cat>
          <c:val>
            <c:numRef>
              <c:f>Arbitragem!$C$11:$C$13</c:f>
              <c:numCache>
                <c:formatCode>0%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8D39-49EA-AC9C-D698EEEEE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Arbitragem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Arbitragem!$B$1</c:f>
              <c:strCache>
                <c:ptCount val="1"/>
                <c:pt idx="0">
                  <c:v>Orçado</c:v>
                </c:pt>
              </c:strCache>
            </c:strRef>
          </c:tx>
          <c:spPr>
            <a:solidFill>
              <a:schemeClr val="tx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Arbitragem!$A$2:$A$6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2">
                  <c:v>Participação/Comissão - Contencioso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Arbitragem!$B$2:$B$6</c:f>
              <c:numCache>
                <c:formatCode>_-* #,##0_-;\-* #,##0_-;_-* "-"??_-;_-@_-</c:formatCode>
                <c:ptCount val="5"/>
                <c:pt idx="0">
                  <c:v>839583.33750000002</c:v>
                </c:pt>
                <c:pt idx="1">
                  <c:v>274615.86000000004</c:v>
                </c:pt>
                <c:pt idx="3">
                  <c:v>22701.45</c:v>
                </c:pt>
                <c:pt idx="4">
                  <c:v>127056.47008807001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5-4AA9-974E-6972DE925511}"/>
            </c:ext>
          </c:extLst>
        </c:ser>
        <c:ser>
          <c:idx val="1"/>
          <c:order val="1"/>
          <c:tx>
            <c:strRef>
              <c:f>Arbitragem!$C$1</c:f>
              <c:strCache>
                <c:ptCount val="1"/>
                <c:pt idx="0">
                  <c:v> Realizado </c:v>
                </c:pt>
              </c:strCache>
            </c:strRef>
          </c:tx>
          <c:spPr>
            <a:solidFill>
              <a:srgbClr val="FFC00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Arbitragem!$A$2:$A$6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2">
                  <c:v>Participação/Comissão - Contencioso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Arbitragem!$C$2:$C$6</c:f>
              <c:numCache>
                <c:formatCode>_-* #,##0_-;\-* #,##0_-;_-* "-"??_-;_-@_-</c:formatCode>
                <c:ptCount val="5"/>
                <c:pt idx="0">
                  <c:v>354455</c:v>
                </c:pt>
                <c:pt idx="1">
                  <c:v>282414.08000000002</c:v>
                </c:pt>
                <c:pt idx="2">
                  <c:v>0</c:v>
                </c:pt>
                <c:pt idx="3">
                  <c:v>10346.039999999999</c:v>
                </c:pt>
                <c:pt idx="4">
                  <c:v>129225.28188610209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45-4AA9-974E-6972DE92551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94414511"/>
        <c:axId val="1294419311"/>
      </c:barChart>
      <c:catAx>
        <c:axId val="12944145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9311"/>
        <c:crosses val="autoZero"/>
        <c:auto val="1"/>
        <c:lblAlgn val="ctr"/>
        <c:lblOffset val="100"/>
        <c:noMultiLvlLbl val="0"/>
      </c:catAx>
      <c:valAx>
        <c:axId val="1294419311"/>
        <c:scaling>
          <c:orientation val="maxMin"/>
          <c:max val="500000"/>
          <c:min val="0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4511"/>
        <c:crosses val="autoZero"/>
        <c:crossBetween val="between"/>
        <c:minorUnit val="10000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Arbitragem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9A-466F-8F9B-04CFFCD738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9A-466F-8F9B-04CFFCD738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9A-466F-8F9B-04CFFCD738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CD-4668-AEBA-0CDBC0702520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Arbitragem!$A$14:$A$17</c:f>
              <c:strCache>
                <c:ptCount val="4"/>
                <c:pt idx="0">
                  <c:v>Custo equipe</c:v>
                </c:pt>
                <c:pt idx="1">
                  <c:v>Despesas Equipe</c:v>
                </c:pt>
                <c:pt idx="2">
                  <c:v>Despesa Institucional</c:v>
                </c:pt>
                <c:pt idx="3">
                  <c:v>Resultado Bruto</c:v>
                </c:pt>
              </c:strCache>
            </c:strRef>
          </c:cat>
          <c:val>
            <c:numRef>
              <c:f>Arbitragem!$B$14:$B$17</c:f>
              <c:numCache>
                <c:formatCode>0.00%</c:formatCode>
                <c:ptCount val="4"/>
                <c:pt idx="0">
                  <c:v>0.79675580821260816</c:v>
                </c:pt>
                <c:pt idx="1">
                  <c:v>2.918858529291447E-2</c:v>
                </c:pt>
                <c:pt idx="2">
                  <c:v>0.36457457755174028</c:v>
                </c:pt>
                <c:pt idx="3">
                  <c:v>-0.19051897105726284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9-44ED-8A37-9C0ACE6E8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567536</xdr:colOff>
      <xdr:row>0</xdr:row>
      <xdr:rowOff>129540</xdr:rowOff>
    </xdr:from>
    <xdr:to>
      <xdr:col>23</xdr:col>
      <xdr:colOff>212748</xdr:colOff>
      <xdr:row>19</xdr:row>
      <xdr:rowOff>114908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970ACB-7D84-42A0-941D-1BFBBF4EA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438913</xdr:colOff>
      <xdr:row>30</xdr:row>
      <xdr:rowOff>40233</xdr:rowOff>
    </xdr:from>
    <xdr:to>
      <xdr:col>17</xdr:col>
      <xdr:colOff>453544</xdr:colOff>
      <xdr:row>44</xdr:row>
      <xdr:rowOff>47548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3D0133-20F6-4F88-981A-46893DC86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149225</xdr:colOff>
      <xdr:row>1</xdr:row>
      <xdr:rowOff>17319</xdr:rowOff>
    </xdr:from>
    <xdr:to>
      <xdr:col>15</xdr:col>
      <xdr:colOff>553497</xdr:colOff>
      <xdr:row>1</xdr:row>
      <xdr:rowOff>355174</xdr:rowOff>
    </xdr:to>
    <xdr:pic>
      <xdr:nvPicPr>
        <xdr:cNvPr id="2" name="Imagem 1" descr="image014">
          <a:extLst>
            <a:ext uri="{FF2B5EF4-FFF2-40B4-BE49-F238E27FC236}">
              <a16:creationId xmlns:a16="http://schemas.microsoft.com/office/drawing/2014/main" id="{01EBCD2E-C2CA-456C-B974-C087880E8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16847" y="207514"/>
          <a:ext cx="404272" cy="337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149225</xdr:colOff>
      <xdr:row>1</xdr:row>
      <xdr:rowOff>17319</xdr:rowOff>
    </xdr:from>
    <xdr:to>
      <xdr:col>14</xdr:col>
      <xdr:colOff>553497</xdr:colOff>
      <xdr:row>1</xdr:row>
      <xdr:rowOff>355174</xdr:rowOff>
    </xdr:to>
    <xdr:pic>
      <xdr:nvPicPr>
        <xdr:cNvPr id="2" name="Imagem 1" descr="image014">
          <a:extLst>
            <a:ext uri="{FF2B5EF4-FFF2-40B4-BE49-F238E27FC236}">
              <a16:creationId xmlns:a16="http://schemas.microsoft.com/office/drawing/2014/main" id="{E21852CA-C6CE-4E0D-815F-BC449F86A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98800" y="17319"/>
          <a:ext cx="404272" cy="337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318210</xdr:colOff>
      <xdr:row>0</xdr:row>
      <xdr:rowOff>0</xdr:rowOff>
    </xdr:from>
    <xdr:to>
      <xdr:col>14</xdr:col>
      <xdr:colOff>607162</xdr:colOff>
      <xdr:row>17</xdr:row>
      <xdr:rowOff>117044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18E70F-64FC-41A3-A91E-1653D6063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592530</xdr:colOff>
      <xdr:row>0</xdr:row>
      <xdr:rowOff>0</xdr:rowOff>
    </xdr:from>
    <xdr:to>
      <xdr:col>22</xdr:col>
      <xdr:colOff>131674</xdr:colOff>
      <xdr:row>17</xdr:row>
      <xdr:rowOff>124357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FDF3D1-7BAE-4B40-817B-C7250FF71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435254</xdr:colOff>
      <xdr:row>18</xdr:row>
      <xdr:rowOff>120701</xdr:rowOff>
    </xdr:from>
    <xdr:to>
      <xdr:col>11</xdr:col>
      <xdr:colOff>501091</xdr:colOff>
      <xdr:row>33</xdr:row>
      <xdr:rowOff>120701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6DB6DDA-61C2-FFE8-7F30-6E99F73D4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420009</xdr:colOff>
      <xdr:row>13</xdr:row>
      <xdr:rowOff>76539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6ABB62-E4A6-C1B9-9256-C489291CB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16009" cy="24292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318210</xdr:colOff>
      <xdr:row>0</xdr:row>
      <xdr:rowOff>0</xdr:rowOff>
    </xdr:from>
    <xdr:to>
      <xdr:col>11</xdr:col>
      <xdr:colOff>607162</xdr:colOff>
      <xdr:row>17</xdr:row>
      <xdr:rowOff>117044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1A77A1-6B27-4621-B6EB-E9698C76C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592530</xdr:colOff>
      <xdr:row>0</xdr:row>
      <xdr:rowOff>0</xdr:rowOff>
    </xdr:from>
    <xdr:to>
      <xdr:col>19</xdr:col>
      <xdr:colOff>131674</xdr:colOff>
      <xdr:row>17</xdr:row>
      <xdr:rowOff>124357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224B0E-2708-43D0-8A08-1B25A5D3A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400050</xdr:colOff>
      <xdr:row>18</xdr:row>
      <xdr:rowOff>152400</xdr:rowOff>
    </xdr:from>
    <xdr:to>
      <xdr:col>16</xdr:col>
      <xdr:colOff>95250</xdr:colOff>
      <xdr:row>34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323BB27-61F9-E865-5370-67DF62398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574243</xdr:colOff>
      <xdr:row>0</xdr:row>
      <xdr:rowOff>128016</xdr:rowOff>
    </xdr:from>
    <xdr:to>
      <xdr:col>13</xdr:col>
      <xdr:colOff>190195</xdr:colOff>
      <xdr:row>18</xdr:row>
      <xdr:rowOff>73152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518471-4806-4486-821A-4FBA743D3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410869</xdr:colOff>
      <xdr:row>1</xdr:row>
      <xdr:rowOff>5486</xdr:rowOff>
    </xdr:from>
    <xdr:to>
      <xdr:col>20</xdr:col>
      <xdr:colOff>476706</xdr:colOff>
      <xdr:row>17</xdr:row>
      <xdr:rowOff>5486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9FB6586-1717-562F-C01B-9941FFF67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592530</xdr:colOff>
      <xdr:row>0</xdr:row>
      <xdr:rowOff>95096</xdr:rowOff>
    </xdr:from>
    <xdr:to>
      <xdr:col>22</xdr:col>
      <xdr:colOff>131674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BBFA7B-EB61-4F0A-B095-BB502D95D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574243</xdr:colOff>
      <xdr:row>0</xdr:row>
      <xdr:rowOff>128016</xdr:rowOff>
    </xdr:from>
    <xdr:to>
      <xdr:col>13</xdr:col>
      <xdr:colOff>190195</xdr:colOff>
      <xdr:row>17</xdr:row>
      <xdr:rowOff>73152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79D049-FD71-4A0A-8846-A92E08A7D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594969</xdr:colOff>
      <xdr:row>18</xdr:row>
      <xdr:rowOff>92354</xdr:rowOff>
    </xdr:from>
    <xdr:to>
      <xdr:col>15</xdr:col>
      <xdr:colOff>51206</xdr:colOff>
      <xdr:row>34</xdr:row>
      <xdr:rowOff>92354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106724-1FC5-F848-5D20-50CA6FC5B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592530</xdr:colOff>
      <xdr:row>0</xdr:row>
      <xdr:rowOff>95096</xdr:rowOff>
    </xdr:from>
    <xdr:to>
      <xdr:col>22</xdr:col>
      <xdr:colOff>131674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956AE9-A3D8-4FEE-B5F9-56622EEA0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574243</xdr:colOff>
      <xdr:row>0</xdr:row>
      <xdr:rowOff>128016</xdr:rowOff>
    </xdr:from>
    <xdr:to>
      <xdr:col>13</xdr:col>
      <xdr:colOff>190195</xdr:colOff>
      <xdr:row>16</xdr:row>
      <xdr:rowOff>73152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B5D6B52-7C75-4B2A-8729-37837E4D1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258471</xdr:colOff>
      <xdr:row>14</xdr:row>
      <xdr:rowOff>123749</xdr:rowOff>
    </xdr:from>
    <xdr:to>
      <xdr:col>11</xdr:col>
      <xdr:colOff>316992</xdr:colOff>
      <xdr:row>30</xdr:row>
      <xdr:rowOff>123749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8439ABA-802B-6B01-AD93-D0259FDD8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umogestaodenegocios.sharepoint.com/Financeiro/MBC/Resultado%20Mensal%20MBC/Resultado%202025/BP%202025%20MBC_08.25.xlsx" TargetMode="External"/><Relationship Id="rId1" Type="http://schemas.openxmlformats.org/officeDocument/2006/relationships/externalLinkPath" Target="Resultado%202025/BP%202025%20MBC_08.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Equipe%20MBC/Or&#231;amento%202026/Or&#231;amento%202026.xlsx" TargetMode="External"/><Relationship Id="rId2" Type="http://schemas.openxmlformats.org/officeDocument/2006/relationships/externalLinkPath" Target="https://rumogestaodenegocios.sharepoint.com/Financeiro/MBC/Equipe%20MBC/Or&#231;amento%202026/Or&#231;amento%202026.xlsx" TargetMode="External"/><Relationship Id="rId1" Type="http://schemas.openxmlformats.org/officeDocument/2006/relationships/externalLinkPath" Target="/Financeiro/MBC/Equipe%20MBC/Or&#231;amento%202026/Or&#231;amento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umogestaodenegocios.sharepoint.com/Financeiro/MBC/Resultado%20Mensal%20MBC/BP%202025%20MBC_09.25_Nova%20Receita%20.xlsx" TargetMode="External"/><Relationship Id="rId1" Type="http://schemas.openxmlformats.org/officeDocument/2006/relationships/externalLinkPath" Target="BP%202025%20MBC_09.25_Nova%20Receita%2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umogestaodenegocios.sharepoint.com/Financeiro/MBC/Resultado%20Mensal%20MBC/Apresenta&#231;&#227;o%20Resultado%202020%20a%202023/Fechamento%20Financeiro%202022.xlsx" TargetMode="External"/><Relationship Id="rId1" Type="http://schemas.openxmlformats.org/officeDocument/2006/relationships/externalLinkPath" Target="Apresenta&#231;&#227;o%20Resultado%202020%20a%202023/Fechamento%20Financeiro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turamento (2)"/>
      <sheetName val="Fluxo consolidado (2)"/>
      <sheetName val="Planilha5"/>
      <sheetName val="Faturamento"/>
      <sheetName val="Meta (2)"/>
      <sheetName val="DRE 2025"/>
      <sheetName val="Orçamento 2025"/>
      <sheetName val="Base_Resultado Mensal_V2"/>
      <sheetName val="Fluxo consolidado (3)"/>
      <sheetName val="Planilha3"/>
      <sheetName val="Areas Sintetico atualizado"/>
      <sheetName val="Rateio Mensal"/>
      <sheetName val="Institucional"/>
      <sheetName val="Contencioso"/>
      <sheetName val="Econômico"/>
      <sheetName val="Arbitragem"/>
      <sheetName val="Planilh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90">
          <cell r="D190">
            <v>134911.6</v>
          </cell>
          <cell r="F190">
            <v>5092.4500000000007</v>
          </cell>
          <cell r="H190">
            <v>814.99</v>
          </cell>
          <cell r="J190">
            <v>110831.76</v>
          </cell>
          <cell r="L190">
            <v>5968</v>
          </cell>
          <cell r="N190">
            <v>11928.17</v>
          </cell>
          <cell r="P190">
            <v>183171.96</v>
          </cell>
        </row>
      </sheetData>
      <sheetData sheetId="8"/>
      <sheetData sheetId="9"/>
      <sheetData sheetId="10">
        <row r="3">
          <cell r="C3">
            <v>300125.17</v>
          </cell>
        </row>
        <row r="7">
          <cell r="AI7">
            <v>1806527.7499999995</v>
          </cell>
        </row>
        <row r="11">
          <cell r="AI11">
            <v>1228915.9292000001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agem"/>
      <sheetName val="Relatório"/>
      <sheetName val="Planilha1 (2)"/>
      <sheetName val="Plano de saude"/>
      <sheetName val="Rateio Mensal"/>
      <sheetName val="Premissas"/>
      <sheetName val="DRE 2026"/>
      <sheetName val="Orçamento 2026"/>
      <sheetName val="Custo por equipe"/>
      <sheetName val="Tabela 2025 2026"/>
      <sheetName val="Planilha2"/>
      <sheetName val="Cargos"/>
      <sheetName val="Planilha1"/>
      <sheetName val="Faixas DL"/>
      <sheetName val="Profissionais"/>
      <sheetName val="Tabelas"/>
      <sheetName val="Equipe atual 2024_2025"/>
    </sheetNames>
    <sheetDataSet>
      <sheetData sheetId="0"/>
      <sheetData sheetId="1"/>
      <sheetData sheetId="2"/>
      <sheetData sheetId="3"/>
      <sheetData sheetId="4"/>
      <sheetData sheetId="5">
        <row r="3">
          <cell r="B3">
            <v>4.4999999999999998E-2</v>
          </cell>
        </row>
        <row r="4">
          <cell r="B4">
            <v>0.15</v>
          </cell>
        </row>
        <row r="5">
          <cell r="B5">
            <v>0.1</v>
          </cell>
        </row>
      </sheetData>
      <sheetData sheetId="6"/>
      <sheetData sheetId="7">
        <row r="5">
          <cell r="D5">
            <v>75454.065000000002</v>
          </cell>
          <cell r="E5">
            <v>74454.065000000002</v>
          </cell>
          <cell r="F5">
            <v>74454.065000000002</v>
          </cell>
          <cell r="G5">
            <v>76054.065000000002</v>
          </cell>
          <cell r="H5">
            <v>74454.065000000002</v>
          </cell>
          <cell r="I5">
            <v>74454.065000000002</v>
          </cell>
          <cell r="J5">
            <v>76054.065000000002</v>
          </cell>
          <cell r="K5">
            <v>74454.065000000002</v>
          </cell>
          <cell r="L5">
            <v>74454.065000000002</v>
          </cell>
          <cell r="M5">
            <v>77009.514750000002</v>
          </cell>
          <cell r="N5">
            <v>75150.317250000007</v>
          </cell>
          <cell r="O5">
            <v>75151.317250000007</v>
          </cell>
        </row>
        <row r="28">
          <cell r="D28">
            <v>76879.165000000023</v>
          </cell>
          <cell r="E28">
            <v>75379.165000000023</v>
          </cell>
          <cell r="F28">
            <v>75379.165000000023</v>
          </cell>
          <cell r="G28">
            <v>76979.165000000023</v>
          </cell>
          <cell r="H28">
            <v>75379.165000000023</v>
          </cell>
          <cell r="I28">
            <v>75379.165000000023</v>
          </cell>
          <cell r="J28">
            <v>76979.165000000023</v>
          </cell>
          <cell r="K28">
            <v>75379.165000000023</v>
          </cell>
          <cell r="L28">
            <v>75379.165000000023</v>
          </cell>
          <cell r="M28">
            <v>78067.422500000001</v>
          </cell>
          <cell r="N28">
            <v>76467.422500000001</v>
          </cell>
          <cell r="O28">
            <v>76467.422500000001</v>
          </cell>
        </row>
        <row r="53">
          <cell r="D53">
            <v>63453.360000000008</v>
          </cell>
          <cell r="E53">
            <v>61853.360000000008</v>
          </cell>
          <cell r="F53">
            <v>49236.380000000005</v>
          </cell>
          <cell r="G53">
            <v>50836.380000000005</v>
          </cell>
          <cell r="H53">
            <v>49236.380000000005</v>
          </cell>
          <cell r="I53">
            <v>49236.380000000005</v>
          </cell>
          <cell r="J53">
            <v>50836.380000000005</v>
          </cell>
          <cell r="K53">
            <v>49236.380000000005</v>
          </cell>
          <cell r="L53">
            <v>49236.380000000005</v>
          </cell>
          <cell r="M53">
            <v>51078.927000000003</v>
          </cell>
          <cell r="N53">
            <v>49478.927000000003</v>
          </cell>
          <cell r="O53">
            <v>49478.927000000003</v>
          </cell>
        </row>
        <row r="74">
          <cell r="D74">
            <v>27197.48</v>
          </cell>
          <cell r="E74">
            <v>34236.379999999997</v>
          </cell>
          <cell r="F74">
            <v>34236.379999999997</v>
          </cell>
          <cell r="G74">
            <v>34236.379999999997</v>
          </cell>
          <cell r="H74">
            <v>34236.379999999997</v>
          </cell>
          <cell r="I74">
            <v>35213.24</v>
          </cell>
          <cell r="J74">
            <v>35213.24</v>
          </cell>
          <cell r="K74">
            <v>35213.24</v>
          </cell>
          <cell r="L74">
            <v>35213.24</v>
          </cell>
          <cell r="M74">
            <v>35213.24</v>
          </cell>
          <cell r="N74">
            <v>35213.24</v>
          </cell>
          <cell r="O74">
            <v>35213.24</v>
          </cell>
        </row>
        <row r="81">
          <cell r="D81">
            <v>890</v>
          </cell>
          <cell r="E81">
            <v>839.76380000000006</v>
          </cell>
          <cell r="F81">
            <v>839.76380000000006</v>
          </cell>
          <cell r="G81">
            <v>839.76380000000006</v>
          </cell>
          <cell r="H81">
            <v>839.76380000000006</v>
          </cell>
          <cell r="I81">
            <v>839.76380000000006</v>
          </cell>
          <cell r="J81">
            <v>839.76380000000006</v>
          </cell>
          <cell r="K81">
            <v>839.76380000000006</v>
          </cell>
          <cell r="L81">
            <v>839.76380000000006</v>
          </cell>
          <cell r="M81">
            <v>839.76380000000006</v>
          </cell>
          <cell r="N81">
            <v>839.76380000000006</v>
          </cell>
          <cell r="O81">
            <v>839.76380000000006</v>
          </cell>
        </row>
        <row r="84">
          <cell r="D84">
            <v>7255</v>
          </cell>
          <cell r="E84">
            <v>5505</v>
          </cell>
          <cell r="F84">
            <v>5742.2049999999999</v>
          </cell>
          <cell r="G84">
            <v>7292.2049999999999</v>
          </cell>
          <cell r="H84">
            <v>5742.2049999999999</v>
          </cell>
          <cell r="I84">
            <v>5683.6049999999996</v>
          </cell>
          <cell r="J84">
            <v>7333.6049999999996</v>
          </cell>
          <cell r="K84">
            <v>5683.6049999999996</v>
          </cell>
          <cell r="L84">
            <v>5783.6049999999996</v>
          </cell>
          <cell r="M84">
            <v>7333.6049999999996</v>
          </cell>
          <cell r="N84">
            <v>5783.6049999999996</v>
          </cell>
          <cell r="O84">
            <v>5783.6049999999996</v>
          </cell>
        </row>
        <row r="104">
          <cell r="D104">
            <v>6426.58</v>
          </cell>
          <cell r="E104">
            <v>6776.58</v>
          </cell>
        </row>
        <row r="112">
          <cell r="D112">
            <v>2996.8033333333333</v>
          </cell>
          <cell r="E112">
            <v>14690.386666666667</v>
          </cell>
          <cell r="F112">
            <v>14690.386666666667</v>
          </cell>
          <cell r="G112">
            <v>14690.386666666667</v>
          </cell>
          <cell r="H112">
            <v>3001.336666666667</v>
          </cell>
          <cell r="I112">
            <v>3001.336666666667</v>
          </cell>
          <cell r="J112">
            <v>5655.4485666666678</v>
          </cell>
          <cell r="K112">
            <v>5691.5826666666671</v>
          </cell>
          <cell r="L112">
            <v>5691.5826666666671</v>
          </cell>
          <cell r="M112">
            <v>9791.6326666666664</v>
          </cell>
          <cell r="N112">
            <v>5491.5826666666671</v>
          </cell>
          <cell r="O112">
            <v>5691.5826666666671</v>
          </cell>
        </row>
        <row r="117">
          <cell r="J117">
            <v>401.49</v>
          </cell>
        </row>
        <row r="119">
          <cell r="J119">
            <v>401.49</v>
          </cell>
        </row>
        <row r="125">
          <cell r="D125">
            <v>4500</v>
          </cell>
          <cell r="E125">
            <v>4500</v>
          </cell>
          <cell r="F125">
            <v>6000</v>
          </cell>
          <cell r="G125">
            <v>6000</v>
          </cell>
          <cell r="H125">
            <v>6000</v>
          </cell>
          <cell r="I125">
            <v>7500</v>
          </cell>
          <cell r="J125">
            <v>4500</v>
          </cell>
          <cell r="K125">
            <v>6000</v>
          </cell>
          <cell r="L125">
            <v>6000</v>
          </cell>
          <cell r="M125">
            <v>6000</v>
          </cell>
          <cell r="N125">
            <v>4500</v>
          </cell>
          <cell r="O125">
            <v>34500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150</v>
          </cell>
          <cell r="H146">
            <v>0</v>
          </cell>
          <cell r="I146">
            <v>0</v>
          </cell>
          <cell r="J146">
            <v>0</v>
          </cell>
          <cell r="K146">
            <v>150</v>
          </cell>
          <cell r="L146">
            <v>0</v>
          </cell>
          <cell r="M146">
            <v>0</v>
          </cell>
          <cell r="N146">
            <v>2000</v>
          </cell>
          <cell r="O146">
            <v>0</v>
          </cell>
        </row>
        <row r="152">
          <cell r="D152">
            <v>100</v>
          </cell>
          <cell r="E152">
            <v>100</v>
          </cell>
          <cell r="F152">
            <v>100</v>
          </cell>
          <cell r="G152">
            <v>100</v>
          </cell>
          <cell r="H152">
            <v>100</v>
          </cell>
          <cell r="I152">
            <v>100</v>
          </cell>
          <cell r="J152">
            <v>100</v>
          </cell>
          <cell r="K152">
            <v>100</v>
          </cell>
          <cell r="L152">
            <v>100</v>
          </cell>
          <cell r="M152">
            <v>100</v>
          </cell>
          <cell r="N152">
            <v>100</v>
          </cell>
          <cell r="O152">
            <v>100</v>
          </cell>
        </row>
        <row r="162">
          <cell r="D162">
            <v>30300</v>
          </cell>
          <cell r="E162">
            <v>22800</v>
          </cell>
          <cell r="F162">
            <v>37800</v>
          </cell>
          <cell r="G162">
            <v>30300</v>
          </cell>
          <cell r="H162">
            <v>22800</v>
          </cell>
          <cell r="I162">
            <v>22800</v>
          </cell>
          <cell r="J162">
            <v>30300</v>
          </cell>
          <cell r="K162">
            <v>22800</v>
          </cell>
          <cell r="L162">
            <v>22800</v>
          </cell>
          <cell r="M162">
            <v>30300</v>
          </cell>
          <cell r="N162">
            <v>22800</v>
          </cell>
          <cell r="O162">
            <v>22800</v>
          </cell>
        </row>
      </sheetData>
      <sheetData sheetId="8"/>
      <sheetData sheetId="9">
        <row r="3">
          <cell r="M3">
            <v>1621</v>
          </cell>
          <cell r="Q3">
            <v>4099</v>
          </cell>
        </row>
        <row r="4">
          <cell r="M4">
            <v>1621</v>
          </cell>
          <cell r="Q4">
            <v>7537.4</v>
          </cell>
        </row>
        <row r="5">
          <cell r="M5">
            <v>1621</v>
          </cell>
          <cell r="Q5">
            <v>8037.8799999999992</v>
          </cell>
        </row>
        <row r="7">
          <cell r="M7">
            <v>1621</v>
          </cell>
          <cell r="Q7">
            <v>11879</v>
          </cell>
        </row>
        <row r="8">
          <cell r="M8">
            <v>1621</v>
          </cell>
          <cell r="Q8">
            <v>13409.4</v>
          </cell>
        </row>
        <row r="9">
          <cell r="M9">
            <v>1621</v>
          </cell>
          <cell r="Q9">
            <v>15605</v>
          </cell>
        </row>
        <row r="13">
          <cell r="M13">
            <v>1621</v>
          </cell>
          <cell r="Q13">
            <v>23379</v>
          </cell>
        </row>
        <row r="14">
          <cell r="M14">
            <v>1621</v>
          </cell>
        </row>
        <row r="15">
          <cell r="M15">
            <v>1621</v>
          </cell>
          <cell r="Q15">
            <v>23379</v>
          </cell>
        </row>
        <row r="16">
          <cell r="M16">
            <v>1621</v>
          </cell>
          <cell r="Q16">
            <v>23379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itucional"/>
      <sheetName val="Contencioso"/>
      <sheetName val="Econômico"/>
      <sheetName val="Arbitragem"/>
      <sheetName val="Meta (2)"/>
      <sheetName val="Planilha3"/>
      <sheetName val="DRE 2025"/>
      <sheetName val="Orçamento 2025"/>
      <sheetName val="Fluxo consolidado (3)"/>
      <sheetName val="Rateio Mensal"/>
      <sheetName val="Base_Resultado Mensal_V2"/>
      <sheetName val="Areas Sintetico atualizado"/>
      <sheetName val="Resumo_FATURAS_Recebidas 2025"/>
      <sheetName val="FATURAS Analitico CENTRO CUSTO "/>
      <sheetName val="Amortiza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I5">
            <v>23482</v>
          </cell>
        </row>
      </sheetData>
      <sheetData sheetId="8"/>
      <sheetData sheetId="9"/>
      <sheetData sheetId="10"/>
      <sheetData sheetId="11">
        <row r="4">
          <cell r="K4">
            <v>613202.96</v>
          </cell>
        </row>
        <row r="21">
          <cell r="A21" t="str">
            <v>Gestão do Conhecimento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çamento 2022"/>
      <sheetName val="Institucional, Cont. e Econ."/>
      <sheetName val="Arbitragem e Compliance"/>
      <sheetName val="Equipe Jurídica"/>
      <sheetName val="Rateio mensal"/>
      <sheetName val="Ambiental"/>
      <sheetName val="TS RZ GERAL"/>
      <sheetName val="Amortização Investimentos"/>
      <sheetName val="CUSTO VA - AMBEV (CASO 16)"/>
      <sheetName val="CUSTO RZ - VLI (CASO 4)"/>
      <sheetName val="Rentabilidade 2021 x 2022 - 30%"/>
      <sheetName val="Rentabilidade 2021 x 2022 - R$"/>
    </sheetNames>
    <sheetDataSet>
      <sheetData sheetId="0">
        <row r="186">
          <cell r="AA186">
            <v>20140</v>
          </cell>
        </row>
        <row r="189">
          <cell r="R189">
            <v>154730.96</v>
          </cell>
          <cell r="X189">
            <v>43795.59</v>
          </cell>
          <cell r="AD189">
            <v>41551</v>
          </cell>
          <cell r="AG189">
            <v>21722</v>
          </cell>
          <cell r="AJ189">
            <v>10321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nata Oliva | Rumo Gestão" id="{268C79D4-24AC-419E-9693-606032CC9690}" userId="S::gestao@rumogestaodenegocios.com.br::e0844ddf-3cb0-4dc5-960c-ce3ba5c0891e" providerId="AD"/>
  <person displayName="Financeiro | Rumo Gestão" id="{79C765B4-347A-494B-BD96-623930B8A3AB}" userId="S::financeiro@rumogestaodenegocios.com.br::82334c5d-29ef-49fc-a856-76c5719df7c5" providerId="AD"/>
  <person displayName="Adriana Ramos | Rumo Gestão" id="{B164F17A-19B4-4B35-95B1-2D220A003C38}" userId="S::adrianaramos@rumogestaodenegocios.com.br::725f305f-6e86-4d34-91bb-9d1a39d929f1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5" dT="2025-11-04T19:17:52.67" personId="{B164F17A-19B4-4B35-95B1-2D220A003C38}" id="{A1A42BBB-CDCF-4718-AF66-40D75425CE1C}">
    <text xml:space="preserve">Vencimento maio 2027
O valor da Bellini esta sendo abatido 
</text>
  </threadedComment>
  <threadedComment ref="E75" dT="2025-11-04T19:17:52.67" personId="{B164F17A-19B4-4B35-95B1-2D220A003C38}" id="{3DD72FC6-8EB5-4551-9A72-9552DC0D008E}">
    <text xml:space="preserve">Vencimento maio 2027
</text>
  </threadedComment>
  <threadedComment ref="F75" dT="2025-11-04T19:17:52.67" personId="{B164F17A-19B4-4B35-95B1-2D220A003C38}" id="{B3FBB818-07BA-48B0-8C98-B3B3041D31BC}">
    <text xml:space="preserve">Vencimento maio 2027
</text>
  </threadedComment>
  <threadedComment ref="G75" dT="2025-11-04T19:17:52.67" personId="{B164F17A-19B4-4B35-95B1-2D220A003C38}" id="{74FCEC11-01EA-4B17-A1A0-DB522EACC69B}">
    <text xml:space="preserve">Vencimento maio 2027
</text>
  </threadedComment>
  <threadedComment ref="H75" dT="2025-11-04T19:17:52.67" personId="{B164F17A-19B4-4B35-95B1-2D220A003C38}" id="{3F44E0DD-907D-4080-9504-B37E330B88BB}">
    <text xml:space="preserve">Vencimento maio 2027
</text>
  </threadedComment>
  <threadedComment ref="D102" dT="2025-11-24T12:18:51.35" personId="{B164F17A-19B4-4B35-95B1-2D220A003C38}" id="{4D231AAA-3D8C-4EB7-942C-215D746B65F0}">
    <text>DCTF REINF</text>
  </threadedComment>
  <threadedComment ref="E102" dT="2025-11-24T12:19:14.20" personId="{B164F17A-19B4-4B35-95B1-2D220A003C38}" id="{A3814D5C-6C73-413D-98C5-C664E7CD5B15}">
    <text>SPED</text>
  </threadedComment>
  <threadedComment ref="I102" dT="2025-11-24T12:19:56.43" personId="{B164F17A-19B4-4B35-95B1-2D220A003C38}" id="{8E443F09-EC3D-4505-808E-9A2EA6F8A1FC}">
    <text>DIRF</text>
  </threadedComment>
  <threadedComment ref="J102" dT="2025-11-24T12:18:51.35" personId="{B164F17A-19B4-4B35-95B1-2D220A003C38}" id="{8EA73A5B-CF0C-42FD-96A2-E01E33C23F7D}">
    <text>DCTF REINF</text>
  </threadedComment>
  <threadedComment ref="K102" dT="2025-11-24T12:21:07.41" personId="{B164F17A-19B4-4B35-95B1-2D220A003C38}" id="{2D0895FF-158C-439C-A363-17E0DCC503CB}">
    <text>ECD SPED</text>
  </threadedComment>
  <threadedComment ref="D121" dT="2025-11-25T14:49:58.33" personId="{B164F17A-19B4-4B35-95B1-2D220A003C38}" id="{096C88CD-A101-477C-A157-9EDDEE760459}">
    <text>Incendio</text>
  </threadedComment>
  <threadedComment ref="J121" dT="2025-11-25T14:49:45.79" personId="{B164F17A-19B4-4B35-95B1-2D220A003C38}" id="{935408A5-B5B7-4BEE-84BB-ABA77671691D}">
    <text>RC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2" dT="2026-05-18T14:43:07.35" personId="{268C79D4-24AC-419E-9693-606032CC9690}" id="{99F0BDD0-510E-4F4F-AAE4-CE9FE7D58A30}">
    <text>adiantamento 500,00 bolsa mestrado</text>
  </threadedComment>
  <threadedComment ref="G12" dT="2026-05-18T14:43:07.35" personId="{268C79D4-24AC-419E-9693-606032CC9690}" id="{A90DC67B-CBA6-4F3A-91E4-F5B6D83E5828}">
    <text>adiantamento 500,00 bolsa mestrado</text>
  </threadedComment>
  <threadedComment ref="M86" dT="2025-12-19T18:48:46.99" personId="{B164F17A-19B4-4B35-95B1-2D220A003C38}" id="{DC4CCF00-D869-48D8-9042-B140A5002B24}">
    <text>Aluguel - valor pago Belline</text>
  </threadedComment>
  <threadedComment ref="N86" dT="2025-12-19T18:48:46.99" personId="{B164F17A-19B4-4B35-95B1-2D220A003C38}" id="{7F3DC91C-FE8C-458A-8E88-8A35A3E99FF9}">
    <text>Aluguel - valor pago Belline</text>
  </threadedComment>
  <threadedComment ref="C106" dT="2026-02-26T13:08:35.69" personId="{79C765B4-347A-494B-BD96-623930B8A3AB}" id="{D311058C-6ACC-4409-A988-A44C09F0BAF7}">
    <text>191,74 Café Bravo - 443,90 produtos de limpeza e 1423,95 produtos copa</text>
  </threadedComment>
  <threadedComment ref="C125" dT="2026-02-26T11:22:27.23" personId="{79C765B4-347A-494B-BD96-623930B8A3AB}" id="{FC6915F8-109B-47AF-B5B1-442FF11A7FF0}">
    <text>E-CPF</text>
  </threadedComment>
  <threadedComment ref="L126" dT="2025-11-14T20:23:19.82" personId="{79C765B4-347A-494B-BD96-623930B8A3AB}" id="{4A6230D4-1CBC-47DC-A487-7F7C34E0D7DD}">
    <text>The economist - assinatura anual</text>
  </threadedComment>
  <threadedComment ref="L128" dT="2025-11-14T19:23:21.17" personId="{79C765B4-347A-494B-BD96-623930B8A3AB}" id="{2FA80074-6ED6-4F29-9620-467883A26A53}">
    <text>Jornal Valor Economico - assinatura anual</text>
  </threadedComment>
  <threadedComment ref="C139" dT="2026-02-26T13:14:07.97" personId="{79C765B4-347A-494B-BD96-623930B8A3AB}" id="{7DDE8C08-6492-4414-B013-B76E261CE652}">
    <text>Audiência MBC+ LPC Latina</text>
  </threadedComment>
  <threadedComment ref="C141" dT="2026-02-26T13:16:00.56" personId="{79C765B4-347A-494B-BD96-623930B8A3AB}" id="{88441528-463F-4416-836A-55F38BE75B7B}">
    <text>Compra de vinhos parcelado 3x - ⅔ e bolo de aniversariante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9" dT="2026-03-21T18:58:44.02" personId="{B164F17A-19B4-4B35-95B1-2D220A003C38}" id="{B4FCDBFB-F6B3-4774-8799-009A5A848BD8}">
    <text>Curso Andrielly
]</text>
  </threadedComment>
  <threadedComment ref="L9" dT="2026-03-21T18:58:44.02" personId="{B164F17A-19B4-4B35-95B1-2D220A003C38}" id="{F30787C7-997E-4835-8144-B668902E940D}">
    <text>Curso Andrielly
]</text>
  </threadedComment>
  <threadedComment ref="P9" dT="2026-05-18T21:02:30.11" personId="{B164F17A-19B4-4B35-95B1-2D220A003C38}" id="{3952F92E-A276-405E-9142-E2B88A0D521D}">
    <text>Entrada Vitoria</text>
  </threadedComment>
  <threadedComment ref="T9" dT="2026-05-18T21:02:30.11" personId="{B164F17A-19B4-4B35-95B1-2D220A003C38}" id="{B2B3CF33-1073-42C1-A2CE-2EED2A3B9370}">
    <text>Entrada Vitoria</text>
  </threadedComment>
  <threadedComment ref="P11" dT="2026-05-18T21:03:03.49" personId="{B164F17A-19B4-4B35-95B1-2D220A003C38}" id="{9973D985-B7CA-4D7E-B971-1B6C26F5B3FD}">
    <text>Entrada Angelina</text>
  </threadedComment>
  <threadedComment ref="T11" dT="2026-05-18T21:03:03.49" personId="{B164F17A-19B4-4B35-95B1-2D220A003C38}" id="{678C2F1F-4C5D-4279-9A71-E772D78990FA}">
    <text>Entrada Angelina</text>
  </threadedComment>
  <threadedComment ref="P14" dT="2026-05-18T21:03:54.25" personId="{B164F17A-19B4-4B35-95B1-2D220A003C38}" id="{E55ABC2F-019B-40E2-8D71-35BD57A58A24}">
    <text>Belinne diminuiu</text>
  </threadedComment>
  <threadedComment ref="T14" dT="2026-05-18T21:03:54.25" personId="{B164F17A-19B4-4B35-95B1-2D220A003C38}" id="{0E423D0F-121C-485E-A92B-1D98A0F98196}">
    <text>Belinne diminuiu</text>
  </threadedComment>
  <threadedComment ref="P18" dT="2026-05-18T21:04:21.93" personId="{B164F17A-19B4-4B35-95B1-2D220A003C38}" id="{19A3F49C-8189-401F-BB68-E0D784B88E2C}">
    <text>Aumento Malu</text>
  </threadedComment>
  <threadedComment ref="T18" dT="2026-05-18T21:04:21.93" personId="{B164F17A-19B4-4B35-95B1-2D220A003C38}" id="{B0996D8F-A8FE-4082-857D-BAA82170CDA0}">
    <text>Aumento Malu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9B55-DCAF-4862-8E0B-31B7782EB616}">
  <dimension ref="A1:M43"/>
  <sheetViews>
    <sheetView showGridLines="0" topLeftCell="E1" workbookViewId="0">
      <selection activeCell="Y12" sqref="Y12"/>
    </sheetView>
  </sheetViews>
  <sheetFormatPr defaultColWidth="8.88671875" defaultRowHeight="14.4" x14ac:dyDescent="0.3"/>
  <cols>
    <col min="1" max="1" width="14.6640625" style="290" bestFit="1" customWidth="1"/>
    <col min="2" max="3" width="14.6640625" style="290" customWidth="1"/>
    <col min="4" max="4" width="11.88671875" style="290" hidden="1" customWidth="1"/>
    <col min="5" max="5" width="10.5546875" style="290" customWidth="1"/>
    <col min="6" max="6" width="10.33203125" style="290" bestFit="1" customWidth="1"/>
    <col min="7" max="7" width="16.44140625" style="290" bestFit="1" customWidth="1"/>
    <col min="8" max="8" width="11.5546875" style="290" bestFit="1" customWidth="1"/>
    <col min="9" max="10" width="10.109375" style="290" bestFit="1" customWidth="1"/>
    <col min="11" max="11" width="8.88671875" style="290"/>
    <col min="12" max="12" width="10.109375" style="290" bestFit="1" customWidth="1"/>
    <col min="13" max="16384" width="8.88671875" style="290"/>
  </cols>
  <sheetData>
    <row r="1" spans="1:13" x14ac:dyDescent="0.3">
      <c r="A1" s="559" t="s">
        <v>0</v>
      </c>
      <c r="B1" s="560"/>
      <c r="C1" s="561"/>
      <c r="D1" s="559" t="s">
        <v>1</v>
      </c>
      <c r="E1" s="560"/>
      <c r="F1" s="561"/>
      <c r="H1" s="290" t="s">
        <v>2</v>
      </c>
      <c r="I1" s="290" t="s">
        <v>3</v>
      </c>
      <c r="J1" s="290" t="s">
        <v>4</v>
      </c>
    </row>
    <row r="2" spans="1:13" ht="28.8" x14ac:dyDescent="0.3">
      <c r="A2" s="291" t="s">
        <v>5</v>
      </c>
      <c r="B2" s="291"/>
      <c r="C2" s="292">
        <v>12</v>
      </c>
      <c r="D2" s="293">
        <v>1</v>
      </c>
      <c r="E2" s="294">
        <v>11</v>
      </c>
      <c r="F2" s="295" t="s">
        <v>6</v>
      </c>
      <c r="H2" s="290">
        <v>3120555</v>
      </c>
      <c r="I2" s="290">
        <f>D3</f>
        <v>444545.69</v>
      </c>
      <c r="J2" s="290">
        <f>I2+576522+85120+420000+374267+140000+(400000*3)</f>
        <v>3240454.69</v>
      </c>
      <c r="L2" s="290">
        <v>576622</v>
      </c>
      <c r="M2" s="290" t="s">
        <v>7</v>
      </c>
    </row>
    <row r="3" spans="1:13" x14ac:dyDescent="0.3">
      <c r="A3" s="296">
        <v>8060000</v>
      </c>
      <c r="B3" s="296"/>
      <c r="C3" s="297">
        <f>A3/C2</f>
        <v>671666.66666666663</v>
      </c>
      <c r="D3" s="296">
        <f>'Areas Sintetico atualizado'!C3</f>
        <v>444545.69</v>
      </c>
      <c r="E3" s="298">
        <f>A3-D3</f>
        <v>7615454.3099999996</v>
      </c>
      <c r="F3" s="297">
        <f>E3/E2</f>
        <v>692314.0281818182</v>
      </c>
      <c r="H3" s="289">
        <f>H2/A3</f>
        <v>0.38716563275434246</v>
      </c>
      <c r="I3" s="289">
        <f>I2/A3</f>
        <v>5.5154552109181139E-2</v>
      </c>
      <c r="J3" s="289">
        <f>J2/A3</f>
        <v>0.40204152481389577</v>
      </c>
      <c r="L3" s="290">
        <v>85120</v>
      </c>
      <c r="M3" s="290" t="s">
        <v>8</v>
      </c>
    </row>
    <row r="4" spans="1:13" x14ac:dyDescent="0.3">
      <c r="L4" s="290">
        <v>420000</v>
      </c>
      <c r="M4" s="290" t="s">
        <v>9</v>
      </c>
    </row>
    <row r="5" spans="1:13" x14ac:dyDescent="0.3">
      <c r="I5" s="290">
        <f>10377407-5768380</f>
        <v>4609027</v>
      </c>
      <c r="L5" s="290">
        <v>374267</v>
      </c>
      <c r="M5" s="290" t="s">
        <v>10</v>
      </c>
    </row>
    <row r="6" spans="1:13" x14ac:dyDescent="0.3">
      <c r="I6" s="289">
        <f>(I2/I5)-1</f>
        <v>-0.9035489073941203</v>
      </c>
      <c r="L6" s="290">
        <v>140000</v>
      </c>
      <c r="M6" s="290" t="s">
        <v>11</v>
      </c>
    </row>
    <row r="7" spans="1:13" x14ac:dyDescent="0.3">
      <c r="A7" s="559" t="s">
        <v>12</v>
      </c>
      <c r="B7" s="560"/>
      <c r="C7" s="561"/>
      <c r="D7" s="299" t="s">
        <v>1</v>
      </c>
      <c r="E7" s="300"/>
      <c r="F7" s="301"/>
      <c r="J7" s="290">
        <v>6143091</v>
      </c>
    </row>
    <row r="8" spans="1:13" x14ac:dyDescent="0.3">
      <c r="A8" s="291" t="s">
        <v>5</v>
      </c>
      <c r="B8" s="291"/>
      <c r="C8" s="292">
        <v>12</v>
      </c>
      <c r="D8" s="293"/>
      <c r="E8" s="294"/>
      <c r="F8" s="295"/>
      <c r="J8" s="289">
        <f>(J2/J7)-1</f>
        <v>-0.47250420187491937</v>
      </c>
    </row>
    <row r="9" spans="1:13" x14ac:dyDescent="0.3">
      <c r="A9" s="296">
        <f>A3</f>
        <v>8060000</v>
      </c>
      <c r="B9" s="296"/>
      <c r="C9" s="297">
        <f>A9/C8</f>
        <v>671666.66666666663</v>
      </c>
      <c r="D9" s="296">
        <f>'Areas Sintetico atualizado'!X3</f>
        <v>2372506.6399999997</v>
      </c>
      <c r="E9" s="298"/>
      <c r="F9" s="297">
        <f>A9-D9</f>
        <v>5687493.3600000003</v>
      </c>
      <c r="G9" s="290">
        <f>F9/E2</f>
        <v>517044.85090909095</v>
      </c>
    </row>
    <row r="13" spans="1:13" x14ac:dyDescent="0.3">
      <c r="B13" s="290" t="s">
        <v>13</v>
      </c>
      <c r="C13" s="290" t="s">
        <v>14</v>
      </c>
      <c r="D13" s="290" t="s">
        <v>13</v>
      </c>
      <c r="E13" s="290" t="s">
        <v>15</v>
      </c>
      <c r="F13" s="290" t="s">
        <v>16</v>
      </c>
      <c r="G13" s="290" t="s">
        <v>17</v>
      </c>
      <c r="H13" s="290" t="s">
        <v>18</v>
      </c>
    </row>
    <row r="14" spans="1:13" x14ac:dyDescent="0.3">
      <c r="A14" s="290" t="s">
        <v>19</v>
      </c>
      <c r="B14" s="290">
        <f>'Areas Sintetico atualizado'!C3</f>
        <v>444545.69</v>
      </c>
      <c r="C14" s="290">
        <f>'Areas Sintetico atualizado'!C4</f>
        <v>279821.07</v>
      </c>
      <c r="D14" s="290">
        <f>'Areas Sintetico atualizado'!C3</f>
        <v>444545.69</v>
      </c>
      <c r="E14" s="290">
        <v>671667</v>
      </c>
      <c r="F14" s="290">
        <f>G14+H14</f>
        <v>311424.08999999997</v>
      </c>
      <c r="G14" s="290">
        <f>'Areas Sintetico atualizado'!C13</f>
        <v>100181.41</v>
      </c>
      <c r="H14" s="290">
        <f>'Areas Sintetico atualizado'!C6</f>
        <v>211242.68</v>
      </c>
      <c r="J14" s="290">
        <f t="shared" ref="J14:J25" si="0">C14-G14-H14</f>
        <v>-31603.01999999999</v>
      </c>
    </row>
    <row r="15" spans="1:13" x14ac:dyDescent="0.3">
      <c r="A15" s="290" t="s">
        <v>20</v>
      </c>
      <c r="B15" s="290">
        <f>'Areas Sintetico atualizado'!G3</f>
        <v>534752.84</v>
      </c>
      <c r="C15" s="290">
        <f>'Areas Sintetico atualizado'!G4</f>
        <v>319233.58</v>
      </c>
      <c r="E15" s="290">
        <v>671667</v>
      </c>
      <c r="F15" s="290">
        <f t="shared" ref="F15:F21" si="1">G15+H15</f>
        <v>313501.13</v>
      </c>
      <c r="G15" s="290">
        <f>'Areas Sintetico atualizado'!G13</f>
        <v>95047.389999999985</v>
      </c>
      <c r="H15" s="290">
        <f>'Areas Sintetico atualizado'!G6</f>
        <v>218453.74</v>
      </c>
      <c r="J15" s="290">
        <f t="shared" si="0"/>
        <v>5732.4500000000407</v>
      </c>
    </row>
    <row r="16" spans="1:13" x14ac:dyDescent="0.3">
      <c r="A16" s="290" t="s">
        <v>21</v>
      </c>
      <c r="E16" s="290">
        <v>671667</v>
      </c>
      <c r="F16" s="290">
        <f t="shared" si="1"/>
        <v>0</v>
      </c>
      <c r="J16" s="290">
        <f t="shared" si="0"/>
        <v>0</v>
      </c>
    </row>
    <row r="17" spans="1:10" x14ac:dyDescent="0.3">
      <c r="A17" s="290" t="s">
        <v>22</v>
      </c>
      <c r="E17" s="290">
        <v>671667</v>
      </c>
      <c r="F17" s="290">
        <f t="shared" si="1"/>
        <v>0</v>
      </c>
      <c r="J17" s="290">
        <f t="shared" si="0"/>
        <v>0</v>
      </c>
    </row>
    <row r="18" spans="1:10" x14ac:dyDescent="0.3">
      <c r="A18" s="290" t="s">
        <v>23</v>
      </c>
      <c r="E18" s="290">
        <v>671667</v>
      </c>
      <c r="F18" s="290">
        <f t="shared" si="1"/>
        <v>0</v>
      </c>
      <c r="J18" s="290">
        <f t="shared" si="0"/>
        <v>0</v>
      </c>
    </row>
    <row r="19" spans="1:10" x14ac:dyDescent="0.3">
      <c r="A19" s="290" t="s">
        <v>24</v>
      </c>
      <c r="E19" s="290">
        <v>671667</v>
      </c>
      <c r="F19" s="290">
        <f t="shared" si="1"/>
        <v>0</v>
      </c>
      <c r="J19" s="290">
        <f t="shared" si="0"/>
        <v>0</v>
      </c>
    </row>
    <row r="20" spans="1:10" x14ac:dyDescent="0.3">
      <c r="A20" s="290" t="s">
        <v>25</v>
      </c>
      <c r="E20" s="290">
        <v>671667</v>
      </c>
      <c r="F20" s="290">
        <f t="shared" si="1"/>
        <v>0</v>
      </c>
      <c r="J20" s="290">
        <f t="shared" si="0"/>
        <v>0</v>
      </c>
    </row>
    <row r="21" spans="1:10" x14ac:dyDescent="0.3">
      <c r="A21" s="290" t="s">
        <v>26</v>
      </c>
      <c r="E21" s="290">
        <v>671667</v>
      </c>
      <c r="F21" s="290">
        <f t="shared" si="1"/>
        <v>0</v>
      </c>
      <c r="J21" s="290">
        <f t="shared" si="0"/>
        <v>0</v>
      </c>
    </row>
    <row r="22" spans="1:10" x14ac:dyDescent="0.3">
      <c r="A22" s="290" t="s">
        <v>27</v>
      </c>
      <c r="E22" s="290">
        <v>671667</v>
      </c>
      <c r="F22" s="290">
        <f t="shared" ref="F22" si="2">G22+H22</f>
        <v>0</v>
      </c>
      <c r="J22" s="290">
        <f t="shared" si="0"/>
        <v>0</v>
      </c>
    </row>
    <row r="23" spans="1:10" x14ac:dyDescent="0.3">
      <c r="A23" s="290" t="s">
        <v>28</v>
      </c>
      <c r="E23" s="290">
        <v>671667</v>
      </c>
      <c r="F23" s="290">
        <f t="shared" ref="F23" si="3">G23+H23</f>
        <v>0</v>
      </c>
      <c r="J23" s="290">
        <f t="shared" si="0"/>
        <v>0</v>
      </c>
    </row>
    <row r="24" spans="1:10" x14ac:dyDescent="0.3">
      <c r="A24" s="290" t="s">
        <v>29</v>
      </c>
      <c r="E24" s="290">
        <v>671667</v>
      </c>
      <c r="F24" s="290">
        <f t="shared" ref="F24" si="4">G24+H24</f>
        <v>0</v>
      </c>
      <c r="J24" s="290">
        <f t="shared" si="0"/>
        <v>0</v>
      </c>
    </row>
    <row r="25" spans="1:10" x14ac:dyDescent="0.3">
      <c r="A25" s="290" t="s">
        <v>30</v>
      </c>
      <c r="E25" s="290">
        <v>671667</v>
      </c>
      <c r="F25" s="290">
        <f t="shared" ref="F25" si="5">G25+H25</f>
        <v>0</v>
      </c>
      <c r="J25" s="290">
        <f t="shared" si="0"/>
        <v>0</v>
      </c>
    </row>
    <row r="26" spans="1:10" x14ac:dyDescent="0.3">
      <c r="C26" s="290">
        <f>SUM(C14:C25)</f>
        <v>599054.65</v>
      </c>
      <c r="D26" s="290">
        <f t="shared" ref="D26:J26" si="6">SUM(D14:D25)</f>
        <v>444545.69</v>
      </c>
      <c r="E26" s="290">
        <f t="shared" si="6"/>
        <v>8060004</v>
      </c>
      <c r="F26" s="290">
        <f t="shared" si="6"/>
        <v>624925.22</v>
      </c>
      <c r="G26" s="290">
        <f t="shared" si="6"/>
        <v>195228.79999999999</v>
      </c>
      <c r="H26" s="290">
        <f t="shared" si="6"/>
        <v>429696.42</v>
      </c>
      <c r="I26" s="290">
        <f t="shared" si="6"/>
        <v>0</v>
      </c>
      <c r="J26" s="290">
        <f t="shared" si="6"/>
        <v>-25870.569999999949</v>
      </c>
    </row>
    <row r="28" spans="1:10" x14ac:dyDescent="0.3">
      <c r="A28" s="359" t="s">
        <v>31</v>
      </c>
      <c r="B28" s="359"/>
      <c r="C28" s="359">
        <f>C26/12</f>
        <v>49921.220833333333</v>
      </c>
    </row>
    <row r="31" spans="1:10" x14ac:dyDescent="0.3">
      <c r="E31" s="290">
        <f>D26-G26-H26</f>
        <v>-180379.52999999997</v>
      </c>
      <c r="F31" s="290">
        <f>C26-G26-H26</f>
        <v>-25870.569999999949</v>
      </c>
    </row>
    <row r="35" spans="1:6" x14ac:dyDescent="0.3">
      <c r="C35" s="290" t="s">
        <v>14</v>
      </c>
      <c r="D35" s="290" t="s">
        <v>16</v>
      </c>
      <c r="F35" s="302" t="s">
        <v>32</v>
      </c>
    </row>
    <row r="36" spans="1:6" x14ac:dyDescent="0.3">
      <c r="A36" s="290" t="s">
        <v>19</v>
      </c>
      <c r="C36" s="290">
        <v>316807.42</v>
      </c>
      <c r="D36" s="290">
        <v>330244.38499999995</v>
      </c>
      <c r="E36" s="290">
        <f>'[1]Base_Resultado Mensal_V2'!D190</f>
        <v>134911.6</v>
      </c>
      <c r="F36" s="303">
        <f>C36-D36-E36</f>
        <v>-148348.56499999997</v>
      </c>
    </row>
    <row r="37" spans="1:6" x14ac:dyDescent="0.3">
      <c r="A37" s="290" t="s">
        <v>20</v>
      </c>
      <c r="C37" s="290">
        <v>216057.27</v>
      </c>
      <c r="D37" s="290">
        <v>377306.69500000001</v>
      </c>
      <c r="E37" s="290">
        <f>'[1]Base_Resultado Mensal_V2'!F190</f>
        <v>5092.4500000000007</v>
      </c>
      <c r="F37" s="303">
        <f t="shared" ref="F37:F42" si="7">C37-D37-E37</f>
        <v>-166341.87500000003</v>
      </c>
    </row>
    <row r="38" spans="1:6" x14ac:dyDescent="0.3">
      <c r="A38" s="290" t="s">
        <v>21</v>
      </c>
      <c r="C38" s="290">
        <v>613202.96</v>
      </c>
      <c r="D38" s="290">
        <v>363984.20666666667</v>
      </c>
      <c r="E38" s="290">
        <f>'[1]Base_Resultado Mensal_V2'!H190</f>
        <v>814.99</v>
      </c>
      <c r="F38" s="303">
        <f t="shared" si="7"/>
        <v>248403.76333333331</v>
      </c>
    </row>
    <row r="39" spans="1:6" x14ac:dyDescent="0.3">
      <c r="A39" s="290" t="s">
        <v>22</v>
      </c>
      <c r="C39" s="290">
        <v>588260.31999999995</v>
      </c>
      <c r="D39" s="290">
        <v>375072.45999999996</v>
      </c>
      <c r="E39" s="290">
        <f>'[1]Base_Resultado Mensal_V2'!J190</f>
        <v>110831.76</v>
      </c>
      <c r="F39" s="303">
        <f t="shared" si="7"/>
        <v>102356.09999999999</v>
      </c>
    </row>
    <row r="40" spans="1:6" x14ac:dyDescent="0.3">
      <c r="A40" s="290" t="s">
        <v>23</v>
      </c>
      <c r="C40" s="290">
        <v>658171.05000000005</v>
      </c>
      <c r="D40" s="290">
        <v>360112.80000000005</v>
      </c>
      <c r="E40" s="290">
        <f>'[1]Base_Resultado Mensal_V2'!L190</f>
        <v>5968</v>
      </c>
      <c r="F40" s="303">
        <f t="shared" si="7"/>
        <v>292090.25</v>
      </c>
    </row>
    <row r="41" spans="1:6" x14ac:dyDescent="0.3">
      <c r="A41" s="290" t="s">
        <v>24</v>
      </c>
      <c r="C41" s="290">
        <v>632809.49</v>
      </c>
      <c r="D41" s="290">
        <v>334821.86</v>
      </c>
      <c r="E41" s="290">
        <f>'[1]Base_Resultado Mensal_V2'!N190</f>
        <v>11928.17</v>
      </c>
      <c r="F41" s="303">
        <f t="shared" si="7"/>
        <v>286059.46000000002</v>
      </c>
    </row>
    <row r="42" spans="1:6" x14ac:dyDescent="0.3">
      <c r="A42" s="290" t="s">
        <v>25</v>
      </c>
      <c r="C42" s="290">
        <v>260036.93</v>
      </c>
      <c r="D42" s="290">
        <v>337422.55900000001</v>
      </c>
      <c r="E42" s="290">
        <f>'[1]Base_Resultado Mensal_V2'!P190</f>
        <v>183171.96</v>
      </c>
      <c r="F42" s="303">
        <f t="shared" si="7"/>
        <v>-260557.58900000001</v>
      </c>
    </row>
    <row r="43" spans="1:6" x14ac:dyDescent="0.3">
      <c r="C43" s="290">
        <v>3285345.44</v>
      </c>
      <c r="D43" s="290">
        <v>2478964.9656666671</v>
      </c>
      <c r="E43" s="290">
        <f>SUM(E36:E42)</f>
        <v>452718.92999999993</v>
      </c>
    </row>
  </sheetData>
  <mergeCells count="3">
    <mergeCell ref="A1:C1"/>
    <mergeCell ref="D1:F1"/>
    <mergeCell ref="A7:C7"/>
  </mergeCells>
  <phoneticPr fontId="15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6527-BFBC-4756-84FC-1A32DC5F064A}">
  <sheetPr>
    <tabColor rgb="FFFFC000"/>
  </sheetPr>
  <dimension ref="A1:AN168"/>
  <sheetViews>
    <sheetView showGridLines="0" topLeftCell="A14" zoomScale="110" zoomScaleNormal="110" workbookViewId="0">
      <selection activeCell="C27" sqref="C27:G27"/>
    </sheetView>
  </sheetViews>
  <sheetFormatPr defaultColWidth="9.109375" defaultRowHeight="15" x14ac:dyDescent="0.25"/>
  <cols>
    <col min="1" max="1" width="47.109375" style="397" bestFit="1" customWidth="1"/>
    <col min="2" max="2" width="15.6640625" style="398" customWidth="1"/>
    <col min="3" max="14" width="12.44140625" style="363" customWidth="1"/>
    <col min="15" max="16384" width="9.109375" style="363"/>
  </cols>
  <sheetData>
    <row r="1" spans="1:40" ht="21" customHeight="1" thickTop="1" thickBot="1" x14ac:dyDescent="0.35">
      <c r="A1" s="360" t="s">
        <v>33</v>
      </c>
      <c r="B1" s="361"/>
      <c r="C1" s="362" t="s">
        <v>34</v>
      </c>
      <c r="D1" s="362" t="s">
        <v>35</v>
      </c>
      <c r="E1" s="362" t="s">
        <v>36</v>
      </c>
      <c r="F1" s="362" t="s">
        <v>37</v>
      </c>
      <c r="G1" s="362" t="s">
        <v>38</v>
      </c>
      <c r="H1" s="362" t="s">
        <v>39</v>
      </c>
      <c r="I1" s="362" t="s">
        <v>40</v>
      </c>
      <c r="J1" s="362" t="s">
        <v>41</v>
      </c>
      <c r="K1" s="362" t="s">
        <v>42</v>
      </c>
      <c r="L1" s="362" t="s">
        <v>43</v>
      </c>
      <c r="M1" s="362" t="s">
        <v>44</v>
      </c>
      <c r="N1" s="362" t="s">
        <v>45</v>
      </c>
    </row>
    <row r="2" spans="1:40" s="367" customFormat="1" ht="37.5" customHeight="1" thickTop="1" thickBot="1" x14ac:dyDescent="0.3">
      <c r="A2" s="364" t="s">
        <v>46</v>
      </c>
      <c r="B2" s="365"/>
      <c r="C2" s="366" t="s">
        <v>47</v>
      </c>
      <c r="D2" s="366" t="s">
        <v>47</v>
      </c>
      <c r="E2" s="366" t="s">
        <v>47</v>
      </c>
      <c r="F2" s="366" t="s">
        <v>47</v>
      </c>
      <c r="G2" s="366" t="s">
        <v>47</v>
      </c>
      <c r="H2" s="366" t="s">
        <v>47</v>
      </c>
      <c r="I2" s="366" t="s">
        <v>47</v>
      </c>
      <c r="J2" s="366" t="s">
        <v>47</v>
      </c>
      <c r="K2" s="366" t="s">
        <v>47</v>
      </c>
      <c r="L2" s="366" t="s">
        <v>47</v>
      </c>
      <c r="M2" s="366" t="s">
        <v>47</v>
      </c>
      <c r="N2" s="362" t="s">
        <v>47</v>
      </c>
    </row>
    <row r="3" spans="1:40" s="371" customFormat="1" ht="25.2" customHeight="1" thickTop="1" thickBot="1" x14ac:dyDescent="0.35">
      <c r="A3" s="368" t="s">
        <v>48</v>
      </c>
      <c r="B3" s="369">
        <f>SUM(C3:N3)</f>
        <v>8060000.04</v>
      </c>
      <c r="C3" s="370">
        <v>671666.67</v>
      </c>
      <c r="D3" s="370">
        <v>671666.67</v>
      </c>
      <c r="E3" s="370">
        <v>671666.67</v>
      </c>
      <c r="F3" s="370">
        <v>671666.67</v>
      </c>
      <c r="G3" s="370">
        <v>671666.67</v>
      </c>
      <c r="H3" s="370">
        <v>671666.67</v>
      </c>
      <c r="I3" s="370">
        <v>671666.67</v>
      </c>
      <c r="J3" s="370">
        <v>671666.67</v>
      </c>
      <c r="K3" s="370">
        <v>671666.67</v>
      </c>
      <c r="L3" s="370">
        <v>671666.67</v>
      </c>
      <c r="M3" s="370">
        <v>671666.67</v>
      </c>
      <c r="N3" s="402">
        <v>671666.67</v>
      </c>
    </row>
    <row r="4" spans="1:40" s="371" customFormat="1" ht="25.2" customHeight="1" thickBot="1" x14ac:dyDescent="0.35">
      <c r="A4" s="372" t="s">
        <v>49</v>
      </c>
      <c r="B4" s="403"/>
      <c r="C4" s="37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</row>
    <row r="5" spans="1:40" s="374" customFormat="1" ht="25.2" customHeight="1" thickBot="1" x14ac:dyDescent="0.35">
      <c r="A5" s="375" t="s">
        <v>50</v>
      </c>
      <c r="B5" s="404">
        <f>SUM(C5:N5)</f>
        <v>2438910.6477500005</v>
      </c>
      <c r="C5" s="376">
        <f>SUM(C6:C8)</f>
        <v>215786.59000000005</v>
      </c>
      <c r="D5" s="377">
        <f>SUM(D6:D8)</f>
        <v>211686.59000000005</v>
      </c>
      <c r="E5" s="377">
        <f t="shared" ref="E5:N5" si="0">SUM(E6:E8)</f>
        <v>199069.61000000004</v>
      </c>
      <c r="F5" s="377">
        <f t="shared" si="0"/>
        <v>203869.61000000004</v>
      </c>
      <c r="G5" s="377">
        <f t="shared" si="0"/>
        <v>199069.61000000004</v>
      </c>
      <c r="H5" s="377">
        <f t="shared" si="0"/>
        <v>199069.61000000004</v>
      </c>
      <c r="I5" s="377">
        <f t="shared" si="0"/>
        <v>203869.61000000004</v>
      </c>
      <c r="J5" s="377">
        <f t="shared" si="0"/>
        <v>199069.61000000004</v>
      </c>
      <c r="K5" s="377">
        <f t="shared" si="0"/>
        <v>199069.61000000004</v>
      </c>
      <c r="L5" s="377">
        <f t="shared" si="0"/>
        <v>206155.86425000001</v>
      </c>
      <c r="M5" s="377">
        <f t="shared" si="0"/>
        <v>201096.66675</v>
      </c>
      <c r="N5" s="405">
        <f t="shared" si="0"/>
        <v>201097.66675</v>
      </c>
    </row>
    <row r="6" spans="1:40" s="380" customFormat="1" ht="25.2" customHeight="1" x14ac:dyDescent="0.3">
      <c r="A6" s="378" t="s">
        <v>51</v>
      </c>
      <c r="B6" s="379">
        <f>SUM(C6:N6)</f>
        <v>901597.73424999986</v>
      </c>
      <c r="C6" s="379">
        <f>'[2]Orçamento 2026'!D5</f>
        <v>75454.065000000002</v>
      </c>
      <c r="D6" s="379">
        <f>'[2]Orçamento 2026'!E5</f>
        <v>74454.065000000002</v>
      </c>
      <c r="E6" s="379">
        <f>'[2]Orçamento 2026'!F5</f>
        <v>74454.065000000002</v>
      </c>
      <c r="F6" s="379">
        <f>'[2]Orçamento 2026'!G5</f>
        <v>76054.065000000002</v>
      </c>
      <c r="G6" s="379">
        <f>'[2]Orçamento 2026'!H5</f>
        <v>74454.065000000002</v>
      </c>
      <c r="H6" s="379">
        <f>'[2]Orçamento 2026'!I5</f>
        <v>74454.065000000002</v>
      </c>
      <c r="I6" s="379">
        <f>'[2]Orçamento 2026'!J5</f>
        <v>76054.065000000002</v>
      </c>
      <c r="J6" s="379">
        <f>'[2]Orçamento 2026'!K5</f>
        <v>74454.065000000002</v>
      </c>
      <c r="K6" s="379">
        <f>'[2]Orçamento 2026'!L5</f>
        <v>74454.065000000002</v>
      </c>
      <c r="L6" s="379">
        <f>'[2]Orçamento 2026'!M5</f>
        <v>77009.514750000002</v>
      </c>
      <c r="M6" s="379">
        <f>'[2]Orçamento 2026'!N5</f>
        <v>75150.317250000007</v>
      </c>
      <c r="N6" s="406">
        <f>'[2]Orçamento 2026'!O5</f>
        <v>75151.317250000007</v>
      </c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4"/>
      <c r="AF6" s="374"/>
      <c r="AG6" s="374"/>
      <c r="AH6" s="374"/>
      <c r="AI6" s="374"/>
      <c r="AJ6" s="374"/>
      <c r="AK6" s="374"/>
      <c r="AL6" s="374"/>
      <c r="AM6" s="374"/>
      <c r="AN6" s="374"/>
    </row>
    <row r="7" spans="1:40" s="383" customFormat="1" ht="25.2" customHeight="1" x14ac:dyDescent="0.3">
      <c r="A7" s="381" t="s">
        <v>52</v>
      </c>
      <c r="B7" s="379">
        <f t="shared" ref="B7:B8" si="1">SUM(C7:N7)</f>
        <v>914114.75250000018</v>
      </c>
      <c r="C7" s="382">
        <f>'[2]Orçamento 2026'!D28</f>
        <v>76879.165000000023</v>
      </c>
      <c r="D7" s="382">
        <f>'[2]Orçamento 2026'!E28</f>
        <v>75379.165000000023</v>
      </c>
      <c r="E7" s="382">
        <f>'[2]Orçamento 2026'!F28</f>
        <v>75379.165000000023</v>
      </c>
      <c r="F7" s="382">
        <f>'[2]Orçamento 2026'!G28</f>
        <v>76979.165000000023</v>
      </c>
      <c r="G7" s="382">
        <f>'[2]Orçamento 2026'!H28</f>
        <v>75379.165000000023</v>
      </c>
      <c r="H7" s="382">
        <f>'[2]Orçamento 2026'!I28</f>
        <v>75379.165000000023</v>
      </c>
      <c r="I7" s="382">
        <f>'[2]Orçamento 2026'!J28</f>
        <v>76979.165000000023</v>
      </c>
      <c r="J7" s="382">
        <f>'[2]Orçamento 2026'!K28</f>
        <v>75379.165000000023</v>
      </c>
      <c r="K7" s="382">
        <f>'[2]Orçamento 2026'!L28</f>
        <v>75379.165000000023</v>
      </c>
      <c r="L7" s="382">
        <f>'[2]Orçamento 2026'!M28</f>
        <v>78067.422500000001</v>
      </c>
      <c r="M7" s="382">
        <f>'[2]Orçamento 2026'!N28</f>
        <v>76467.422500000001</v>
      </c>
      <c r="N7" s="407">
        <f>'[2]Orçamento 2026'!O28</f>
        <v>76467.422500000001</v>
      </c>
      <c r="O7" s="374"/>
      <c r="P7" s="374"/>
      <c r="Q7" s="374"/>
      <c r="R7" s="374"/>
      <c r="S7" s="374"/>
      <c r="T7" s="374"/>
      <c r="U7" s="374"/>
      <c r="V7" s="374"/>
      <c r="W7" s="374"/>
      <c r="X7" s="374"/>
      <c r="Y7" s="374"/>
      <c r="Z7" s="374"/>
      <c r="AA7" s="374"/>
      <c r="AB7" s="374"/>
      <c r="AC7" s="374"/>
      <c r="AD7" s="374"/>
      <c r="AE7" s="374"/>
      <c r="AF7" s="374"/>
      <c r="AG7" s="374"/>
      <c r="AH7" s="374"/>
      <c r="AI7" s="374"/>
      <c r="AJ7" s="374"/>
      <c r="AK7" s="374"/>
      <c r="AL7" s="374"/>
      <c r="AM7" s="374"/>
      <c r="AN7" s="374"/>
    </row>
    <row r="8" spans="1:40" s="383" customFormat="1" ht="25.2" customHeight="1" thickBot="1" x14ac:dyDescent="0.35">
      <c r="A8" s="381" t="s">
        <v>53</v>
      </c>
      <c r="B8" s="379">
        <f t="shared" si="1"/>
        <v>623198.16100000008</v>
      </c>
      <c r="C8" s="382">
        <f>'[2]Orçamento 2026'!D53</f>
        <v>63453.360000000008</v>
      </c>
      <c r="D8" s="382">
        <f>'[2]Orçamento 2026'!E53</f>
        <v>61853.360000000008</v>
      </c>
      <c r="E8" s="382">
        <f>'[2]Orçamento 2026'!F53</f>
        <v>49236.380000000005</v>
      </c>
      <c r="F8" s="382">
        <f>'[2]Orçamento 2026'!G53</f>
        <v>50836.380000000005</v>
      </c>
      <c r="G8" s="382">
        <f>'[2]Orçamento 2026'!H53</f>
        <v>49236.380000000005</v>
      </c>
      <c r="H8" s="382">
        <f>'[2]Orçamento 2026'!I53</f>
        <v>49236.380000000005</v>
      </c>
      <c r="I8" s="382">
        <f>'[2]Orçamento 2026'!J53</f>
        <v>50836.380000000005</v>
      </c>
      <c r="J8" s="382">
        <f>'[2]Orçamento 2026'!K53</f>
        <v>49236.380000000005</v>
      </c>
      <c r="K8" s="382">
        <f>'[2]Orçamento 2026'!L53</f>
        <v>49236.380000000005</v>
      </c>
      <c r="L8" s="382">
        <f>'[2]Orçamento 2026'!M53</f>
        <v>51078.927000000003</v>
      </c>
      <c r="M8" s="382">
        <f>'[2]Orçamento 2026'!N53</f>
        <v>49478.927000000003</v>
      </c>
      <c r="N8" s="407">
        <f>'[2]Orçamento 2026'!O53</f>
        <v>49478.927000000003</v>
      </c>
      <c r="O8" s="374"/>
      <c r="P8" s="374"/>
      <c r="Q8" s="374"/>
      <c r="R8" s="374"/>
      <c r="S8" s="374"/>
      <c r="T8" s="374"/>
      <c r="U8" s="374"/>
      <c r="V8" s="374"/>
      <c r="W8" s="374"/>
      <c r="X8" s="374"/>
      <c r="Y8" s="374"/>
      <c r="Z8" s="374"/>
      <c r="AA8" s="374"/>
      <c r="AB8" s="374"/>
      <c r="AC8" s="374"/>
      <c r="AD8" s="374"/>
      <c r="AE8" s="374"/>
      <c r="AF8" s="374"/>
      <c r="AG8" s="374"/>
      <c r="AH8" s="374"/>
      <c r="AI8" s="374"/>
      <c r="AJ8" s="374"/>
      <c r="AK8" s="374"/>
      <c r="AL8" s="374"/>
      <c r="AM8" s="374"/>
      <c r="AN8" s="374"/>
    </row>
    <row r="9" spans="1:40" s="374" customFormat="1" ht="25.2" customHeight="1" thickBot="1" x14ac:dyDescent="0.35">
      <c r="A9" s="384" t="s">
        <v>54</v>
      </c>
      <c r="B9" s="404">
        <f>SUM(C9:N9)</f>
        <v>1386633.3943666667</v>
      </c>
      <c r="C9" s="385">
        <f t="shared" ref="C9:N9" si="2">SUM(C10:C20)</f>
        <v>102906.66333333333</v>
      </c>
      <c r="D9" s="385">
        <f t="shared" si="2"/>
        <v>112483.91046666667</v>
      </c>
      <c r="E9" s="385">
        <f t="shared" si="2"/>
        <v>129851.11546666667</v>
      </c>
      <c r="F9" s="385">
        <f t="shared" si="2"/>
        <v>124351.11546666667</v>
      </c>
      <c r="G9" s="385">
        <f t="shared" si="2"/>
        <v>103162.06546666667</v>
      </c>
      <c r="H9" s="385">
        <f t="shared" si="2"/>
        <v>106230.32546666668</v>
      </c>
      <c r="I9" s="385">
        <f t="shared" si="2"/>
        <v>114809.43736666668</v>
      </c>
      <c r="J9" s="385">
        <f t="shared" si="2"/>
        <v>108120.57146666668</v>
      </c>
      <c r="K9" s="385">
        <f t="shared" si="2"/>
        <v>106870.57146666668</v>
      </c>
      <c r="L9" s="385">
        <f t="shared" si="2"/>
        <v>120879.23946666668</v>
      </c>
      <c r="M9" s="385">
        <f t="shared" si="2"/>
        <v>114384.18946666668</v>
      </c>
      <c r="N9" s="408">
        <f t="shared" si="2"/>
        <v>142584.18946666666</v>
      </c>
    </row>
    <row r="10" spans="1:40" s="374" customFormat="1" ht="25.2" customHeight="1" x14ac:dyDescent="0.3">
      <c r="A10" s="386" t="s">
        <v>55</v>
      </c>
      <c r="B10" s="379">
        <f>SUM(C10:N10)</f>
        <v>410635.67999999993</v>
      </c>
      <c r="C10" s="387">
        <f>'[2]Orçamento 2026'!D74</f>
        <v>27197.48</v>
      </c>
      <c r="D10" s="387">
        <f>'[2]Orçamento 2026'!E74</f>
        <v>34236.379999999997</v>
      </c>
      <c r="E10" s="387">
        <f>'[2]Orçamento 2026'!F74</f>
        <v>34236.379999999997</v>
      </c>
      <c r="F10" s="387">
        <f>'[2]Orçamento 2026'!G74</f>
        <v>34236.379999999997</v>
      </c>
      <c r="G10" s="387">
        <f>'[2]Orçamento 2026'!H74</f>
        <v>34236.379999999997</v>
      </c>
      <c r="H10" s="387">
        <f>'[2]Orçamento 2026'!I74</f>
        <v>35213.24</v>
      </c>
      <c r="I10" s="387">
        <f>'[2]Orçamento 2026'!J74</f>
        <v>35213.24</v>
      </c>
      <c r="J10" s="387">
        <f>'[2]Orçamento 2026'!K74</f>
        <v>35213.24</v>
      </c>
      <c r="K10" s="387">
        <f>'[2]Orçamento 2026'!L74</f>
        <v>35213.24</v>
      </c>
      <c r="L10" s="387">
        <f>'[2]Orçamento 2026'!M74</f>
        <v>35213.24</v>
      </c>
      <c r="M10" s="387">
        <f>'[2]Orçamento 2026'!N74</f>
        <v>35213.24</v>
      </c>
      <c r="N10" s="409">
        <f>'[2]Orçamento 2026'!O74</f>
        <v>35213.24</v>
      </c>
    </row>
    <row r="11" spans="1:40" s="374" customFormat="1" ht="25.2" customHeight="1" x14ac:dyDescent="0.3">
      <c r="A11" s="386" t="s">
        <v>56</v>
      </c>
      <c r="B11" s="379">
        <f t="shared" ref="B11:B20" si="3">SUM(C11:N11)</f>
        <v>10127.401800000001</v>
      </c>
      <c r="C11" s="387">
        <f>'[2]Orçamento 2026'!D81</f>
        <v>890</v>
      </c>
      <c r="D11" s="387">
        <f>'[2]Orçamento 2026'!E81</f>
        <v>839.76380000000006</v>
      </c>
      <c r="E11" s="387">
        <f>'[2]Orçamento 2026'!F81</f>
        <v>839.76380000000006</v>
      </c>
      <c r="F11" s="387">
        <f>'[2]Orçamento 2026'!G81</f>
        <v>839.76380000000006</v>
      </c>
      <c r="G11" s="387">
        <f>'[2]Orçamento 2026'!H81</f>
        <v>839.76380000000006</v>
      </c>
      <c r="H11" s="387">
        <f>'[2]Orçamento 2026'!I81</f>
        <v>839.76380000000006</v>
      </c>
      <c r="I11" s="387">
        <f>'[2]Orçamento 2026'!J81</f>
        <v>839.76380000000006</v>
      </c>
      <c r="J11" s="387">
        <f>'[2]Orçamento 2026'!K81</f>
        <v>839.76380000000006</v>
      </c>
      <c r="K11" s="387">
        <f>'[2]Orçamento 2026'!L81</f>
        <v>839.76380000000006</v>
      </c>
      <c r="L11" s="387">
        <f>'[2]Orçamento 2026'!M81</f>
        <v>839.76380000000006</v>
      </c>
      <c r="M11" s="387">
        <f>'[2]Orçamento 2026'!N81</f>
        <v>839.76380000000006</v>
      </c>
      <c r="N11" s="409">
        <f>'[2]Orçamento 2026'!O81</f>
        <v>839.76380000000006</v>
      </c>
    </row>
    <row r="12" spans="1:40" s="374" customFormat="1" ht="25.2" customHeight="1" x14ac:dyDescent="0.3">
      <c r="A12" s="386" t="s">
        <v>57</v>
      </c>
      <c r="B12" s="379">
        <f t="shared" si="3"/>
        <v>74921.849999999977</v>
      </c>
      <c r="C12" s="387">
        <f>'[2]Orçamento 2026'!D84</f>
        <v>7255</v>
      </c>
      <c r="D12" s="387">
        <f>'[2]Orçamento 2026'!E84</f>
        <v>5505</v>
      </c>
      <c r="E12" s="387">
        <f>'[2]Orçamento 2026'!F84</f>
        <v>5742.2049999999999</v>
      </c>
      <c r="F12" s="387">
        <f>'[2]Orçamento 2026'!G84</f>
        <v>7292.2049999999999</v>
      </c>
      <c r="G12" s="387">
        <f>'[2]Orçamento 2026'!H84</f>
        <v>5742.2049999999999</v>
      </c>
      <c r="H12" s="387">
        <f>'[2]Orçamento 2026'!I84</f>
        <v>5683.6049999999996</v>
      </c>
      <c r="I12" s="387">
        <f>'[2]Orçamento 2026'!J84</f>
        <v>7333.6049999999996</v>
      </c>
      <c r="J12" s="387">
        <f>'[2]Orçamento 2026'!K84</f>
        <v>5683.6049999999996</v>
      </c>
      <c r="K12" s="387">
        <f>'[2]Orçamento 2026'!L84</f>
        <v>5783.6049999999996</v>
      </c>
      <c r="L12" s="387">
        <f>'[2]Orçamento 2026'!M84</f>
        <v>7333.6049999999996</v>
      </c>
      <c r="M12" s="387">
        <f>'[2]Orçamento 2026'!N84</f>
        <v>5783.6049999999996</v>
      </c>
      <c r="N12" s="409">
        <f>'[2]Orçamento 2026'!O84</f>
        <v>5783.6049999999996</v>
      </c>
    </row>
    <row r="13" spans="1:40" s="374" customFormat="1" ht="25.2" customHeight="1" x14ac:dyDescent="0.3">
      <c r="A13" s="386" t="s">
        <v>58</v>
      </c>
      <c r="B13" s="379">
        <f t="shared" si="3"/>
        <v>287104.88299999991</v>
      </c>
      <c r="C13" s="387">
        <f>'Orçamento 2026'!D98</f>
        <v>23240.799999999999</v>
      </c>
      <c r="D13" s="387">
        <f>'Orçamento 2026'!E98</f>
        <v>23035.8</v>
      </c>
      <c r="E13" s="387">
        <f>'Orçamento 2026'!F98</f>
        <v>22815.8</v>
      </c>
      <c r="F13" s="387">
        <f>'Orçamento 2026'!G98</f>
        <v>23115.8</v>
      </c>
      <c r="G13" s="387">
        <f>'Orçamento 2026'!H98</f>
        <v>22815.8</v>
      </c>
      <c r="H13" s="387">
        <f>'Orçamento 2026'!I98</f>
        <v>23465.8</v>
      </c>
      <c r="I13" s="387">
        <f>'Orçamento 2026'!J98</f>
        <v>23240.799999999999</v>
      </c>
      <c r="J13" s="387">
        <f>'Orçamento 2026'!K98</f>
        <v>24015.8</v>
      </c>
      <c r="K13" s="387">
        <f>'Orçamento 2026'!L98</f>
        <v>22815.8</v>
      </c>
      <c r="L13" s="387">
        <f>'Orçamento 2026'!M98</f>
        <v>23477.561000000002</v>
      </c>
      <c r="M13" s="387">
        <f>'Orçamento 2026'!N98</f>
        <v>27532.561000000002</v>
      </c>
      <c r="N13" s="387">
        <f>'Orçamento 2026'!O98</f>
        <v>27532.561000000002</v>
      </c>
    </row>
    <row r="14" spans="1:40" s="374" customFormat="1" ht="25.2" customHeight="1" x14ac:dyDescent="0.3">
      <c r="A14" s="386" t="s">
        <v>59</v>
      </c>
      <c r="B14" s="379">
        <f t="shared" si="3"/>
        <v>94659.531000000017</v>
      </c>
      <c r="C14" s="387">
        <f>'[2]Orçamento 2026'!D104</f>
        <v>6426.58</v>
      </c>
      <c r="D14" s="387">
        <f>'[2]Orçamento 2026'!E104</f>
        <v>6776.58</v>
      </c>
      <c r="E14" s="387">
        <f>'Orçamento 2026'!F104</f>
        <v>7626.58</v>
      </c>
      <c r="F14" s="387">
        <f>'Orçamento 2026'!G104</f>
        <v>7626.58</v>
      </c>
      <c r="G14" s="387">
        <f>'Orçamento 2026'!H104</f>
        <v>7626.58</v>
      </c>
      <c r="H14" s="387">
        <f>'Orçamento 2026'!I104</f>
        <v>7626.58</v>
      </c>
      <c r="I14" s="387">
        <f>'Orçamento 2026'!J104</f>
        <v>7626.58</v>
      </c>
      <c r="J14" s="387">
        <f>'Orçamento 2026'!K104</f>
        <v>7626.58</v>
      </c>
      <c r="K14" s="387">
        <f>'Orçamento 2026'!L104</f>
        <v>7626.58</v>
      </c>
      <c r="L14" s="387">
        <f>'Orçamento 2026'!M104</f>
        <v>7823.4369999999999</v>
      </c>
      <c r="M14" s="387">
        <f>'Orçamento 2026'!N104</f>
        <v>10123.437000000002</v>
      </c>
      <c r="N14" s="387">
        <f>'Orçamento 2026'!O104</f>
        <v>10123.437000000002</v>
      </c>
    </row>
    <row r="15" spans="1:40" s="374" customFormat="1" ht="25.2" customHeight="1" x14ac:dyDescent="0.3">
      <c r="A15" s="388" t="s">
        <v>60</v>
      </c>
      <c r="B15" s="379">
        <f t="shared" si="3"/>
        <v>91084.048566666679</v>
      </c>
      <c r="C15" s="387">
        <f>'[2]Orçamento 2026'!D112</f>
        <v>2996.8033333333333</v>
      </c>
      <c r="D15" s="387">
        <f>'[2]Orçamento 2026'!E112</f>
        <v>14690.386666666667</v>
      </c>
      <c r="E15" s="387">
        <f>'[2]Orçamento 2026'!F112</f>
        <v>14690.386666666667</v>
      </c>
      <c r="F15" s="387">
        <f>'[2]Orçamento 2026'!G112</f>
        <v>14690.386666666667</v>
      </c>
      <c r="G15" s="387">
        <f>'[2]Orçamento 2026'!H112</f>
        <v>3001.336666666667</v>
      </c>
      <c r="H15" s="387">
        <f>'[2]Orçamento 2026'!I112</f>
        <v>3001.336666666667</v>
      </c>
      <c r="I15" s="387">
        <f>'[2]Orçamento 2026'!J112</f>
        <v>5655.4485666666678</v>
      </c>
      <c r="J15" s="387">
        <f>'[2]Orçamento 2026'!K112</f>
        <v>5691.5826666666671</v>
      </c>
      <c r="K15" s="387">
        <f>'[2]Orçamento 2026'!L112</f>
        <v>5691.5826666666671</v>
      </c>
      <c r="L15" s="387">
        <f>'[2]Orçamento 2026'!M112</f>
        <v>9791.6326666666664</v>
      </c>
      <c r="M15" s="387">
        <f>'[2]Orçamento 2026'!N112</f>
        <v>5491.5826666666671</v>
      </c>
      <c r="N15" s="409">
        <f>'[2]Orçamento 2026'!O112</f>
        <v>5691.5826666666671</v>
      </c>
    </row>
    <row r="16" spans="1:40" s="374" customFormat="1" ht="25.2" customHeight="1" x14ac:dyDescent="0.3">
      <c r="A16" s="388" t="s">
        <v>61</v>
      </c>
      <c r="B16" s="379">
        <f t="shared" si="3"/>
        <v>0</v>
      </c>
      <c r="C16" s="387"/>
      <c r="D16" s="387"/>
      <c r="E16" s="387"/>
      <c r="F16" s="387"/>
      <c r="G16" s="387"/>
      <c r="H16" s="387"/>
      <c r="I16" s="387"/>
      <c r="J16" s="387"/>
      <c r="K16" s="387"/>
      <c r="L16" s="387"/>
      <c r="M16" s="387"/>
      <c r="N16" s="409"/>
    </row>
    <row r="17" spans="1:40" s="374" customFormat="1" ht="25.2" customHeight="1" x14ac:dyDescent="0.3">
      <c r="A17" s="388" t="s">
        <v>62</v>
      </c>
      <c r="B17" s="379">
        <f t="shared" si="3"/>
        <v>96000</v>
      </c>
      <c r="C17" s="387">
        <f>'[2]Orçamento 2026'!D125</f>
        <v>4500</v>
      </c>
      <c r="D17" s="387">
        <f>'[2]Orçamento 2026'!E125</f>
        <v>4500</v>
      </c>
      <c r="E17" s="387">
        <f>'[2]Orçamento 2026'!F125</f>
        <v>6000</v>
      </c>
      <c r="F17" s="387">
        <f>'[2]Orçamento 2026'!G125</f>
        <v>6000</v>
      </c>
      <c r="G17" s="387">
        <f>'[2]Orçamento 2026'!H125</f>
        <v>6000</v>
      </c>
      <c r="H17" s="387">
        <f>'[2]Orçamento 2026'!I125</f>
        <v>7500</v>
      </c>
      <c r="I17" s="387">
        <f>'[2]Orçamento 2026'!J125</f>
        <v>4500</v>
      </c>
      <c r="J17" s="387">
        <f>'[2]Orçamento 2026'!K125</f>
        <v>6000</v>
      </c>
      <c r="K17" s="387">
        <f>'[2]Orçamento 2026'!L125</f>
        <v>6000</v>
      </c>
      <c r="L17" s="387">
        <f>'[2]Orçamento 2026'!M125</f>
        <v>6000</v>
      </c>
      <c r="M17" s="387">
        <f>'[2]Orçamento 2026'!N125</f>
        <v>4500</v>
      </c>
      <c r="N17" s="409">
        <f>'[2]Orçamento 2026'!O125</f>
        <v>34500</v>
      </c>
    </row>
    <row r="18" spans="1:40" s="374" customFormat="1" ht="25.2" customHeight="1" x14ac:dyDescent="0.3">
      <c r="A18" s="388" t="s">
        <v>63</v>
      </c>
      <c r="B18" s="379">
        <f t="shared" si="3"/>
        <v>1200</v>
      </c>
      <c r="C18" s="387">
        <f>'[2]Orçamento 2026'!D152</f>
        <v>100</v>
      </c>
      <c r="D18" s="387">
        <f>'[2]Orçamento 2026'!E152</f>
        <v>100</v>
      </c>
      <c r="E18" s="387">
        <f>'[2]Orçamento 2026'!F152</f>
        <v>100</v>
      </c>
      <c r="F18" s="387">
        <f>'[2]Orçamento 2026'!G152</f>
        <v>100</v>
      </c>
      <c r="G18" s="387">
        <f>'[2]Orçamento 2026'!H152</f>
        <v>100</v>
      </c>
      <c r="H18" s="387">
        <f>'[2]Orçamento 2026'!I152</f>
        <v>100</v>
      </c>
      <c r="I18" s="387">
        <f>'[2]Orçamento 2026'!J152</f>
        <v>100</v>
      </c>
      <c r="J18" s="387">
        <f>'[2]Orçamento 2026'!K152</f>
        <v>100</v>
      </c>
      <c r="K18" s="387">
        <f>'[2]Orçamento 2026'!L152</f>
        <v>100</v>
      </c>
      <c r="L18" s="387">
        <f>'[2]Orçamento 2026'!M152</f>
        <v>100</v>
      </c>
      <c r="M18" s="387">
        <f>'[2]Orçamento 2026'!N152</f>
        <v>100</v>
      </c>
      <c r="N18" s="409">
        <f>'[2]Orçamento 2026'!O152</f>
        <v>100</v>
      </c>
    </row>
    <row r="19" spans="1:40" s="374" customFormat="1" ht="25.2" customHeight="1" x14ac:dyDescent="0.3">
      <c r="A19" s="388" t="str">
        <f>'[3]Areas Sintetico atualizado'!A21</f>
        <v>Gestão do Conhecimento</v>
      </c>
      <c r="B19" s="379">
        <f t="shared" si="3"/>
        <v>2300</v>
      </c>
      <c r="C19" s="387">
        <f>'[2]Orçamento 2026'!D146</f>
        <v>0</v>
      </c>
      <c r="D19" s="387">
        <f>'[2]Orçamento 2026'!E146</f>
        <v>0</v>
      </c>
      <c r="E19" s="387">
        <f>'[2]Orçamento 2026'!F146</f>
        <v>0</v>
      </c>
      <c r="F19" s="387">
        <f>'[2]Orçamento 2026'!G146</f>
        <v>150</v>
      </c>
      <c r="G19" s="387">
        <f>'[2]Orçamento 2026'!H146</f>
        <v>0</v>
      </c>
      <c r="H19" s="387">
        <f>'[2]Orçamento 2026'!I146</f>
        <v>0</v>
      </c>
      <c r="I19" s="387">
        <f>'[2]Orçamento 2026'!J146</f>
        <v>0</v>
      </c>
      <c r="J19" s="387">
        <f>'[2]Orçamento 2026'!K146</f>
        <v>150</v>
      </c>
      <c r="K19" s="387">
        <f>'[2]Orçamento 2026'!L146</f>
        <v>0</v>
      </c>
      <c r="L19" s="387">
        <f>'[2]Orçamento 2026'!M146</f>
        <v>0</v>
      </c>
      <c r="M19" s="387">
        <f>'[2]Orçamento 2026'!N146</f>
        <v>2000</v>
      </c>
      <c r="N19" s="409">
        <f>'[2]Orçamento 2026'!O146</f>
        <v>0</v>
      </c>
    </row>
    <row r="20" spans="1:40" s="374" customFormat="1" ht="25.2" customHeight="1" thickBot="1" x14ac:dyDescent="0.35">
      <c r="A20" s="388" t="s">
        <v>64</v>
      </c>
      <c r="B20" s="379">
        <f t="shared" si="3"/>
        <v>318600</v>
      </c>
      <c r="C20" s="387">
        <f>'[2]Orçamento 2026'!D162</f>
        <v>30300</v>
      </c>
      <c r="D20" s="387">
        <f>'[2]Orçamento 2026'!E162</f>
        <v>22800</v>
      </c>
      <c r="E20" s="387">
        <f>'[2]Orçamento 2026'!F162</f>
        <v>37800</v>
      </c>
      <c r="F20" s="387">
        <f>'[2]Orçamento 2026'!G162</f>
        <v>30300</v>
      </c>
      <c r="G20" s="387">
        <f>'[2]Orçamento 2026'!H162</f>
        <v>22800</v>
      </c>
      <c r="H20" s="387">
        <f>'[2]Orçamento 2026'!I162</f>
        <v>22800</v>
      </c>
      <c r="I20" s="387">
        <f>'[2]Orçamento 2026'!J162</f>
        <v>30300</v>
      </c>
      <c r="J20" s="387">
        <f>'[2]Orçamento 2026'!K162</f>
        <v>22800</v>
      </c>
      <c r="K20" s="387">
        <f>'[2]Orçamento 2026'!L162</f>
        <v>22800</v>
      </c>
      <c r="L20" s="387">
        <f>'[2]Orçamento 2026'!M162</f>
        <v>30300</v>
      </c>
      <c r="M20" s="387">
        <f>'[2]Orçamento 2026'!N162</f>
        <v>22800</v>
      </c>
      <c r="N20" s="409">
        <f>'[2]Orçamento 2026'!O162</f>
        <v>22800</v>
      </c>
    </row>
    <row r="21" spans="1:40" s="391" customFormat="1" ht="25.2" customHeight="1" thickBot="1" x14ac:dyDescent="0.35">
      <c r="A21" s="389" t="s">
        <v>65</v>
      </c>
      <c r="B21" s="390">
        <f>B3-B5-B9</f>
        <v>4234455.9978833329</v>
      </c>
      <c r="C21" s="390">
        <f t="shared" ref="C21:N21" si="4">C3-C5-C9</f>
        <v>352973.41666666663</v>
      </c>
      <c r="D21" s="390">
        <f t="shared" si="4"/>
        <v>347496.16953333328</v>
      </c>
      <c r="E21" s="390">
        <f t="shared" si="4"/>
        <v>342745.9445333333</v>
      </c>
      <c r="F21" s="390">
        <f t="shared" si="4"/>
        <v>343445.9445333333</v>
      </c>
      <c r="G21" s="390">
        <f t="shared" si="4"/>
        <v>369434.99453333335</v>
      </c>
      <c r="H21" s="390">
        <f t="shared" si="4"/>
        <v>366366.73453333334</v>
      </c>
      <c r="I21" s="390">
        <f t="shared" si="4"/>
        <v>352987.62263333332</v>
      </c>
      <c r="J21" s="390">
        <f t="shared" si="4"/>
        <v>364476.48853333329</v>
      </c>
      <c r="K21" s="390">
        <f t="shared" si="4"/>
        <v>365726.48853333329</v>
      </c>
      <c r="L21" s="390">
        <f t="shared" si="4"/>
        <v>344631.56628333335</v>
      </c>
      <c r="M21" s="390">
        <f t="shared" si="4"/>
        <v>356185.8137833334</v>
      </c>
      <c r="N21" s="410">
        <f t="shared" si="4"/>
        <v>327984.8137833334</v>
      </c>
    </row>
    <row r="22" spans="1:40" s="391" customFormat="1" ht="25.2" customHeight="1" thickBot="1" x14ac:dyDescent="0.35">
      <c r="A22" s="392" t="s">
        <v>66</v>
      </c>
      <c r="B22" s="411">
        <f>B21/B3</f>
        <v>0.52536674650975967</v>
      </c>
      <c r="C22" s="393">
        <f t="shared" ref="C22:N22" si="5">C21/C3</f>
        <v>0.52551873188328169</v>
      </c>
      <c r="D22" s="393">
        <f t="shared" si="5"/>
        <v>0.51736402155154315</v>
      </c>
      <c r="E22" s="393">
        <f t="shared" si="5"/>
        <v>0.51029172630128172</v>
      </c>
      <c r="F22" s="393">
        <f t="shared" si="5"/>
        <v>0.51133390991893835</v>
      </c>
      <c r="G22" s="393">
        <f t="shared" si="5"/>
        <v>0.55002728441673798</v>
      </c>
      <c r="H22" s="393">
        <f t="shared" si="5"/>
        <v>0.54545915540715051</v>
      </c>
      <c r="I22" s="393">
        <f t="shared" si="5"/>
        <v>0.52553988220575731</v>
      </c>
      <c r="J22" s="393">
        <f t="shared" si="5"/>
        <v>0.54264489338637756</v>
      </c>
      <c r="K22" s="393">
        <f t="shared" si="5"/>
        <v>0.54450593556076454</v>
      </c>
      <c r="L22" s="393">
        <f t="shared" si="5"/>
        <v>0.51309910358263466</v>
      </c>
      <c r="M22" s="393">
        <f t="shared" si="5"/>
        <v>0.53030145709527821</v>
      </c>
      <c r="N22" s="393">
        <f t="shared" si="5"/>
        <v>0.48831485680737052</v>
      </c>
    </row>
    <row r="23" spans="1:40" s="396" customFormat="1" ht="25.2" customHeight="1" thickBot="1" x14ac:dyDescent="0.35">
      <c r="A23" s="389" t="s">
        <v>67</v>
      </c>
      <c r="B23" s="379">
        <f>C23+D23+E23+F23+G23+H23+I23+J23+K23+L23+M23+N23</f>
        <v>1209000.0060000001</v>
      </c>
      <c r="C23" s="394">
        <f>(C3*15%)</f>
        <v>100750.00050000001</v>
      </c>
      <c r="D23" s="394">
        <f t="shared" ref="D23:N23" si="6">(D3*15%)</f>
        <v>100750.00050000001</v>
      </c>
      <c r="E23" s="394">
        <f t="shared" si="6"/>
        <v>100750.00050000001</v>
      </c>
      <c r="F23" s="394">
        <f t="shared" si="6"/>
        <v>100750.00050000001</v>
      </c>
      <c r="G23" s="394">
        <f t="shared" si="6"/>
        <v>100750.00050000001</v>
      </c>
      <c r="H23" s="394">
        <f t="shared" si="6"/>
        <v>100750.00050000001</v>
      </c>
      <c r="I23" s="394">
        <f t="shared" si="6"/>
        <v>100750.00050000001</v>
      </c>
      <c r="J23" s="394">
        <f t="shared" si="6"/>
        <v>100750.00050000001</v>
      </c>
      <c r="K23" s="394">
        <f t="shared" si="6"/>
        <v>100750.00050000001</v>
      </c>
      <c r="L23" s="394">
        <f t="shared" si="6"/>
        <v>100750.00050000001</v>
      </c>
      <c r="M23" s="394">
        <f t="shared" si="6"/>
        <v>100750.00050000001</v>
      </c>
      <c r="N23" s="394">
        <f t="shared" si="6"/>
        <v>100750.00050000001</v>
      </c>
    </row>
    <row r="24" spans="1:40" s="396" customFormat="1" ht="25.2" customHeight="1" thickBot="1" x14ac:dyDescent="0.35">
      <c r="A24" s="389" t="s">
        <v>68</v>
      </c>
      <c r="B24" s="379">
        <f>SUM(C24:N24)</f>
        <v>97404</v>
      </c>
      <c r="C24" s="395">
        <v>8117</v>
      </c>
      <c r="D24" s="395">
        <v>8117</v>
      </c>
      <c r="E24" s="395">
        <v>8117</v>
      </c>
      <c r="F24" s="395">
        <v>8117</v>
      </c>
      <c r="G24" s="395">
        <v>8117</v>
      </c>
      <c r="H24" s="395">
        <v>8117</v>
      </c>
      <c r="I24" s="395">
        <v>8117</v>
      </c>
      <c r="J24" s="395">
        <v>8117</v>
      </c>
      <c r="K24" s="395">
        <v>8117</v>
      </c>
      <c r="L24" s="395">
        <v>8117</v>
      </c>
      <c r="M24" s="395">
        <v>8117</v>
      </c>
      <c r="N24" s="412">
        <v>8117</v>
      </c>
    </row>
    <row r="25" spans="1:40" s="391" customFormat="1" ht="25.2" customHeight="1" thickBot="1" x14ac:dyDescent="0.35">
      <c r="A25" s="389" t="s">
        <v>69</v>
      </c>
      <c r="B25" s="413">
        <f>B21-B23-B24</f>
        <v>2928051.9918833328</v>
      </c>
      <c r="C25" s="390">
        <f t="shared" ref="C25:N25" si="7">C21-C23-C24</f>
        <v>244106.4161666666</v>
      </c>
      <c r="D25" s="390">
        <f t="shared" si="7"/>
        <v>238629.16903333325</v>
      </c>
      <c r="E25" s="390">
        <f t="shared" si="7"/>
        <v>233878.94403333328</v>
      </c>
      <c r="F25" s="390">
        <f t="shared" si="7"/>
        <v>234578.94403333328</v>
      </c>
      <c r="G25" s="390">
        <f t="shared" si="7"/>
        <v>260567.99403333332</v>
      </c>
      <c r="H25" s="390">
        <f t="shared" si="7"/>
        <v>257499.73403333331</v>
      </c>
      <c r="I25" s="390">
        <f t="shared" si="7"/>
        <v>244120.62213333329</v>
      </c>
      <c r="J25" s="390">
        <f t="shared" si="7"/>
        <v>255609.48803333327</v>
      </c>
      <c r="K25" s="390">
        <f t="shared" si="7"/>
        <v>256859.48803333327</v>
      </c>
      <c r="L25" s="390">
        <f t="shared" si="7"/>
        <v>235764.56578333332</v>
      </c>
      <c r="M25" s="390">
        <f t="shared" si="7"/>
        <v>247318.81328333338</v>
      </c>
      <c r="N25" s="410">
        <f t="shared" si="7"/>
        <v>219117.81328333338</v>
      </c>
    </row>
    <row r="26" spans="1:40" s="391" customFormat="1" ht="25.2" customHeight="1" thickBot="1" x14ac:dyDescent="0.35">
      <c r="A26" s="392" t="s">
        <v>70</v>
      </c>
      <c r="B26" s="414">
        <f>B25/B3</f>
        <v>0.36328188304616099</v>
      </c>
      <c r="C26" s="393">
        <f t="shared" ref="C26:N26" si="8">C25/C3</f>
        <v>0.36343386841968289</v>
      </c>
      <c r="D26" s="393">
        <f t="shared" si="8"/>
        <v>0.35527915808794447</v>
      </c>
      <c r="E26" s="393">
        <f t="shared" si="8"/>
        <v>0.34820686283768293</v>
      </c>
      <c r="F26" s="393">
        <f t="shared" si="8"/>
        <v>0.34924904645533961</v>
      </c>
      <c r="G26" s="393">
        <f t="shared" si="8"/>
        <v>0.3879424209531393</v>
      </c>
      <c r="H26" s="393">
        <f t="shared" si="8"/>
        <v>0.38337429194355183</v>
      </c>
      <c r="I26" s="393">
        <f t="shared" si="8"/>
        <v>0.36345501874215863</v>
      </c>
      <c r="J26" s="393">
        <f t="shared" si="8"/>
        <v>0.38056002992277888</v>
      </c>
      <c r="K26" s="393">
        <f t="shared" si="8"/>
        <v>0.3824210720971658</v>
      </c>
      <c r="L26" s="393">
        <f t="shared" si="8"/>
        <v>0.35101424011903598</v>
      </c>
      <c r="M26" s="393">
        <f t="shared" si="8"/>
        <v>0.36821659363167947</v>
      </c>
      <c r="N26" s="393">
        <f t="shared" si="8"/>
        <v>0.32622999334377178</v>
      </c>
    </row>
    <row r="27" spans="1:40" s="476" customFormat="1" ht="25.2" customHeight="1" x14ac:dyDescent="0.3">
      <c r="A27" s="472" t="s">
        <v>71</v>
      </c>
      <c r="B27" s="471">
        <f>B25*10%</f>
        <v>292805.1991883333</v>
      </c>
      <c r="C27" s="473">
        <f t="shared" ref="C27:N27" si="9">C25*10%</f>
        <v>24410.64161666666</v>
      </c>
      <c r="D27" s="473">
        <f t="shared" si="9"/>
        <v>23862.916903333327</v>
      </c>
      <c r="E27" s="473">
        <f t="shared" si="9"/>
        <v>23387.894403333328</v>
      </c>
      <c r="F27" s="473">
        <f t="shared" si="9"/>
        <v>23457.894403333328</v>
      </c>
      <c r="G27" s="473">
        <f t="shared" si="9"/>
        <v>26056.799403333334</v>
      </c>
      <c r="H27" s="473">
        <f t="shared" si="9"/>
        <v>25749.973403333333</v>
      </c>
      <c r="I27" s="473">
        <f t="shared" si="9"/>
        <v>24412.062213333331</v>
      </c>
      <c r="J27" s="473">
        <f t="shared" si="9"/>
        <v>25560.948803333329</v>
      </c>
      <c r="K27" s="473">
        <f t="shared" si="9"/>
        <v>25685.948803333329</v>
      </c>
      <c r="L27" s="473">
        <f t="shared" si="9"/>
        <v>23576.456578333335</v>
      </c>
      <c r="M27" s="473">
        <f t="shared" si="9"/>
        <v>24731.88132833334</v>
      </c>
      <c r="N27" s="474">
        <f t="shared" si="9"/>
        <v>21911.781328333338</v>
      </c>
      <c r="O27" s="475"/>
      <c r="P27" s="475"/>
      <c r="Q27" s="475"/>
      <c r="R27" s="475"/>
      <c r="S27" s="475"/>
      <c r="T27" s="475"/>
      <c r="U27" s="475"/>
      <c r="V27" s="475"/>
      <c r="W27" s="475"/>
      <c r="X27" s="475"/>
      <c r="Y27" s="475"/>
      <c r="Z27" s="475"/>
      <c r="AA27" s="475"/>
      <c r="AB27" s="475"/>
      <c r="AC27" s="475"/>
      <c r="AD27" s="475"/>
      <c r="AE27" s="475"/>
      <c r="AF27" s="475"/>
      <c r="AG27" s="475"/>
      <c r="AH27" s="475"/>
      <c r="AI27" s="475"/>
      <c r="AJ27" s="475"/>
      <c r="AK27" s="475"/>
      <c r="AL27" s="475"/>
      <c r="AM27" s="475"/>
      <c r="AN27" s="475"/>
    </row>
    <row r="29" spans="1:40" x14ac:dyDescent="0.25">
      <c r="A29" s="562"/>
      <c r="B29" s="477"/>
      <c r="C29" s="477"/>
      <c r="D29" s="477"/>
      <c r="E29" s="477"/>
      <c r="F29" s="477"/>
      <c r="G29" s="477"/>
      <c r="H29" s="477"/>
      <c r="I29" s="477"/>
      <c r="J29" s="477"/>
      <c r="K29" s="477"/>
      <c r="L29" s="477"/>
      <c r="M29" s="477"/>
      <c r="N29" s="477"/>
    </row>
    <row r="30" spans="1:40" x14ac:dyDescent="0.25">
      <c r="A30" s="562"/>
      <c r="B30" s="477"/>
      <c r="C30" s="477"/>
      <c r="D30" s="477"/>
      <c r="E30" s="477"/>
      <c r="F30" s="477"/>
      <c r="G30" s="477"/>
      <c r="H30" s="477"/>
      <c r="I30" s="477"/>
      <c r="J30" s="477"/>
      <c r="K30" s="477"/>
      <c r="L30" s="477"/>
      <c r="M30" s="477"/>
      <c r="N30" s="477"/>
    </row>
    <row r="31" spans="1:40" x14ac:dyDescent="0.25">
      <c r="A31" s="562"/>
      <c r="B31" s="477"/>
      <c r="C31" s="477"/>
      <c r="D31" s="477"/>
      <c r="E31" s="477"/>
      <c r="F31" s="477"/>
      <c r="G31" s="477"/>
      <c r="H31" s="477"/>
      <c r="I31" s="477"/>
      <c r="J31" s="477"/>
      <c r="K31" s="477"/>
      <c r="L31" s="477"/>
      <c r="M31" s="477"/>
      <c r="N31" s="477"/>
    </row>
    <row r="32" spans="1:40" x14ac:dyDescent="0.25">
      <c r="A32" s="562"/>
      <c r="B32" s="478"/>
      <c r="C32" s="478"/>
      <c r="D32" s="478"/>
      <c r="E32" s="478"/>
      <c r="F32" s="478"/>
      <c r="G32" s="478"/>
      <c r="H32" s="478"/>
      <c r="I32" s="478"/>
      <c r="J32" s="478"/>
      <c r="K32" s="478"/>
      <c r="L32" s="478"/>
      <c r="M32" s="478"/>
      <c r="N32" s="478"/>
    </row>
    <row r="34" spans="2:2" x14ac:dyDescent="0.25">
      <c r="B34" s="477"/>
    </row>
    <row r="35" spans="2:2" x14ac:dyDescent="0.25">
      <c r="B35" s="478"/>
    </row>
    <row r="95" spans="2:14" x14ac:dyDescent="0.25">
      <c r="M95" s="415"/>
    </row>
    <row r="96" spans="2:14" x14ac:dyDescent="0.25">
      <c r="B96" s="398">
        <f>SUM(B97:B102)</f>
        <v>0</v>
      </c>
      <c r="D96" s="363">
        <f>SUM(D97:D102)</f>
        <v>0</v>
      </c>
      <c r="E96" s="363">
        <f t="shared" ref="E96:N96" si="10">SUM(E97:E102)</f>
        <v>0</v>
      </c>
      <c r="F96" s="363">
        <f t="shared" si="10"/>
        <v>0</v>
      </c>
      <c r="G96" s="363">
        <f t="shared" si="10"/>
        <v>0</v>
      </c>
      <c r="H96" s="363">
        <f t="shared" si="10"/>
        <v>0</v>
      </c>
      <c r="I96" s="363">
        <f t="shared" si="10"/>
        <v>0</v>
      </c>
      <c r="J96" s="363">
        <f t="shared" si="10"/>
        <v>0</v>
      </c>
      <c r="K96" s="363">
        <f t="shared" si="10"/>
        <v>0</v>
      </c>
      <c r="L96" s="363">
        <f t="shared" si="10"/>
        <v>0</v>
      </c>
      <c r="M96" s="363">
        <f t="shared" si="10"/>
        <v>0</v>
      </c>
      <c r="N96" s="363">
        <f t="shared" si="10"/>
        <v>0</v>
      </c>
    </row>
    <row r="103" spans="1:1" x14ac:dyDescent="0.25">
      <c r="A103" s="397" t="s">
        <v>72</v>
      </c>
    </row>
    <row r="137" spans="2:14" x14ac:dyDescent="0.25">
      <c r="B137" s="398">
        <f>SUM(B138:B141)</f>
        <v>0</v>
      </c>
      <c r="D137" s="363">
        <f>SUM(D138:D141)</f>
        <v>0</v>
      </c>
      <c r="E137" s="363">
        <f t="shared" ref="E137:N137" si="11">SUM(E138:E141)</f>
        <v>0</v>
      </c>
      <c r="F137" s="363">
        <f t="shared" si="11"/>
        <v>0</v>
      </c>
      <c r="G137" s="363">
        <f t="shared" si="11"/>
        <v>0</v>
      </c>
      <c r="H137" s="363">
        <f t="shared" si="11"/>
        <v>0</v>
      </c>
      <c r="I137" s="363">
        <f t="shared" si="11"/>
        <v>0</v>
      </c>
      <c r="J137" s="363">
        <f t="shared" si="11"/>
        <v>0</v>
      </c>
      <c r="K137" s="363">
        <f t="shared" si="11"/>
        <v>0</v>
      </c>
      <c r="L137" s="363">
        <f t="shared" si="11"/>
        <v>0</v>
      </c>
      <c r="M137" s="363">
        <f t="shared" si="11"/>
        <v>0</v>
      </c>
      <c r="N137" s="363">
        <f t="shared" si="11"/>
        <v>0</v>
      </c>
    </row>
    <row r="168" spans="2:14" x14ac:dyDescent="0.25">
      <c r="B168" s="400">
        <f>B4+B26+B51+B67+B73+B76+B90+B96+B103+B142+B152+B116+B137</f>
        <v>0.36328188304616099</v>
      </c>
      <c r="D168" s="401">
        <f t="shared" ref="D168:N168" si="12">D4+D26+D51+D67+D73+D76+D90+D96+D103+D142+D152+D116+D137</f>
        <v>0.35527915808794447</v>
      </c>
      <c r="E168" s="401">
        <f t="shared" si="12"/>
        <v>0.34820686283768293</v>
      </c>
      <c r="F168" s="401">
        <f t="shared" si="12"/>
        <v>0.34924904645533961</v>
      </c>
      <c r="G168" s="401">
        <f t="shared" si="12"/>
        <v>0.3879424209531393</v>
      </c>
      <c r="H168" s="401">
        <f t="shared" si="12"/>
        <v>0.38337429194355183</v>
      </c>
      <c r="I168" s="401">
        <f t="shared" si="12"/>
        <v>0.36345501874215863</v>
      </c>
      <c r="J168" s="401">
        <f t="shared" si="12"/>
        <v>0.38056002992277888</v>
      </c>
      <c r="K168" s="401">
        <f t="shared" si="12"/>
        <v>0.3824210720971658</v>
      </c>
      <c r="L168" s="401">
        <f t="shared" si="12"/>
        <v>0.35101424011903598</v>
      </c>
      <c r="M168" s="401">
        <f t="shared" si="12"/>
        <v>0.36821659363167947</v>
      </c>
      <c r="N168" s="401">
        <f t="shared" si="12"/>
        <v>0.32622999334377178</v>
      </c>
    </row>
  </sheetData>
  <mergeCells count="1">
    <mergeCell ref="A29:A32"/>
  </mergeCells>
  <pageMargins left="0.25" right="0.25" top="0.75" bottom="0.75" header="0.3" footer="0.3"/>
  <pageSetup paperSize="9" fitToWidth="0" orientation="landscape" r:id="rId1"/>
  <colBreaks count="1" manualBreakCount="1">
    <brk id="11" max="71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D6D8-3A1C-490C-A732-17239E83018E}">
  <sheetPr>
    <tabColor rgb="FFFFFF00"/>
  </sheetPr>
  <dimension ref="A1:O205"/>
  <sheetViews>
    <sheetView zoomScaleNormal="100" workbookViewId="0">
      <pane ySplit="2" topLeftCell="A188" activePane="bottomLeft" state="frozen"/>
      <selection activeCell="A60" sqref="A60:XFD62"/>
      <selection pane="bottomLeft" activeCell="D201" sqref="D201:H201"/>
    </sheetView>
  </sheetViews>
  <sheetFormatPr defaultColWidth="9.109375" defaultRowHeight="14.4" x14ac:dyDescent="0.3"/>
  <cols>
    <col min="1" max="1" width="68.88671875" style="416" customWidth="1"/>
    <col min="2" max="2" width="16.6640625" style="416" customWidth="1"/>
    <col min="3" max="3" width="10.33203125" style="416" bestFit="1" customWidth="1"/>
    <col min="4" max="7" width="16.6640625" style="416" customWidth="1"/>
    <col min="8" max="15" width="16.6640625" style="417" customWidth="1"/>
    <col min="16" max="16" width="13.33203125" style="418" customWidth="1"/>
    <col min="17" max="20" width="9.109375" style="418"/>
    <col min="21" max="23" width="9.44140625" style="418" customWidth="1"/>
    <col min="24" max="24" width="4.44140625" style="418" customWidth="1"/>
    <col min="25" max="25" width="9.44140625" style="418" customWidth="1"/>
    <col min="26" max="16384" width="9.109375" style="418"/>
  </cols>
  <sheetData>
    <row r="1" spans="1:15" ht="15" thickBot="1" x14ac:dyDescent="0.35">
      <c r="C1" s="399">
        <v>4.4999999999999998E-2</v>
      </c>
    </row>
    <row r="2" spans="1:15" s="421" customFormat="1" ht="37.200000000000003" thickTop="1" thickBot="1" x14ac:dyDescent="0.35">
      <c r="A2" s="419" t="s">
        <v>73</v>
      </c>
      <c r="B2" s="420" t="s">
        <v>74</v>
      </c>
      <c r="C2" s="420"/>
      <c r="D2" s="420" t="s">
        <v>34</v>
      </c>
      <c r="E2" s="420" t="s">
        <v>35</v>
      </c>
      <c r="F2" s="420" t="s">
        <v>36</v>
      </c>
      <c r="G2" s="420" t="s">
        <v>37</v>
      </c>
      <c r="H2" s="420" t="s">
        <v>38</v>
      </c>
      <c r="I2" s="420" t="s">
        <v>39</v>
      </c>
      <c r="J2" s="420" t="s">
        <v>40</v>
      </c>
      <c r="K2" s="420" t="s">
        <v>41</v>
      </c>
      <c r="L2" s="420" t="s">
        <v>42</v>
      </c>
      <c r="M2" s="420" t="s">
        <v>43</v>
      </c>
      <c r="N2" s="420" t="s">
        <v>44</v>
      </c>
      <c r="O2" s="420" t="s">
        <v>45</v>
      </c>
    </row>
    <row r="3" spans="1:15" s="424" customFormat="1" ht="15" thickTop="1" x14ac:dyDescent="0.3">
      <c r="A3" s="422" t="s">
        <v>75</v>
      </c>
      <c r="B3" s="423">
        <f>SUM(C3:O3)</f>
        <v>8060000.04</v>
      </c>
      <c r="C3" s="423"/>
      <c r="D3" s="423">
        <v>671666.67</v>
      </c>
      <c r="E3" s="423">
        <v>671666.67</v>
      </c>
      <c r="F3" s="423">
        <v>671666.67</v>
      </c>
      <c r="G3" s="423">
        <v>671666.67</v>
      </c>
      <c r="H3" s="423">
        <v>671666.67</v>
      </c>
      <c r="I3" s="423">
        <v>671666.67</v>
      </c>
      <c r="J3" s="423">
        <v>671666.67</v>
      </c>
      <c r="K3" s="423">
        <v>671666.67</v>
      </c>
      <c r="L3" s="423">
        <v>671666.67</v>
      </c>
      <c r="M3" s="423">
        <v>671666.67</v>
      </c>
      <c r="N3" s="423">
        <v>671666.67</v>
      </c>
      <c r="O3" s="423">
        <v>671666.67</v>
      </c>
    </row>
    <row r="4" spans="1:15" s="427" customFormat="1" x14ac:dyDescent="0.3">
      <c r="A4" s="425" t="s">
        <v>76</v>
      </c>
      <c r="B4" s="426">
        <f>SUM(D4:O4)</f>
        <v>0</v>
      </c>
      <c r="C4" s="426"/>
      <c r="D4" s="426"/>
      <c r="E4" s="426"/>
      <c r="F4" s="426"/>
      <c r="G4" s="426"/>
      <c r="H4" s="426"/>
      <c r="I4" s="426"/>
      <c r="J4" s="426"/>
      <c r="K4" s="426"/>
      <c r="L4" s="426"/>
      <c r="M4" s="426"/>
      <c r="N4" s="426"/>
      <c r="O4" s="426"/>
    </row>
    <row r="5" spans="1:15" s="430" customFormat="1" x14ac:dyDescent="0.3">
      <c r="A5" s="422" t="s">
        <v>51</v>
      </c>
      <c r="B5" s="428">
        <f>SUM(D5:O5)</f>
        <v>901597.73424999986</v>
      </c>
      <c r="C5" s="429"/>
      <c r="D5" s="429">
        <f>SUM(D6:D27)</f>
        <v>75454.065000000002</v>
      </c>
      <c r="E5" s="429">
        <f t="shared" ref="E5:O5" si="0">SUM(E6:E27)</f>
        <v>74454.065000000002</v>
      </c>
      <c r="F5" s="429">
        <f t="shared" si="0"/>
        <v>74454.065000000002</v>
      </c>
      <c r="G5" s="429">
        <f t="shared" si="0"/>
        <v>76054.065000000002</v>
      </c>
      <c r="H5" s="429">
        <f t="shared" si="0"/>
        <v>74454.065000000002</v>
      </c>
      <c r="I5" s="429">
        <f t="shared" si="0"/>
        <v>74454.065000000002</v>
      </c>
      <c r="J5" s="429">
        <f t="shared" si="0"/>
        <v>76054.065000000002</v>
      </c>
      <c r="K5" s="429">
        <f t="shared" si="0"/>
        <v>74454.065000000002</v>
      </c>
      <c r="L5" s="429">
        <f t="shared" si="0"/>
        <v>74454.065000000002</v>
      </c>
      <c r="M5" s="429">
        <f t="shared" si="0"/>
        <v>77009.514750000002</v>
      </c>
      <c r="N5" s="429">
        <f t="shared" si="0"/>
        <v>75150.317250000007</v>
      </c>
      <c r="O5" s="429">
        <f t="shared" si="0"/>
        <v>75151.317250000007</v>
      </c>
    </row>
    <row r="6" spans="1:15" x14ac:dyDescent="0.3">
      <c r="A6" s="425" t="s">
        <v>77</v>
      </c>
      <c r="B6" s="432">
        <f>SUM(D6:O6)</f>
        <v>280548</v>
      </c>
      <c r="C6" s="432"/>
      <c r="D6" s="432">
        <f>'[2]Tabela 2025 2026'!Q13</f>
        <v>23379</v>
      </c>
      <c r="E6" s="432">
        <f>D6</f>
        <v>23379</v>
      </c>
      <c r="F6" s="432">
        <f t="shared" ref="F6:L6" si="1">E6</f>
        <v>23379</v>
      </c>
      <c r="G6" s="432">
        <f t="shared" si="1"/>
        <v>23379</v>
      </c>
      <c r="H6" s="432">
        <f t="shared" si="1"/>
        <v>23379</v>
      </c>
      <c r="I6" s="432">
        <f t="shared" si="1"/>
        <v>23379</v>
      </c>
      <c r="J6" s="432">
        <f t="shared" si="1"/>
        <v>23379</v>
      </c>
      <c r="K6" s="432">
        <f t="shared" si="1"/>
        <v>23379</v>
      </c>
      <c r="L6" s="432">
        <f t="shared" si="1"/>
        <v>23379</v>
      </c>
      <c r="M6" s="432">
        <f>L6</f>
        <v>23379</v>
      </c>
      <c r="N6" s="432">
        <f t="shared" ref="N6:O7" si="2">M6</f>
        <v>23379</v>
      </c>
      <c r="O6" s="432">
        <f t="shared" si="2"/>
        <v>23379</v>
      </c>
    </row>
    <row r="7" spans="1:15" x14ac:dyDescent="0.3">
      <c r="A7" s="425" t="s">
        <v>78</v>
      </c>
      <c r="B7" s="432">
        <f t="shared" ref="B7:B27" si="3">SUM(D7:O7)</f>
        <v>19452</v>
      </c>
      <c r="C7" s="432"/>
      <c r="D7" s="432">
        <f>'[2]Tabela 2025 2026'!M14</f>
        <v>1621</v>
      </c>
      <c r="E7" s="432">
        <f t="shared" ref="E7:O14" si="4">D7</f>
        <v>1621</v>
      </c>
      <c r="F7" s="432">
        <f t="shared" si="4"/>
        <v>1621</v>
      </c>
      <c r="G7" s="432">
        <f t="shared" si="4"/>
        <v>1621</v>
      </c>
      <c r="H7" s="432">
        <f t="shared" si="4"/>
        <v>1621</v>
      </c>
      <c r="I7" s="432">
        <f t="shared" si="4"/>
        <v>1621</v>
      </c>
      <c r="J7" s="432">
        <f t="shared" si="4"/>
        <v>1621</v>
      </c>
      <c r="K7" s="432">
        <f t="shared" si="4"/>
        <v>1621</v>
      </c>
      <c r="L7" s="432">
        <f t="shared" si="4"/>
        <v>1621</v>
      </c>
      <c r="M7" s="432">
        <f>L7</f>
        <v>1621</v>
      </c>
      <c r="N7" s="432">
        <f t="shared" si="2"/>
        <v>1621</v>
      </c>
      <c r="O7" s="432">
        <f t="shared" si="2"/>
        <v>1621</v>
      </c>
    </row>
    <row r="8" spans="1:15" x14ac:dyDescent="0.3">
      <c r="A8" s="425" t="s">
        <v>79</v>
      </c>
      <c r="B8" s="432">
        <f t="shared" si="3"/>
        <v>21825.997500000001</v>
      </c>
      <c r="C8" s="432"/>
      <c r="D8" s="432">
        <v>1794.65</v>
      </c>
      <c r="E8" s="432">
        <f t="shared" si="4"/>
        <v>1794.65</v>
      </c>
      <c r="F8" s="432">
        <f t="shared" si="4"/>
        <v>1794.65</v>
      </c>
      <c r="G8" s="432">
        <f t="shared" si="4"/>
        <v>1794.65</v>
      </c>
      <c r="H8" s="432">
        <f t="shared" si="4"/>
        <v>1794.65</v>
      </c>
      <c r="I8" s="432">
        <f t="shared" si="4"/>
        <v>1794.65</v>
      </c>
      <c r="J8" s="432">
        <f t="shared" si="4"/>
        <v>1794.65</v>
      </c>
      <c r="K8" s="432">
        <f t="shared" si="4"/>
        <v>1794.65</v>
      </c>
      <c r="L8" s="432">
        <f t="shared" si="4"/>
        <v>1794.65</v>
      </c>
      <c r="M8" s="433">
        <f>L8+(L8*[2]Premissas!B4)</f>
        <v>2063.8474999999999</v>
      </c>
      <c r="N8" s="432">
        <v>1804.65</v>
      </c>
      <c r="O8" s="432">
        <v>1805.65</v>
      </c>
    </row>
    <row r="9" spans="1:15" x14ac:dyDescent="0.3">
      <c r="A9" s="425" t="s">
        <v>80</v>
      </c>
      <c r="B9" s="432">
        <f t="shared" si="3"/>
        <v>140274</v>
      </c>
      <c r="C9" s="432"/>
      <c r="D9" s="432">
        <f>'[2]Tabela 2025 2026'!Q13/2</f>
        <v>11689.5</v>
      </c>
      <c r="E9" s="432">
        <f t="shared" si="4"/>
        <v>11689.5</v>
      </c>
      <c r="F9" s="432">
        <f t="shared" si="4"/>
        <v>11689.5</v>
      </c>
      <c r="G9" s="432">
        <f t="shared" si="4"/>
        <v>11689.5</v>
      </c>
      <c r="H9" s="432">
        <f t="shared" si="4"/>
        <v>11689.5</v>
      </c>
      <c r="I9" s="432">
        <f t="shared" si="4"/>
        <v>11689.5</v>
      </c>
      <c r="J9" s="432">
        <f t="shared" si="4"/>
        <v>11689.5</v>
      </c>
      <c r="K9" s="432">
        <f t="shared" si="4"/>
        <v>11689.5</v>
      </c>
      <c r="L9" s="432">
        <f t="shared" si="4"/>
        <v>11689.5</v>
      </c>
      <c r="M9" s="432">
        <f t="shared" si="4"/>
        <v>11689.5</v>
      </c>
      <c r="N9" s="432">
        <f t="shared" si="4"/>
        <v>11689.5</v>
      </c>
      <c r="O9" s="432">
        <f t="shared" si="4"/>
        <v>11689.5</v>
      </c>
    </row>
    <row r="10" spans="1:15" x14ac:dyDescent="0.3">
      <c r="A10" s="425" t="s">
        <v>81</v>
      </c>
      <c r="B10" s="432">
        <f t="shared" si="3"/>
        <v>9726</v>
      </c>
      <c r="C10" s="432"/>
      <c r="D10" s="432">
        <f>'[2]Tabela 2025 2026'!M13/2</f>
        <v>810.5</v>
      </c>
      <c r="E10" s="432">
        <f t="shared" si="4"/>
        <v>810.5</v>
      </c>
      <c r="F10" s="432">
        <f t="shared" si="4"/>
        <v>810.5</v>
      </c>
      <c r="G10" s="432">
        <f t="shared" si="4"/>
        <v>810.5</v>
      </c>
      <c r="H10" s="432">
        <f t="shared" si="4"/>
        <v>810.5</v>
      </c>
      <c r="I10" s="432">
        <f t="shared" si="4"/>
        <v>810.5</v>
      </c>
      <c r="J10" s="432">
        <f t="shared" si="4"/>
        <v>810.5</v>
      </c>
      <c r="K10" s="432">
        <f t="shared" si="4"/>
        <v>810.5</v>
      </c>
      <c r="L10" s="432">
        <f t="shared" si="4"/>
        <v>810.5</v>
      </c>
      <c r="M10" s="432">
        <f t="shared" si="4"/>
        <v>810.5</v>
      </c>
      <c r="N10" s="432">
        <f t="shared" si="4"/>
        <v>810.5</v>
      </c>
      <c r="O10" s="432">
        <f t="shared" si="4"/>
        <v>810.5</v>
      </c>
    </row>
    <row r="11" spans="1:15" x14ac:dyDescent="0.3">
      <c r="A11" s="425" t="s">
        <v>82</v>
      </c>
      <c r="B11" s="432">
        <f t="shared" si="3"/>
        <v>20483.175750000006</v>
      </c>
      <c r="C11" s="432"/>
      <c r="D11" s="432">
        <f>(3290.47/2)</f>
        <v>1645.2349999999999</v>
      </c>
      <c r="E11" s="432">
        <f t="shared" si="4"/>
        <v>1645.2349999999999</v>
      </c>
      <c r="F11" s="432">
        <f t="shared" si="4"/>
        <v>1645.2349999999999</v>
      </c>
      <c r="G11" s="432">
        <f t="shared" si="4"/>
        <v>1645.2349999999999</v>
      </c>
      <c r="H11" s="432">
        <f t="shared" si="4"/>
        <v>1645.2349999999999</v>
      </c>
      <c r="I11" s="432">
        <f t="shared" si="4"/>
        <v>1645.2349999999999</v>
      </c>
      <c r="J11" s="432">
        <f t="shared" si="4"/>
        <v>1645.2349999999999</v>
      </c>
      <c r="K11" s="432">
        <f t="shared" si="4"/>
        <v>1645.2349999999999</v>
      </c>
      <c r="L11" s="432">
        <f t="shared" si="4"/>
        <v>1645.2349999999999</v>
      </c>
      <c r="M11" s="433">
        <f>(3290.47/2)*[2]Premissas!B4+'Orçamento 2026'!L11</f>
        <v>1892.0202499999998</v>
      </c>
      <c r="N11" s="432">
        <f>M11</f>
        <v>1892.0202499999998</v>
      </c>
      <c r="O11" s="432">
        <f>N11</f>
        <v>1892.0202499999998</v>
      </c>
    </row>
    <row r="12" spans="1:15" x14ac:dyDescent="0.3">
      <c r="A12" s="425" t="s">
        <v>83</v>
      </c>
      <c r="B12" s="432">
        <f t="shared" si="3"/>
        <v>90448.799999999988</v>
      </c>
      <c r="C12" s="432"/>
      <c r="D12" s="432">
        <f>'[2]Tabela 2025 2026'!Q4</f>
        <v>7537.4</v>
      </c>
      <c r="E12" s="432">
        <f t="shared" si="4"/>
        <v>7537.4</v>
      </c>
      <c r="F12" s="432">
        <f t="shared" si="4"/>
        <v>7537.4</v>
      </c>
      <c r="G12" s="432">
        <f t="shared" si="4"/>
        <v>7537.4</v>
      </c>
      <c r="H12" s="432">
        <f t="shared" si="4"/>
        <v>7537.4</v>
      </c>
      <c r="I12" s="432">
        <f t="shared" si="4"/>
        <v>7537.4</v>
      </c>
      <c r="J12" s="432">
        <f t="shared" si="4"/>
        <v>7537.4</v>
      </c>
      <c r="K12" s="432">
        <f t="shared" si="4"/>
        <v>7537.4</v>
      </c>
      <c r="L12" s="432">
        <f t="shared" si="4"/>
        <v>7537.4</v>
      </c>
      <c r="M12" s="434">
        <f t="shared" si="4"/>
        <v>7537.4</v>
      </c>
      <c r="N12" s="434">
        <f t="shared" si="4"/>
        <v>7537.4</v>
      </c>
      <c r="O12" s="434">
        <f t="shared" si="4"/>
        <v>7537.4</v>
      </c>
    </row>
    <row r="13" spans="1:15" x14ac:dyDescent="0.3">
      <c r="A13" s="425" t="s">
        <v>84</v>
      </c>
      <c r="B13" s="432">
        <f t="shared" si="3"/>
        <v>19452</v>
      </c>
      <c r="C13" s="432"/>
      <c r="D13" s="432">
        <f>'[2]Tabela 2025 2026'!M4</f>
        <v>1621</v>
      </c>
      <c r="E13" s="432">
        <f t="shared" si="4"/>
        <v>1621</v>
      </c>
      <c r="F13" s="432">
        <f t="shared" si="4"/>
        <v>1621</v>
      </c>
      <c r="G13" s="432">
        <f t="shared" si="4"/>
        <v>1621</v>
      </c>
      <c r="H13" s="432">
        <f t="shared" si="4"/>
        <v>1621</v>
      </c>
      <c r="I13" s="432">
        <f t="shared" si="4"/>
        <v>1621</v>
      </c>
      <c r="J13" s="432">
        <f t="shared" si="4"/>
        <v>1621</v>
      </c>
      <c r="K13" s="432">
        <f t="shared" si="4"/>
        <v>1621</v>
      </c>
      <c r="L13" s="432">
        <f t="shared" si="4"/>
        <v>1621</v>
      </c>
      <c r="M13" s="434">
        <f t="shared" si="4"/>
        <v>1621</v>
      </c>
      <c r="N13" s="434">
        <f t="shared" si="4"/>
        <v>1621</v>
      </c>
      <c r="O13" s="434">
        <f t="shared" si="4"/>
        <v>1621</v>
      </c>
    </row>
    <row r="14" spans="1:15" x14ac:dyDescent="0.3">
      <c r="A14" s="425" t="s">
        <v>85</v>
      </c>
      <c r="B14" s="432">
        <f t="shared" si="3"/>
        <v>16344.359999999997</v>
      </c>
      <c r="C14" s="432"/>
      <c r="D14" s="432">
        <v>1312.8</v>
      </c>
      <c r="E14" s="432">
        <f t="shared" si="4"/>
        <v>1312.8</v>
      </c>
      <c r="F14" s="432">
        <f t="shared" si="4"/>
        <v>1312.8</v>
      </c>
      <c r="G14" s="432">
        <f t="shared" si="4"/>
        <v>1312.8</v>
      </c>
      <c r="H14" s="432">
        <f t="shared" si="4"/>
        <v>1312.8</v>
      </c>
      <c r="I14" s="432">
        <f t="shared" si="4"/>
        <v>1312.8</v>
      </c>
      <c r="J14" s="432">
        <f t="shared" si="4"/>
        <v>1312.8</v>
      </c>
      <c r="K14" s="432">
        <f t="shared" si="4"/>
        <v>1312.8</v>
      </c>
      <c r="L14" s="432">
        <f t="shared" si="4"/>
        <v>1312.8</v>
      </c>
      <c r="M14" s="433">
        <f>1312.8*[2]Premissas!B4+'Orçamento 2026'!L14</f>
        <v>1509.72</v>
      </c>
      <c r="N14" s="432">
        <f>M14</f>
        <v>1509.72</v>
      </c>
      <c r="O14" s="432">
        <f>N14</f>
        <v>1509.72</v>
      </c>
    </row>
    <row r="15" spans="1:15" x14ac:dyDescent="0.3">
      <c r="A15" s="425" t="s">
        <v>86</v>
      </c>
      <c r="B15" s="432">
        <f t="shared" si="3"/>
        <v>0</v>
      </c>
      <c r="C15" s="432"/>
      <c r="D15" s="432"/>
      <c r="E15" s="434"/>
      <c r="F15" s="434"/>
      <c r="G15" s="434"/>
      <c r="H15" s="435"/>
      <c r="I15" s="435"/>
      <c r="J15" s="435"/>
      <c r="K15" s="435"/>
      <c r="L15" s="435"/>
      <c r="M15" s="435"/>
      <c r="N15" s="435"/>
      <c r="O15" s="435"/>
    </row>
    <row r="16" spans="1:15" x14ac:dyDescent="0.3">
      <c r="A16" s="425" t="s">
        <v>87</v>
      </c>
      <c r="B16" s="432">
        <f t="shared" si="3"/>
        <v>0</v>
      </c>
      <c r="C16" s="432"/>
      <c r="D16" s="432"/>
      <c r="E16" s="434"/>
      <c r="F16" s="434"/>
      <c r="G16" s="434"/>
      <c r="H16" s="435"/>
      <c r="I16" s="435"/>
      <c r="J16" s="435"/>
      <c r="K16" s="435"/>
      <c r="L16" s="435"/>
      <c r="M16" s="435"/>
      <c r="N16" s="435"/>
      <c r="O16" s="435"/>
    </row>
    <row r="17" spans="1:15" x14ac:dyDescent="0.3">
      <c r="A17" s="425" t="s">
        <v>88</v>
      </c>
      <c r="B17" s="432">
        <f t="shared" si="3"/>
        <v>187260</v>
      </c>
      <c r="C17" s="432"/>
      <c r="D17" s="432">
        <f>'[2]Tabela 2025 2026'!Q9</f>
        <v>15605</v>
      </c>
      <c r="E17" s="432">
        <f>D17</f>
        <v>15605</v>
      </c>
      <c r="F17" s="432">
        <f t="shared" ref="F17:O18" si="5">E17</f>
        <v>15605</v>
      </c>
      <c r="G17" s="432">
        <f t="shared" si="5"/>
        <v>15605</v>
      </c>
      <c r="H17" s="432">
        <f t="shared" si="5"/>
        <v>15605</v>
      </c>
      <c r="I17" s="432">
        <f t="shared" si="5"/>
        <v>15605</v>
      </c>
      <c r="J17" s="432">
        <f t="shared" si="5"/>
        <v>15605</v>
      </c>
      <c r="K17" s="432">
        <f t="shared" si="5"/>
        <v>15605</v>
      </c>
      <c r="L17" s="432">
        <f t="shared" si="5"/>
        <v>15605</v>
      </c>
      <c r="M17" s="432">
        <f t="shared" si="5"/>
        <v>15605</v>
      </c>
      <c r="N17" s="432">
        <f t="shared" si="5"/>
        <v>15605</v>
      </c>
      <c r="O17" s="432">
        <f t="shared" si="5"/>
        <v>15605</v>
      </c>
    </row>
    <row r="18" spans="1:15" x14ac:dyDescent="0.3">
      <c r="A18" s="425" t="s">
        <v>89</v>
      </c>
      <c r="B18" s="432">
        <f t="shared" si="3"/>
        <v>19452</v>
      </c>
      <c r="C18" s="432"/>
      <c r="D18" s="432">
        <f>'[2]Tabela 2025 2026'!M9</f>
        <v>1621</v>
      </c>
      <c r="E18" s="434">
        <f>D18</f>
        <v>1621</v>
      </c>
      <c r="F18" s="434">
        <f t="shared" si="5"/>
        <v>1621</v>
      </c>
      <c r="G18" s="434">
        <f t="shared" si="5"/>
        <v>1621</v>
      </c>
      <c r="H18" s="434">
        <f t="shared" si="5"/>
        <v>1621</v>
      </c>
      <c r="I18" s="434">
        <f t="shared" si="5"/>
        <v>1621</v>
      </c>
      <c r="J18" s="434">
        <f t="shared" si="5"/>
        <v>1621</v>
      </c>
      <c r="K18" s="434">
        <f t="shared" si="5"/>
        <v>1621</v>
      </c>
      <c r="L18" s="434">
        <f t="shared" si="5"/>
        <v>1621</v>
      </c>
      <c r="M18" s="434">
        <f t="shared" si="5"/>
        <v>1621</v>
      </c>
      <c r="N18" s="434">
        <f t="shared" si="5"/>
        <v>1621</v>
      </c>
      <c r="O18" s="434">
        <f t="shared" si="5"/>
        <v>1621</v>
      </c>
    </row>
    <row r="19" spans="1:15" x14ac:dyDescent="0.3">
      <c r="A19" s="425" t="s">
        <v>90</v>
      </c>
      <c r="B19" s="432">
        <f t="shared" si="3"/>
        <v>20131.400999999998</v>
      </c>
      <c r="C19" s="432"/>
      <c r="D19" s="432">
        <v>1616.98</v>
      </c>
      <c r="E19" s="432">
        <v>1616.98</v>
      </c>
      <c r="F19" s="432">
        <v>1616.98</v>
      </c>
      <c r="G19" s="432">
        <v>1616.98</v>
      </c>
      <c r="H19" s="432">
        <v>1616.98</v>
      </c>
      <c r="I19" s="432">
        <v>1616.98</v>
      </c>
      <c r="J19" s="432">
        <v>1616.98</v>
      </c>
      <c r="K19" s="432">
        <v>1616.98</v>
      </c>
      <c r="L19" s="432">
        <v>1616.98</v>
      </c>
      <c r="M19" s="433">
        <f>1616.98*[2]Premissas!B4+'Orçamento 2026'!L19</f>
        <v>1859.527</v>
      </c>
      <c r="N19" s="432">
        <f>M19</f>
        <v>1859.527</v>
      </c>
      <c r="O19" s="432">
        <f>N19</f>
        <v>1859.527</v>
      </c>
    </row>
    <row r="20" spans="1:15" x14ac:dyDescent="0.3">
      <c r="A20" s="425" t="s">
        <v>91</v>
      </c>
      <c r="B20" s="432">
        <f t="shared" si="3"/>
        <v>0</v>
      </c>
      <c r="C20" s="432"/>
      <c r="D20" s="432"/>
      <c r="E20" s="434"/>
      <c r="F20" s="434"/>
      <c r="G20" s="434"/>
      <c r="H20" s="435"/>
      <c r="I20" s="435"/>
      <c r="J20" s="435"/>
      <c r="K20" s="435"/>
      <c r="L20" s="435"/>
      <c r="M20" s="435"/>
      <c r="N20" s="435"/>
      <c r="O20" s="435"/>
    </row>
    <row r="21" spans="1:15" x14ac:dyDescent="0.3">
      <c r="A21" s="425" t="s">
        <v>92</v>
      </c>
      <c r="B21" s="432">
        <f t="shared" si="3"/>
        <v>33000</v>
      </c>
      <c r="C21" s="432"/>
      <c r="D21" s="432">
        <v>2200</v>
      </c>
      <c r="E21" s="432">
        <v>2800</v>
      </c>
      <c r="F21" s="432">
        <v>2800</v>
      </c>
      <c r="G21" s="432">
        <v>2800</v>
      </c>
      <c r="H21" s="432">
        <v>2800</v>
      </c>
      <c r="I21" s="432">
        <v>2800</v>
      </c>
      <c r="J21" s="432">
        <v>2800</v>
      </c>
      <c r="K21" s="432">
        <v>2800</v>
      </c>
      <c r="L21" s="432">
        <v>2800</v>
      </c>
      <c r="M21" s="432">
        <v>2800</v>
      </c>
      <c r="N21" s="432">
        <v>2800</v>
      </c>
      <c r="O21" s="432">
        <v>2800</v>
      </c>
    </row>
    <row r="22" spans="1:15" x14ac:dyDescent="0.3">
      <c r="A22" s="425" t="s">
        <v>93</v>
      </c>
      <c r="B22" s="432">
        <f t="shared" si="3"/>
        <v>3600</v>
      </c>
      <c r="C22" s="432"/>
      <c r="D22" s="434">
        <v>300</v>
      </c>
      <c r="E22" s="434">
        <v>300</v>
      </c>
      <c r="F22" s="434">
        <v>300</v>
      </c>
      <c r="G22" s="434">
        <v>300</v>
      </c>
      <c r="H22" s="434">
        <v>300</v>
      </c>
      <c r="I22" s="434">
        <v>300</v>
      </c>
      <c r="J22" s="434">
        <v>300</v>
      </c>
      <c r="K22" s="434">
        <v>300</v>
      </c>
      <c r="L22" s="434">
        <v>300</v>
      </c>
      <c r="M22" s="434">
        <v>300</v>
      </c>
      <c r="N22" s="434">
        <v>300</v>
      </c>
      <c r="O22" s="434">
        <v>300</v>
      </c>
    </row>
    <row r="23" spans="1:15" x14ac:dyDescent="0.3">
      <c r="A23" s="425" t="s">
        <v>94</v>
      </c>
      <c r="B23" s="432">
        <f t="shared" si="3"/>
        <v>6400</v>
      </c>
      <c r="C23" s="432"/>
      <c r="D23" s="432">
        <v>1600</v>
      </c>
      <c r="E23" s="434"/>
      <c r="F23" s="434"/>
      <c r="G23" s="432">
        <v>1600</v>
      </c>
      <c r="H23" s="435"/>
      <c r="I23" s="435"/>
      <c r="J23" s="434">
        <v>1600</v>
      </c>
      <c r="K23" s="434"/>
      <c r="L23" s="434"/>
      <c r="M23" s="434">
        <v>1600</v>
      </c>
      <c r="N23" s="434"/>
      <c r="O23" s="435"/>
    </row>
    <row r="24" spans="1:15" x14ac:dyDescent="0.3">
      <c r="A24" s="425" t="s">
        <v>95</v>
      </c>
      <c r="B24" s="432">
        <f t="shared" si="3"/>
        <v>0</v>
      </c>
      <c r="C24" s="432"/>
      <c r="D24" s="432"/>
      <c r="E24" s="432"/>
      <c r="F24" s="432"/>
      <c r="G24" s="432"/>
      <c r="H24" s="432"/>
      <c r="I24" s="432"/>
      <c r="J24" s="432"/>
      <c r="K24" s="432"/>
      <c r="L24" s="432"/>
      <c r="M24" s="432"/>
      <c r="N24" s="432"/>
      <c r="O24" s="432"/>
    </row>
    <row r="25" spans="1:15" x14ac:dyDescent="0.3">
      <c r="A25" s="425" t="s">
        <v>96</v>
      </c>
      <c r="B25" s="432">
        <f t="shared" si="3"/>
        <v>13200</v>
      </c>
      <c r="C25" s="432"/>
      <c r="D25" s="432">
        <v>1100</v>
      </c>
      <c r="E25" s="432">
        <v>1100</v>
      </c>
      <c r="F25" s="432">
        <v>1100</v>
      </c>
      <c r="G25" s="432">
        <v>1100</v>
      </c>
      <c r="H25" s="432">
        <v>1100</v>
      </c>
      <c r="I25" s="432">
        <v>1100</v>
      </c>
      <c r="J25" s="432">
        <v>1100</v>
      </c>
      <c r="K25" s="432">
        <v>1100</v>
      </c>
      <c r="L25" s="432">
        <v>1100</v>
      </c>
      <c r="M25" s="432">
        <v>1100</v>
      </c>
      <c r="N25" s="432">
        <v>1100</v>
      </c>
      <c r="O25" s="432">
        <v>1100</v>
      </c>
    </row>
    <row r="26" spans="1:15" x14ac:dyDescent="0.3">
      <c r="A26" s="425" t="s">
        <v>68</v>
      </c>
      <c r="B26" s="432">
        <f t="shared" si="3"/>
        <v>0</v>
      </c>
      <c r="C26" s="432"/>
      <c r="D26" s="432"/>
      <c r="E26" s="434"/>
      <c r="F26" s="434"/>
      <c r="G26" s="434"/>
      <c r="H26" s="435"/>
      <c r="I26" s="435"/>
      <c r="J26" s="434"/>
      <c r="K26" s="434"/>
      <c r="L26" s="434"/>
      <c r="M26" s="434"/>
      <c r="N26" s="434"/>
      <c r="O26" s="435"/>
    </row>
    <row r="27" spans="1:15" x14ac:dyDescent="0.3">
      <c r="A27" s="425" t="s">
        <v>97</v>
      </c>
      <c r="B27" s="432">
        <f t="shared" si="3"/>
        <v>0</v>
      </c>
      <c r="C27" s="432"/>
      <c r="D27" s="432"/>
      <c r="E27" s="434"/>
      <c r="F27" s="434"/>
      <c r="G27" s="434"/>
      <c r="H27" s="435"/>
      <c r="I27" s="435"/>
      <c r="J27" s="435"/>
      <c r="K27" s="435"/>
      <c r="L27" s="435"/>
      <c r="M27" s="435"/>
      <c r="N27" s="435"/>
      <c r="O27" s="435"/>
    </row>
    <row r="28" spans="1:15" s="424" customFormat="1" x14ac:dyDescent="0.3">
      <c r="A28" s="422" t="s">
        <v>52</v>
      </c>
      <c r="B28" s="429">
        <f>SUM(D28:O28)</f>
        <v>914114.75250000018</v>
      </c>
      <c r="C28" s="429"/>
      <c r="D28" s="429">
        <f t="shared" ref="D28:O28" si="6">SUM(D29:D51)</f>
        <v>76879.165000000023</v>
      </c>
      <c r="E28" s="429">
        <f t="shared" si="6"/>
        <v>75379.165000000023</v>
      </c>
      <c r="F28" s="429">
        <f t="shared" si="6"/>
        <v>75379.165000000023</v>
      </c>
      <c r="G28" s="429">
        <f t="shared" si="6"/>
        <v>76979.165000000023</v>
      </c>
      <c r="H28" s="429">
        <f t="shared" si="6"/>
        <v>75379.165000000023</v>
      </c>
      <c r="I28" s="429">
        <f t="shared" si="6"/>
        <v>75379.165000000023</v>
      </c>
      <c r="J28" s="429">
        <f t="shared" si="6"/>
        <v>76979.165000000023</v>
      </c>
      <c r="K28" s="429">
        <f t="shared" si="6"/>
        <v>75379.165000000023</v>
      </c>
      <c r="L28" s="429">
        <f t="shared" si="6"/>
        <v>75379.165000000023</v>
      </c>
      <c r="M28" s="429">
        <f t="shared" si="6"/>
        <v>78067.422500000001</v>
      </c>
      <c r="N28" s="429">
        <f t="shared" si="6"/>
        <v>76467.422500000001</v>
      </c>
      <c r="O28" s="429">
        <f t="shared" si="6"/>
        <v>76467.422500000001</v>
      </c>
    </row>
    <row r="29" spans="1:15" s="424" customFormat="1" x14ac:dyDescent="0.3">
      <c r="A29" s="425" t="s">
        <v>98</v>
      </c>
      <c r="B29" s="432">
        <f t="shared" ref="B29:B52" si="7">SUM(D29:O29)</f>
        <v>280548</v>
      </c>
      <c r="C29" s="432"/>
      <c r="D29" s="432">
        <f>'[2]Tabela 2025 2026'!Q16</f>
        <v>23379</v>
      </c>
      <c r="E29" s="432">
        <f>D29</f>
        <v>23379</v>
      </c>
      <c r="F29" s="432">
        <f t="shared" ref="F29:O30" si="8">E29</f>
        <v>23379</v>
      </c>
      <c r="G29" s="432">
        <f t="shared" si="8"/>
        <v>23379</v>
      </c>
      <c r="H29" s="432">
        <f t="shared" si="8"/>
        <v>23379</v>
      </c>
      <c r="I29" s="432">
        <f t="shared" si="8"/>
        <v>23379</v>
      </c>
      <c r="J29" s="432">
        <f t="shared" si="8"/>
        <v>23379</v>
      </c>
      <c r="K29" s="432">
        <f t="shared" si="8"/>
        <v>23379</v>
      </c>
      <c r="L29" s="432">
        <f t="shared" si="8"/>
        <v>23379</v>
      </c>
      <c r="M29" s="432">
        <f t="shared" si="8"/>
        <v>23379</v>
      </c>
      <c r="N29" s="432">
        <f t="shared" si="8"/>
        <v>23379</v>
      </c>
      <c r="O29" s="432">
        <f t="shared" si="8"/>
        <v>23379</v>
      </c>
    </row>
    <row r="30" spans="1:15" s="424" customFormat="1" x14ac:dyDescent="0.3">
      <c r="A30" s="425" t="s">
        <v>99</v>
      </c>
      <c r="B30" s="432">
        <f t="shared" si="7"/>
        <v>19452</v>
      </c>
      <c r="C30" s="432"/>
      <c r="D30" s="432">
        <f>'[2]Tabela 2025 2026'!M16</f>
        <v>1621</v>
      </c>
      <c r="E30" s="432">
        <f>D30</f>
        <v>1621</v>
      </c>
      <c r="F30" s="432">
        <f t="shared" si="8"/>
        <v>1621</v>
      </c>
      <c r="G30" s="432">
        <f t="shared" si="8"/>
        <v>1621</v>
      </c>
      <c r="H30" s="432">
        <f t="shared" si="8"/>
        <v>1621</v>
      </c>
      <c r="I30" s="432">
        <f t="shared" si="8"/>
        <v>1621</v>
      </c>
      <c r="J30" s="432">
        <f t="shared" si="8"/>
        <v>1621</v>
      </c>
      <c r="K30" s="432">
        <f t="shared" si="8"/>
        <v>1621</v>
      </c>
      <c r="L30" s="432">
        <f t="shared" si="8"/>
        <v>1621</v>
      </c>
      <c r="M30" s="432">
        <f t="shared" si="8"/>
        <v>1621</v>
      </c>
      <c r="N30" s="432">
        <f t="shared" si="8"/>
        <v>1621</v>
      </c>
      <c r="O30" s="432">
        <f t="shared" si="8"/>
        <v>1621</v>
      </c>
    </row>
    <row r="31" spans="1:15" s="424" customFormat="1" x14ac:dyDescent="0.3">
      <c r="A31" s="425" t="s">
        <v>100</v>
      </c>
      <c r="B31" s="432">
        <f t="shared" si="7"/>
        <v>30320.481</v>
      </c>
      <c r="C31" s="432"/>
      <c r="D31" s="432">
        <v>2435.38</v>
      </c>
      <c r="E31" s="432">
        <v>2435.38</v>
      </c>
      <c r="F31" s="432">
        <v>2435.38</v>
      </c>
      <c r="G31" s="432">
        <v>2435.38</v>
      </c>
      <c r="H31" s="432">
        <v>2435.38</v>
      </c>
      <c r="I31" s="432">
        <v>2435.38</v>
      </c>
      <c r="J31" s="432">
        <v>2435.38</v>
      </c>
      <c r="K31" s="432">
        <v>2435.38</v>
      </c>
      <c r="L31" s="432">
        <v>2435.38</v>
      </c>
      <c r="M31" s="433">
        <f>2435.38*[2]Premissas!B4+'Orçamento 2026'!L31</f>
        <v>2800.6869999999999</v>
      </c>
      <c r="N31" s="432">
        <f>M31</f>
        <v>2800.6869999999999</v>
      </c>
      <c r="O31" s="432">
        <f>N31</f>
        <v>2800.6869999999999</v>
      </c>
    </row>
    <row r="32" spans="1:15" s="424" customFormat="1" x14ac:dyDescent="0.3">
      <c r="A32" s="425" t="s">
        <v>80</v>
      </c>
      <c r="B32" s="432">
        <f t="shared" si="7"/>
        <v>140274</v>
      </c>
      <c r="C32" s="432"/>
      <c r="D32" s="432">
        <f>'[2]Tabela 2025 2026'!Q13/2</f>
        <v>11689.5</v>
      </c>
      <c r="E32" s="432">
        <f>D32</f>
        <v>11689.5</v>
      </c>
      <c r="F32" s="432">
        <f t="shared" ref="F32:O33" si="9">E32</f>
        <v>11689.5</v>
      </c>
      <c r="G32" s="432">
        <f t="shared" si="9"/>
        <v>11689.5</v>
      </c>
      <c r="H32" s="432">
        <f t="shared" si="9"/>
        <v>11689.5</v>
      </c>
      <c r="I32" s="432">
        <f t="shared" si="9"/>
        <v>11689.5</v>
      </c>
      <c r="J32" s="432">
        <f t="shared" si="9"/>
        <v>11689.5</v>
      </c>
      <c r="K32" s="432">
        <f t="shared" si="9"/>
        <v>11689.5</v>
      </c>
      <c r="L32" s="432">
        <f t="shared" si="9"/>
        <v>11689.5</v>
      </c>
      <c r="M32" s="432">
        <f t="shared" si="9"/>
        <v>11689.5</v>
      </c>
      <c r="N32" s="432">
        <f t="shared" si="9"/>
        <v>11689.5</v>
      </c>
      <c r="O32" s="432">
        <f t="shared" si="9"/>
        <v>11689.5</v>
      </c>
    </row>
    <row r="33" spans="1:15" s="424" customFormat="1" x14ac:dyDescent="0.3">
      <c r="A33" s="425" t="s">
        <v>81</v>
      </c>
      <c r="B33" s="432">
        <f t="shared" si="7"/>
        <v>9726</v>
      </c>
      <c r="C33" s="432"/>
      <c r="D33" s="432">
        <f>'[2]Tabela 2025 2026'!M13/2</f>
        <v>810.5</v>
      </c>
      <c r="E33" s="432">
        <f>D33</f>
        <v>810.5</v>
      </c>
      <c r="F33" s="432">
        <f t="shared" si="9"/>
        <v>810.5</v>
      </c>
      <c r="G33" s="432">
        <f t="shared" si="9"/>
        <v>810.5</v>
      </c>
      <c r="H33" s="432">
        <f t="shared" si="9"/>
        <v>810.5</v>
      </c>
      <c r="I33" s="432">
        <f t="shared" si="9"/>
        <v>810.5</v>
      </c>
      <c r="J33" s="432">
        <f t="shared" si="9"/>
        <v>810.5</v>
      </c>
      <c r="K33" s="432">
        <f t="shared" si="9"/>
        <v>810.5</v>
      </c>
      <c r="L33" s="432">
        <f t="shared" si="9"/>
        <v>810.5</v>
      </c>
      <c r="M33" s="432">
        <f t="shared" si="9"/>
        <v>810.5</v>
      </c>
      <c r="N33" s="432">
        <f t="shared" si="9"/>
        <v>810.5</v>
      </c>
      <c r="O33" s="432">
        <f t="shared" si="9"/>
        <v>810.5</v>
      </c>
    </row>
    <row r="34" spans="1:15" s="424" customFormat="1" x14ac:dyDescent="0.3">
      <c r="A34" s="425" t="s">
        <v>82</v>
      </c>
      <c r="B34" s="432">
        <f t="shared" si="7"/>
        <v>19742.820000000003</v>
      </c>
      <c r="C34" s="432"/>
      <c r="D34" s="432">
        <f>(3290.47/2)</f>
        <v>1645.2349999999999</v>
      </c>
      <c r="E34" s="432">
        <f t="shared" ref="E34:L34" si="10">(3290.47/2)</f>
        <v>1645.2349999999999</v>
      </c>
      <c r="F34" s="432">
        <f t="shared" si="10"/>
        <v>1645.2349999999999</v>
      </c>
      <c r="G34" s="432">
        <f t="shared" si="10"/>
        <v>1645.2349999999999</v>
      </c>
      <c r="H34" s="432">
        <f t="shared" si="10"/>
        <v>1645.2349999999999</v>
      </c>
      <c r="I34" s="432">
        <f t="shared" si="10"/>
        <v>1645.2349999999999</v>
      </c>
      <c r="J34" s="432">
        <f t="shared" si="10"/>
        <v>1645.2349999999999</v>
      </c>
      <c r="K34" s="432">
        <f t="shared" si="10"/>
        <v>1645.2349999999999</v>
      </c>
      <c r="L34" s="432">
        <f t="shared" si="10"/>
        <v>1645.2349999999999</v>
      </c>
      <c r="M34" s="433">
        <f>(3290.47/2)*[2]Premissas!B30+'Orçamento 2026'!L34</f>
        <v>1645.2349999999999</v>
      </c>
      <c r="N34" s="432">
        <f>M34</f>
        <v>1645.2349999999999</v>
      </c>
      <c r="O34" s="432">
        <f>N34</f>
        <v>1645.2349999999999</v>
      </c>
    </row>
    <row r="35" spans="1:15" s="424" customFormat="1" x14ac:dyDescent="0.3">
      <c r="A35" s="425" t="s">
        <v>101</v>
      </c>
      <c r="B35" s="432">
        <f t="shared" si="7"/>
        <v>1100</v>
      </c>
      <c r="C35" s="432"/>
      <c r="D35" s="432"/>
      <c r="E35" s="432">
        <v>100</v>
      </c>
      <c r="F35" s="432">
        <v>100</v>
      </c>
      <c r="G35" s="432">
        <v>100</v>
      </c>
      <c r="H35" s="432">
        <v>100</v>
      </c>
      <c r="I35" s="432">
        <v>100</v>
      </c>
      <c r="J35" s="432">
        <v>100</v>
      </c>
      <c r="K35" s="432">
        <v>100</v>
      </c>
      <c r="L35" s="432">
        <v>100</v>
      </c>
      <c r="M35" s="432">
        <v>100</v>
      </c>
      <c r="N35" s="432">
        <v>100</v>
      </c>
      <c r="O35" s="432">
        <v>100</v>
      </c>
    </row>
    <row r="36" spans="1:15" s="424" customFormat="1" x14ac:dyDescent="0.3">
      <c r="A36" s="425" t="s">
        <v>102</v>
      </c>
      <c r="B36" s="432">
        <f t="shared" si="7"/>
        <v>96454.56</v>
      </c>
      <c r="C36" s="432"/>
      <c r="D36" s="432">
        <f>'[2]Tabela 2025 2026'!Q5</f>
        <v>8037.8799999999992</v>
      </c>
      <c r="E36" s="432">
        <f>D36</f>
        <v>8037.8799999999992</v>
      </c>
      <c r="F36" s="432">
        <f t="shared" ref="F36:O37" si="11">E36</f>
        <v>8037.8799999999992</v>
      </c>
      <c r="G36" s="432">
        <f t="shared" si="11"/>
        <v>8037.8799999999992</v>
      </c>
      <c r="H36" s="432">
        <f t="shared" si="11"/>
        <v>8037.8799999999992</v>
      </c>
      <c r="I36" s="432">
        <f t="shared" si="11"/>
        <v>8037.8799999999992</v>
      </c>
      <c r="J36" s="432">
        <f t="shared" si="11"/>
        <v>8037.8799999999992</v>
      </c>
      <c r="K36" s="432">
        <f t="shared" si="11"/>
        <v>8037.8799999999992</v>
      </c>
      <c r="L36" s="432">
        <f t="shared" si="11"/>
        <v>8037.8799999999992</v>
      </c>
      <c r="M36" s="432">
        <f t="shared" si="11"/>
        <v>8037.8799999999992</v>
      </c>
      <c r="N36" s="432">
        <f t="shared" si="11"/>
        <v>8037.8799999999992</v>
      </c>
      <c r="O36" s="432">
        <f t="shared" si="11"/>
        <v>8037.8799999999992</v>
      </c>
    </row>
    <row r="37" spans="1:15" s="424" customFormat="1" x14ac:dyDescent="0.3">
      <c r="A37" s="425" t="s">
        <v>103</v>
      </c>
      <c r="B37" s="432">
        <f t="shared" si="7"/>
        <v>19452</v>
      </c>
      <c r="C37" s="432"/>
      <c r="D37" s="432">
        <f>'[2]Tabela 2025 2026'!M5</f>
        <v>1621</v>
      </c>
      <c r="E37" s="432">
        <f>D37</f>
        <v>1621</v>
      </c>
      <c r="F37" s="432">
        <f t="shared" si="11"/>
        <v>1621</v>
      </c>
      <c r="G37" s="432">
        <f t="shared" si="11"/>
        <v>1621</v>
      </c>
      <c r="H37" s="432">
        <f t="shared" si="11"/>
        <v>1621</v>
      </c>
      <c r="I37" s="432">
        <f t="shared" si="11"/>
        <v>1621</v>
      </c>
      <c r="J37" s="432">
        <f t="shared" si="11"/>
        <v>1621</v>
      </c>
      <c r="K37" s="432">
        <f t="shared" si="11"/>
        <v>1621</v>
      </c>
      <c r="L37" s="432">
        <f t="shared" si="11"/>
        <v>1621</v>
      </c>
      <c r="M37" s="432">
        <f t="shared" si="11"/>
        <v>1621</v>
      </c>
      <c r="N37" s="432">
        <f t="shared" si="11"/>
        <v>1621</v>
      </c>
      <c r="O37" s="432">
        <f t="shared" si="11"/>
        <v>1621</v>
      </c>
    </row>
    <row r="38" spans="1:15" s="424" customFormat="1" x14ac:dyDescent="0.3">
      <c r="A38" s="425" t="s">
        <v>104</v>
      </c>
      <c r="B38" s="432">
        <f t="shared" si="7"/>
        <v>16344.359999999997</v>
      </c>
      <c r="C38" s="432"/>
      <c r="D38" s="432">
        <v>1312.8</v>
      </c>
      <c r="E38" s="432">
        <v>1312.8</v>
      </c>
      <c r="F38" s="432">
        <v>1312.8</v>
      </c>
      <c r="G38" s="432">
        <v>1312.8</v>
      </c>
      <c r="H38" s="432">
        <v>1312.8</v>
      </c>
      <c r="I38" s="432">
        <v>1312.8</v>
      </c>
      <c r="J38" s="432">
        <v>1312.8</v>
      </c>
      <c r="K38" s="432">
        <v>1312.8</v>
      </c>
      <c r="L38" s="432">
        <v>1312.8</v>
      </c>
      <c r="M38" s="433">
        <f>1312.8*[2]Premissas!$B$4+'Orçamento 2026'!L38</f>
        <v>1509.72</v>
      </c>
      <c r="N38" s="432">
        <f>M38</f>
        <v>1509.72</v>
      </c>
      <c r="O38" s="432">
        <f>N38</f>
        <v>1509.72</v>
      </c>
    </row>
    <row r="39" spans="1:15" s="424" customFormat="1" x14ac:dyDescent="0.3">
      <c r="A39" s="425" t="s">
        <v>105</v>
      </c>
      <c r="B39" s="432">
        <f t="shared" si="7"/>
        <v>0</v>
      </c>
      <c r="C39" s="432"/>
      <c r="D39" s="432"/>
      <c r="E39" s="434"/>
      <c r="F39" s="434"/>
      <c r="G39" s="434"/>
      <c r="H39" s="435"/>
      <c r="I39" s="435"/>
      <c r="J39" s="435"/>
      <c r="K39" s="435"/>
      <c r="L39" s="435"/>
      <c r="M39" s="435"/>
      <c r="N39" s="435"/>
      <c r="O39" s="435"/>
    </row>
    <row r="40" spans="1:15" s="424" customFormat="1" x14ac:dyDescent="0.3">
      <c r="A40" s="425" t="s">
        <v>106</v>
      </c>
      <c r="B40" s="432">
        <f t="shared" si="7"/>
        <v>142548</v>
      </c>
      <c r="C40" s="432"/>
      <c r="D40" s="432">
        <f>'[2]Tabela 2025 2026'!Q7</f>
        <v>11879</v>
      </c>
      <c r="E40" s="432">
        <f>D40</f>
        <v>11879</v>
      </c>
      <c r="F40" s="432">
        <f t="shared" ref="F40:O41" si="12">E40</f>
        <v>11879</v>
      </c>
      <c r="G40" s="432">
        <f t="shared" si="12"/>
        <v>11879</v>
      </c>
      <c r="H40" s="432">
        <f t="shared" si="12"/>
        <v>11879</v>
      </c>
      <c r="I40" s="432">
        <f t="shared" si="12"/>
        <v>11879</v>
      </c>
      <c r="J40" s="432">
        <f t="shared" si="12"/>
        <v>11879</v>
      </c>
      <c r="K40" s="432">
        <f t="shared" si="12"/>
        <v>11879</v>
      </c>
      <c r="L40" s="432">
        <f t="shared" si="12"/>
        <v>11879</v>
      </c>
      <c r="M40" s="432">
        <f t="shared" si="12"/>
        <v>11879</v>
      </c>
      <c r="N40" s="432">
        <f t="shared" si="12"/>
        <v>11879</v>
      </c>
      <c r="O40" s="432">
        <f t="shared" si="12"/>
        <v>11879</v>
      </c>
    </row>
    <row r="41" spans="1:15" s="424" customFormat="1" x14ac:dyDescent="0.3">
      <c r="A41" s="425" t="s">
        <v>107</v>
      </c>
      <c r="B41" s="432">
        <f t="shared" si="7"/>
        <v>19452</v>
      </c>
      <c r="C41" s="432"/>
      <c r="D41" s="432">
        <f>'[2]Tabela 2025 2026'!M7</f>
        <v>1621</v>
      </c>
      <c r="E41" s="432">
        <f>D41</f>
        <v>1621</v>
      </c>
      <c r="F41" s="432">
        <f t="shared" si="12"/>
        <v>1621</v>
      </c>
      <c r="G41" s="432">
        <f t="shared" si="12"/>
        <v>1621</v>
      </c>
      <c r="H41" s="432">
        <f t="shared" si="12"/>
        <v>1621</v>
      </c>
      <c r="I41" s="432">
        <f t="shared" si="12"/>
        <v>1621</v>
      </c>
      <c r="J41" s="432">
        <f t="shared" si="12"/>
        <v>1621</v>
      </c>
      <c r="K41" s="432">
        <f t="shared" si="12"/>
        <v>1621</v>
      </c>
      <c r="L41" s="432">
        <f t="shared" si="12"/>
        <v>1621</v>
      </c>
      <c r="M41" s="432">
        <f t="shared" si="12"/>
        <v>1621</v>
      </c>
      <c r="N41" s="432">
        <f t="shared" si="12"/>
        <v>1621</v>
      </c>
      <c r="O41" s="432">
        <f t="shared" si="12"/>
        <v>1621</v>
      </c>
    </row>
    <row r="42" spans="1:15" s="424" customFormat="1" x14ac:dyDescent="0.3">
      <c r="A42" s="425" t="s">
        <v>108</v>
      </c>
      <c r="B42" s="432">
        <f t="shared" si="7"/>
        <v>27316.171500000004</v>
      </c>
      <c r="C42" s="432"/>
      <c r="D42" s="432">
        <f>2194.07</f>
        <v>2194.0700000000002</v>
      </c>
      <c r="E42" s="432">
        <f t="shared" ref="E42:L42" si="13">2194.07</f>
        <v>2194.0700000000002</v>
      </c>
      <c r="F42" s="432">
        <f t="shared" si="13"/>
        <v>2194.0700000000002</v>
      </c>
      <c r="G42" s="432">
        <f t="shared" si="13"/>
        <v>2194.0700000000002</v>
      </c>
      <c r="H42" s="432">
        <f t="shared" si="13"/>
        <v>2194.0700000000002</v>
      </c>
      <c r="I42" s="432">
        <f t="shared" si="13"/>
        <v>2194.0700000000002</v>
      </c>
      <c r="J42" s="432">
        <f t="shared" si="13"/>
        <v>2194.0700000000002</v>
      </c>
      <c r="K42" s="432">
        <f t="shared" si="13"/>
        <v>2194.0700000000002</v>
      </c>
      <c r="L42" s="432">
        <f t="shared" si="13"/>
        <v>2194.0700000000002</v>
      </c>
      <c r="M42" s="433">
        <f>2194.07*[2]Premissas!B4+'Orçamento 2026'!L42</f>
        <v>2523.1805000000004</v>
      </c>
      <c r="N42" s="432">
        <f>M42</f>
        <v>2523.1805000000004</v>
      </c>
      <c r="O42" s="432">
        <f>N42</f>
        <v>2523.1805000000004</v>
      </c>
    </row>
    <row r="43" spans="1:15" s="424" customFormat="1" x14ac:dyDescent="0.3">
      <c r="A43" s="425" t="s">
        <v>109</v>
      </c>
      <c r="B43" s="432">
        <f t="shared" si="7"/>
        <v>0</v>
      </c>
      <c r="C43" s="432"/>
      <c r="D43" s="432"/>
      <c r="E43" s="434"/>
      <c r="F43" s="434"/>
      <c r="G43" s="434"/>
      <c r="H43" s="435"/>
      <c r="I43" s="435"/>
      <c r="J43" s="435"/>
      <c r="K43" s="435"/>
      <c r="L43" s="435"/>
      <c r="M43" s="435"/>
      <c r="N43" s="435"/>
      <c r="O43" s="435"/>
    </row>
    <row r="44" spans="1:15" s="424" customFormat="1" x14ac:dyDescent="0.3">
      <c r="A44" s="425" t="s">
        <v>108</v>
      </c>
      <c r="B44" s="432">
        <f t="shared" si="7"/>
        <v>0</v>
      </c>
      <c r="C44" s="432"/>
      <c r="D44" s="432"/>
      <c r="E44" s="434"/>
      <c r="F44" s="434"/>
      <c r="G44" s="434"/>
      <c r="H44" s="435"/>
      <c r="I44" s="435"/>
      <c r="J44" s="435"/>
      <c r="K44" s="435"/>
      <c r="L44" s="435"/>
      <c r="M44" s="435"/>
      <c r="N44" s="435"/>
      <c r="O44" s="435"/>
    </row>
    <row r="45" spans="1:15" s="424" customFormat="1" x14ac:dyDescent="0.3">
      <c r="A45" s="425" t="s">
        <v>110</v>
      </c>
      <c r="B45" s="432">
        <f t="shared" si="7"/>
        <v>49188</v>
      </c>
      <c r="C45" s="432"/>
      <c r="D45" s="432">
        <f>'[2]Tabela 2025 2026'!Q3</f>
        <v>4099</v>
      </c>
      <c r="E45" s="434">
        <f>D45</f>
        <v>4099</v>
      </c>
      <c r="F45" s="434">
        <f t="shared" ref="F45:O46" si="14">E45</f>
        <v>4099</v>
      </c>
      <c r="G45" s="434">
        <f t="shared" si="14"/>
        <v>4099</v>
      </c>
      <c r="H45" s="434">
        <f t="shared" si="14"/>
        <v>4099</v>
      </c>
      <c r="I45" s="434">
        <f t="shared" si="14"/>
        <v>4099</v>
      </c>
      <c r="J45" s="434">
        <f t="shared" si="14"/>
        <v>4099</v>
      </c>
      <c r="K45" s="434">
        <f t="shared" si="14"/>
        <v>4099</v>
      </c>
      <c r="L45" s="434">
        <f t="shared" si="14"/>
        <v>4099</v>
      </c>
      <c r="M45" s="434">
        <f t="shared" si="14"/>
        <v>4099</v>
      </c>
      <c r="N45" s="434">
        <f t="shared" si="14"/>
        <v>4099</v>
      </c>
      <c r="O45" s="434">
        <f t="shared" si="14"/>
        <v>4099</v>
      </c>
    </row>
    <row r="46" spans="1:15" s="424" customFormat="1" x14ac:dyDescent="0.3">
      <c r="A46" s="425" t="s">
        <v>111</v>
      </c>
      <c r="B46" s="432">
        <f t="shared" si="7"/>
        <v>19452</v>
      </c>
      <c r="C46" s="432"/>
      <c r="D46" s="432">
        <f>'[2]Tabela 2025 2026'!M3</f>
        <v>1621</v>
      </c>
      <c r="E46" s="434">
        <f>D46</f>
        <v>1621</v>
      </c>
      <c r="F46" s="434">
        <f t="shared" si="14"/>
        <v>1621</v>
      </c>
      <c r="G46" s="434">
        <f t="shared" si="14"/>
        <v>1621</v>
      </c>
      <c r="H46" s="434">
        <f t="shared" si="14"/>
        <v>1621</v>
      </c>
      <c r="I46" s="434">
        <f t="shared" si="14"/>
        <v>1621</v>
      </c>
      <c r="J46" s="434">
        <f t="shared" si="14"/>
        <v>1621</v>
      </c>
      <c r="K46" s="434">
        <f t="shared" si="14"/>
        <v>1621</v>
      </c>
      <c r="L46" s="434">
        <f t="shared" si="14"/>
        <v>1621</v>
      </c>
      <c r="M46" s="434">
        <f t="shared" si="14"/>
        <v>1621</v>
      </c>
      <c r="N46" s="434">
        <f t="shared" si="14"/>
        <v>1621</v>
      </c>
      <c r="O46" s="434">
        <f t="shared" si="14"/>
        <v>1621</v>
      </c>
    </row>
    <row r="47" spans="1:15" s="424" customFormat="1" x14ac:dyDescent="0.3">
      <c r="A47" s="425" t="s">
        <v>112</v>
      </c>
      <c r="B47" s="432">
        <f t="shared" si="7"/>
        <v>16344.359999999997</v>
      </c>
      <c r="C47" s="432"/>
      <c r="D47" s="432">
        <v>1312.8</v>
      </c>
      <c r="E47" s="432">
        <v>1312.8</v>
      </c>
      <c r="F47" s="432">
        <v>1312.8</v>
      </c>
      <c r="G47" s="432">
        <v>1312.8</v>
      </c>
      <c r="H47" s="432">
        <v>1312.8</v>
      </c>
      <c r="I47" s="432">
        <v>1312.8</v>
      </c>
      <c r="J47" s="432">
        <v>1312.8</v>
      </c>
      <c r="K47" s="432">
        <v>1312.8</v>
      </c>
      <c r="L47" s="432">
        <v>1312.8</v>
      </c>
      <c r="M47" s="433">
        <f>1312.8*[2]Premissas!B4+'Orçamento 2026'!L47</f>
        <v>1509.72</v>
      </c>
      <c r="N47" s="432">
        <f>M47</f>
        <v>1509.72</v>
      </c>
      <c r="O47" s="432">
        <f>N47</f>
        <v>1509.72</v>
      </c>
    </row>
    <row r="48" spans="1:15" s="424" customFormat="1" x14ac:dyDescent="0.3">
      <c r="A48" s="425" t="s">
        <v>94</v>
      </c>
      <c r="B48" s="432">
        <f t="shared" si="7"/>
        <v>6400</v>
      </c>
      <c r="C48" s="432"/>
      <c r="D48" s="432">
        <v>1600</v>
      </c>
      <c r="E48" s="434"/>
      <c r="F48" s="434"/>
      <c r="G48" s="432">
        <v>1600</v>
      </c>
      <c r="H48" s="435"/>
      <c r="I48" s="435"/>
      <c r="J48" s="432">
        <v>1600</v>
      </c>
      <c r="L48" s="435"/>
      <c r="M48" s="432">
        <v>1600</v>
      </c>
      <c r="O48" s="435"/>
    </row>
    <row r="49" spans="1:15" s="424" customFormat="1" x14ac:dyDescent="0.3">
      <c r="A49" s="425" t="s">
        <v>95</v>
      </c>
      <c r="B49" s="432">
        <f t="shared" si="7"/>
        <v>0</v>
      </c>
      <c r="C49" s="432"/>
      <c r="D49" s="432"/>
      <c r="E49" s="434"/>
      <c r="F49" s="434"/>
      <c r="G49" s="434"/>
      <c r="H49" s="435"/>
      <c r="I49" s="435"/>
      <c r="J49" s="435"/>
      <c r="K49" s="435"/>
      <c r="L49" s="435"/>
      <c r="M49" s="435"/>
      <c r="N49" s="435"/>
      <c r="O49" s="435"/>
    </row>
    <row r="50" spans="1:15" s="424" customFormat="1" x14ac:dyDescent="0.3">
      <c r="A50" s="425" t="s">
        <v>96</v>
      </c>
      <c r="B50" s="432">
        <f t="shared" si="7"/>
        <v>0</v>
      </c>
      <c r="C50" s="432"/>
      <c r="D50" s="432"/>
      <c r="E50" s="434"/>
      <c r="F50" s="434"/>
      <c r="G50" s="434"/>
      <c r="H50" s="435"/>
      <c r="I50" s="435"/>
      <c r="J50" s="435"/>
      <c r="K50" s="435"/>
      <c r="L50" s="435"/>
      <c r="M50" s="435"/>
      <c r="N50" s="435"/>
      <c r="O50" s="435"/>
    </row>
    <row r="51" spans="1:15" s="424" customFormat="1" x14ac:dyDescent="0.3">
      <c r="A51" s="425" t="s">
        <v>113</v>
      </c>
      <c r="B51" s="432">
        <f t="shared" si="7"/>
        <v>0</v>
      </c>
      <c r="C51" s="432"/>
      <c r="D51" s="432"/>
      <c r="E51" s="434"/>
      <c r="F51" s="434"/>
      <c r="G51" s="434"/>
      <c r="H51" s="435"/>
      <c r="I51" s="435"/>
      <c r="J51" s="435"/>
      <c r="K51" s="435"/>
      <c r="L51" s="435"/>
      <c r="M51" s="435"/>
      <c r="N51" s="435"/>
      <c r="O51" s="435"/>
    </row>
    <row r="52" spans="1:15" s="424" customFormat="1" x14ac:dyDescent="0.3">
      <c r="A52" s="425" t="s">
        <v>114</v>
      </c>
      <c r="B52" s="432">
        <f t="shared" si="7"/>
        <v>0</v>
      </c>
      <c r="C52" s="432"/>
      <c r="D52" s="432"/>
      <c r="E52" s="434"/>
      <c r="F52" s="434"/>
      <c r="G52" s="434"/>
      <c r="H52" s="435"/>
      <c r="I52" s="435"/>
      <c r="J52" s="435"/>
      <c r="K52" s="435"/>
      <c r="L52" s="435"/>
      <c r="M52" s="435"/>
      <c r="N52" s="435"/>
      <c r="O52" s="435"/>
    </row>
    <row r="53" spans="1:15" s="424" customFormat="1" x14ac:dyDescent="0.3">
      <c r="A53" s="422" t="s">
        <v>53</v>
      </c>
      <c r="B53" s="429">
        <f>D53+E53+F53+G53+H53+I53+J53+K53+L53+M53+N53+O53</f>
        <v>623198.16100000008</v>
      </c>
      <c r="C53" s="429"/>
      <c r="D53" s="429">
        <f t="shared" ref="D53:O53" si="15">SUM(D54:D69)</f>
        <v>63453.360000000008</v>
      </c>
      <c r="E53" s="436">
        <f t="shared" si="15"/>
        <v>61853.360000000008</v>
      </c>
      <c r="F53" s="436">
        <f t="shared" si="15"/>
        <v>49236.380000000005</v>
      </c>
      <c r="G53" s="436">
        <f t="shared" si="15"/>
        <v>50836.380000000005</v>
      </c>
      <c r="H53" s="436">
        <f t="shared" si="15"/>
        <v>49236.380000000005</v>
      </c>
      <c r="I53" s="436">
        <f t="shared" si="15"/>
        <v>49236.380000000005</v>
      </c>
      <c r="J53" s="436">
        <f t="shared" si="15"/>
        <v>50836.380000000005</v>
      </c>
      <c r="K53" s="436">
        <f t="shared" si="15"/>
        <v>49236.380000000005</v>
      </c>
      <c r="L53" s="436">
        <f t="shared" si="15"/>
        <v>49236.380000000005</v>
      </c>
      <c r="M53" s="436">
        <f t="shared" si="15"/>
        <v>51078.927000000003</v>
      </c>
      <c r="N53" s="436">
        <f t="shared" si="15"/>
        <v>49478.927000000003</v>
      </c>
      <c r="O53" s="436">
        <f t="shared" si="15"/>
        <v>49478.927000000003</v>
      </c>
    </row>
    <row r="54" spans="1:15" x14ac:dyDescent="0.3">
      <c r="A54" s="425" t="s">
        <v>115</v>
      </c>
      <c r="B54" s="432">
        <f>SUM(D54:O54)</f>
        <v>280548</v>
      </c>
      <c r="C54" s="432"/>
      <c r="D54" s="432">
        <f>'[2]Tabela 2025 2026'!Q15</f>
        <v>23379</v>
      </c>
      <c r="E54" s="432">
        <f>D54</f>
        <v>23379</v>
      </c>
      <c r="F54" s="432">
        <f t="shared" ref="F54:O57" si="16">E54</f>
        <v>23379</v>
      </c>
      <c r="G54" s="432">
        <f t="shared" si="16"/>
        <v>23379</v>
      </c>
      <c r="H54" s="432">
        <f t="shared" si="16"/>
        <v>23379</v>
      </c>
      <c r="I54" s="432">
        <f t="shared" si="16"/>
        <v>23379</v>
      </c>
      <c r="J54" s="432">
        <f t="shared" si="16"/>
        <v>23379</v>
      </c>
      <c r="K54" s="432">
        <f t="shared" si="16"/>
        <v>23379</v>
      </c>
      <c r="L54" s="432">
        <f t="shared" si="16"/>
        <v>23379</v>
      </c>
      <c r="M54" s="432">
        <f t="shared" si="16"/>
        <v>23379</v>
      </c>
      <c r="N54" s="432">
        <f t="shared" si="16"/>
        <v>23379</v>
      </c>
      <c r="O54" s="432">
        <f t="shared" si="16"/>
        <v>23379</v>
      </c>
    </row>
    <row r="55" spans="1:15" x14ac:dyDescent="0.3">
      <c r="A55" s="425" t="s">
        <v>116</v>
      </c>
      <c r="B55" s="432">
        <f t="shared" ref="B55:B70" si="17">SUM(D55:O55)</f>
        <v>19452</v>
      </c>
      <c r="C55" s="432"/>
      <c r="D55" s="432">
        <f>'[2]Tabela 2025 2026'!M15</f>
        <v>1621</v>
      </c>
      <c r="E55" s="432">
        <f>D55</f>
        <v>1621</v>
      </c>
      <c r="F55" s="432">
        <f t="shared" si="16"/>
        <v>1621</v>
      </c>
      <c r="G55" s="432">
        <f t="shared" si="16"/>
        <v>1621</v>
      </c>
      <c r="H55" s="432">
        <f t="shared" si="16"/>
        <v>1621</v>
      </c>
      <c r="I55" s="432">
        <f t="shared" si="16"/>
        <v>1621</v>
      </c>
      <c r="J55" s="432">
        <f t="shared" si="16"/>
        <v>1621</v>
      </c>
      <c r="K55" s="432">
        <f t="shared" si="16"/>
        <v>1621</v>
      </c>
      <c r="L55" s="432">
        <f t="shared" si="16"/>
        <v>1621</v>
      </c>
      <c r="M55" s="432">
        <f t="shared" si="16"/>
        <v>1621</v>
      </c>
      <c r="N55" s="432">
        <f t="shared" si="16"/>
        <v>1621</v>
      </c>
      <c r="O55" s="432">
        <f t="shared" si="16"/>
        <v>1621</v>
      </c>
    </row>
    <row r="56" spans="1:15" x14ac:dyDescent="0.3">
      <c r="A56" s="425" t="s">
        <v>117</v>
      </c>
      <c r="B56" s="432">
        <f t="shared" si="17"/>
        <v>160912.79999999996</v>
      </c>
      <c r="C56" s="432"/>
      <c r="D56" s="432">
        <f>'[2]Tabela 2025 2026'!Q8</f>
        <v>13409.4</v>
      </c>
      <c r="E56" s="432">
        <f>D56</f>
        <v>13409.4</v>
      </c>
      <c r="F56" s="432">
        <f t="shared" si="16"/>
        <v>13409.4</v>
      </c>
      <c r="G56" s="432">
        <f t="shared" si="16"/>
        <v>13409.4</v>
      </c>
      <c r="H56" s="432">
        <f t="shared" si="16"/>
        <v>13409.4</v>
      </c>
      <c r="I56" s="432">
        <f t="shared" si="16"/>
        <v>13409.4</v>
      </c>
      <c r="J56" s="432">
        <f t="shared" si="16"/>
        <v>13409.4</v>
      </c>
      <c r="K56" s="432">
        <f t="shared" si="16"/>
        <v>13409.4</v>
      </c>
      <c r="L56" s="432">
        <f t="shared" si="16"/>
        <v>13409.4</v>
      </c>
      <c r="M56" s="432">
        <f t="shared" si="16"/>
        <v>13409.4</v>
      </c>
      <c r="N56" s="432">
        <f t="shared" si="16"/>
        <v>13409.4</v>
      </c>
      <c r="O56" s="432">
        <f t="shared" si="16"/>
        <v>13409.4</v>
      </c>
    </row>
    <row r="57" spans="1:15" x14ac:dyDescent="0.3">
      <c r="A57" s="425" t="s">
        <v>118</v>
      </c>
      <c r="B57" s="432">
        <f t="shared" si="17"/>
        <v>19452</v>
      </c>
      <c r="C57" s="432"/>
      <c r="D57" s="432">
        <f>'[2]Tabela 2025 2026'!M8</f>
        <v>1621</v>
      </c>
      <c r="E57" s="432">
        <f>D57</f>
        <v>1621</v>
      </c>
      <c r="F57" s="432">
        <f t="shared" si="16"/>
        <v>1621</v>
      </c>
      <c r="G57" s="432">
        <f t="shared" si="16"/>
        <v>1621</v>
      </c>
      <c r="H57" s="432">
        <f t="shared" si="16"/>
        <v>1621</v>
      </c>
      <c r="I57" s="432">
        <f t="shared" si="16"/>
        <v>1621</v>
      </c>
      <c r="J57" s="432">
        <f t="shared" si="16"/>
        <v>1621</v>
      </c>
      <c r="K57" s="432">
        <f t="shared" si="16"/>
        <v>1621</v>
      </c>
      <c r="L57" s="432">
        <f t="shared" si="16"/>
        <v>1621</v>
      </c>
      <c r="M57" s="432">
        <f t="shared" si="16"/>
        <v>1621</v>
      </c>
      <c r="N57" s="432">
        <f t="shared" si="16"/>
        <v>1621</v>
      </c>
      <c r="O57" s="432">
        <f t="shared" si="16"/>
        <v>1621</v>
      </c>
    </row>
    <row r="58" spans="1:15" x14ac:dyDescent="0.3">
      <c r="A58" s="425" t="s">
        <v>119</v>
      </c>
      <c r="B58" s="432">
        <f t="shared" si="17"/>
        <v>20131.400999999998</v>
      </c>
      <c r="C58" s="432"/>
      <c r="D58" s="432">
        <v>1616.98</v>
      </c>
      <c r="E58" s="432">
        <v>1616.98</v>
      </c>
      <c r="F58" s="432">
        <v>1616.98</v>
      </c>
      <c r="G58" s="432">
        <v>1616.98</v>
      </c>
      <c r="H58" s="432">
        <v>1616.98</v>
      </c>
      <c r="I58" s="432">
        <v>1616.98</v>
      </c>
      <c r="J58" s="432">
        <v>1616.98</v>
      </c>
      <c r="K58" s="432">
        <v>1616.98</v>
      </c>
      <c r="L58" s="432">
        <v>1616.98</v>
      </c>
      <c r="M58" s="433">
        <f>1616.98*[2]Premissas!B4+'Orçamento 2026'!L58</f>
        <v>1859.527</v>
      </c>
      <c r="N58" s="432">
        <f>M58</f>
        <v>1859.527</v>
      </c>
      <c r="O58" s="432">
        <f>N58</f>
        <v>1859.527</v>
      </c>
    </row>
    <row r="59" spans="1:15" x14ac:dyDescent="0.3">
      <c r="A59" s="425" t="s">
        <v>120</v>
      </c>
      <c r="B59" s="432">
        <f t="shared" si="17"/>
        <v>0</v>
      </c>
      <c r="C59" s="432"/>
      <c r="D59" s="432"/>
      <c r="E59" s="434"/>
      <c r="F59" s="434"/>
      <c r="G59" s="434"/>
      <c r="H59" s="435"/>
      <c r="I59" s="435"/>
      <c r="J59" s="435"/>
      <c r="K59" s="435"/>
      <c r="L59" s="435"/>
      <c r="M59" s="435"/>
      <c r="N59" s="435"/>
      <c r="O59" s="435"/>
    </row>
    <row r="60" spans="1:15" x14ac:dyDescent="0.3">
      <c r="A60" s="425" t="s">
        <v>121</v>
      </c>
      <c r="B60" s="432">
        <f t="shared" si="17"/>
        <v>18758</v>
      </c>
      <c r="C60" s="432"/>
      <c r="D60" s="432">
        <f>11000-D61</f>
        <v>9379</v>
      </c>
      <c r="E60" s="432">
        <f>D60</f>
        <v>9379</v>
      </c>
      <c r="F60" s="432"/>
      <c r="G60" s="432"/>
      <c r="H60" s="432"/>
      <c r="I60" s="432"/>
      <c r="J60" s="432"/>
      <c r="K60" s="432"/>
      <c r="L60" s="432"/>
      <c r="M60" s="432"/>
      <c r="N60" s="432"/>
      <c r="O60" s="432"/>
    </row>
    <row r="61" spans="1:15" x14ac:dyDescent="0.3">
      <c r="A61" s="425" t="s">
        <v>121</v>
      </c>
      <c r="B61" s="432">
        <f t="shared" si="17"/>
        <v>3242</v>
      </c>
      <c r="C61" s="432"/>
      <c r="D61" s="432">
        <v>1621</v>
      </c>
      <c r="E61" s="432">
        <f>D61</f>
        <v>1621</v>
      </c>
      <c r="F61" s="432"/>
      <c r="G61" s="432"/>
      <c r="H61" s="432"/>
      <c r="I61" s="432"/>
      <c r="J61" s="432"/>
      <c r="K61" s="432"/>
      <c r="L61" s="432"/>
      <c r="M61" s="432"/>
      <c r="N61" s="432"/>
      <c r="O61" s="432"/>
    </row>
    <row r="62" spans="1:15" x14ac:dyDescent="0.3">
      <c r="A62" s="425" t="s">
        <v>121</v>
      </c>
      <c r="B62" s="432">
        <f t="shared" si="17"/>
        <v>3233.96</v>
      </c>
      <c r="C62" s="432"/>
      <c r="D62" s="432">
        <v>1616.98</v>
      </c>
      <c r="E62" s="432">
        <v>1616.98</v>
      </c>
      <c r="F62" s="432"/>
      <c r="G62" s="432"/>
      <c r="H62" s="432"/>
      <c r="I62" s="432"/>
      <c r="J62" s="432"/>
      <c r="K62" s="432"/>
      <c r="L62" s="432"/>
      <c r="M62" s="433"/>
      <c r="N62" s="432"/>
      <c r="O62" s="432"/>
    </row>
    <row r="63" spans="1:15" x14ac:dyDescent="0.3">
      <c r="A63" s="425" t="s">
        <v>122</v>
      </c>
      <c r="B63" s="432">
        <f t="shared" si="17"/>
        <v>56322</v>
      </c>
      <c r="C63" s="432"/>
      <c r="D63" s="432">
        <f>6320-D64</f>
        <v>4699</v>
      </c>
      <c r="E63" s="432">
        <f t="shared" ref="E63:O63" si="18">6320-E64</f>
        <v>4698</v>
      </c>
      <c r="F63" s="432">
        <f t="shared" si="18"/>
        <v>4697</v>
      </c>
      <c r="G63" s="432">
        <f t="shared" si="18"/>
        <v>4696</v>
      </c>
      <c r="H63" s="432">
        <f t="shared" si="18"/>
        <v>4695</v>
      </c>
      <c r="I63" s="432">
        <f t="shared" si="18"/>
        <v>4694</v>
      </c>
      <c r="J63" s="432">
        <f t="shared" si="18"/>
        <v>4693</v>
      </c>
      <c r="K63" s="432">
        <f t="shared" si="18"/>
        <v>4692</v>
      </c>
      <c r="L63" s="432">
        <f t="shared" si="18"/>
        <v>4691</v>
      </c>
      <c r="M63" s="432">
        <f t="shared" si="18"/>
        <v>4690</v>
      </c>
      <c r="N63" s="432">
        <f t="shared" si="18"/>
        <v>4689</v>
      </c>
      <c r="O63" s="432">
        <f t="shared" si="18"/>
        <v>4688</v>
      </c>
    </row>
    <row r="64" spans="1:15" x14ac:dyDescent="0.3">
      <c r="A64" s="425" t="s">
        <v>122</v>
      </c>
      <c r="B64" s="432">
        <f t="shared" si="17"/>
        <v>19518</v>
      </c>
      <c r="C64" s="432"/>
      <c r="D64" s="432">
        <v>1621</v>
      </c>
      <c r="E64" s="432">
        <v>1622</v>
      </c>
      <c r="F64" s="432">
        <v>1623</v>
      </c>
      <c r="G64" s="432">
        <v>1624</v>
      </c>
      <c r="H64" s="432">
        <v>1625</v>
      </c>
      <c r="I64" s="432">
        <v>1626</v>
      </c>
      <c r="J64" s="432">
        <v>1627</v>
      </c>
      <c r="K64" s="432">
        <v>1628</v>
      </c>
      <c r="L64" s="432">
        <v>1629</v>
      </c>
      <c r="M64" s="432">
        <v>1630</v>
      </c>
      <c r="N64" s="432">
        <v>1631</v>
      </c>
      <c r="O64" s="432">
        <v>1632</v>
      </c>
    </row>
    <row r="65" spans="1:15" x14ac:dyDescent="0.3">
      <c r="A65" s="425" t="s">
        <v>122</v>
      </c>
      <c r="B65" s="432">
        <f t="shared" ref="B65" si="19">SUM(D65:O65)</f>
        <v>15228</v>
      </c>
      <c r="C65" s="432"/>
      <c r="D65" s="432">
        <v>1269</v>
      </c>
      <c r="E65" s="432">
        <v>1269</v>
      </c>
      <c r="F65" s="432">
        <v>1269</v>
      </c>
      <c r="G65" s="432">
        <v>1269</v>
      </c>
      <c r="H65" s="432">
        <v>1269</v>
      </c>
      <c r="I65" s="432">
        <v>1269</v>
      </c>
      <c r="J65" s="432">
        <v>1269</v>
      </c>
      <c r="K65" s="432">
        <v>1269</v>
      </c>
      <c r="L65" s="432">
        <v>1269</v>
      </c>
      <c r="M65" s="432">
        <v>1269</v>
      </c>
      <c r="N65" s="432">
        <v>1269</v>
      </c>
      <c r="O65" s="432">
        <v>1269</v>
      </c>
    </row>
    <row r="66" spans="1:15" x14ac:dyDescent="0.3">
      <c r="A66" s="425" t="s">
        <v>94</v>
      </c>
      <c r="B66" s="432">
        <f t="shared" si="17"/>
        <v>6400</v>
      </c>
      <c r="C66" s="432"/>
      <c r="D66" s="432">
        <v>1600</v>
      </c>
      <c r="E66" s="434"/>
      <c r="F66" s="434"/>
      <c r="G66" s="432">
        <v>1600</v>
      </c>
      <c r="H66" s="435"/>
      <c r="I66" s="435"/>
      <c r="J66" s="432">
        <v>1600</v>
      </c>
      <c r="K66" s="435"/>
      <c r="L66" s="435"/>
      <c r="M66" s="432">
        <v>1600</v>
      </c>
      <c r="N66" s="435"/>
      <c r="O66" s="435"/>
    </row>
    <row r="67" spans="1:15" s="437" customFormat="1" x14ac:dyDescent="0.3">
      <c r="A67" s="425" t="s">
        <v>95</v>
      </c>
      <c r="B67" s="432">
        <f t="shared" si="17"/>
        <v>0</v>
      </c>
      <c r="C67" s="432"/>
      <c r="D67" s="432"/>
      <c r="E67" s="434"/>
      <c r="F67" s="434"/>
      <c r="G67" s="432"/>
      <c r="H67" s="435"/>
      <c r="I67" s="435"/>
      <c r="J67" s="435"/>
      <c r="K67" s="435"/>
      <c r="L67" s="435"/>
      <c r="M67" s="435"/>
      <c r="N67" s="435"/>
      <c r="O67" s="435"/>
    </row>
    <row r="68" spans="1:15" x14ac:dyDescent="0.3">
      <c r="A68" s="425" t="s">
        <v>96</v>
      </c>
      <c r="B68" s="432">
        <f t="shared" si="17"/>
        <v>0</v>
      </c>
      <c r="C68" s="432"/>
      <c r="D68" s="432"/>
      <c r="E68" s="434"/>
      <c r="F68" s="434"/>
      <c r="G68" s="434"/>
      <c r="H68" s="435"/>
      <c r="I68" s="435"/>
      <c r="J68" s="435"/>
      <c r="K68" s="435"/>
      <c r="L68" s="435"/>
      <c r="M68" s="435"/>
      <c r="N68" s="435"/>
      <c r="O68" s="435"/>
    </row>
    <row r="69" spans="1:15" x14ac:dyDescent="0.3">
      <c r="A69" s="425" t="s">
        <v>113</v>
      </c>
      <c r="B69" s="432">
        <f t="shared" si="17"/>
        <v>0</v>
      </c>
      <c r="C69" s="432"/>
      <c r="D69" s="432"/>
      <c r="E69" s="434"/>
      <c r="F69" s="434"/>
      <c r="G69" s="434"/>
      <c r="H69" s="435"/>
      <c r="I69" s="435"/>
      <c r="J69" s="435"/>
      <c r="K69" s="435"/>
      <c r="L69" s="435"/>
      <c r="M69" s="435"/>
      <c r="N69" s="435"/>
      <c r="O69" s="435"/>
    </row>
    <row r="70" spans="1:15" x14ac:dyDescent="0.3">
      <c r="A70" s="425" t="s">
        <v>123</v>
      </c>
      <c r="B70" s="432">
        <f t="shared" si="17"/>
        <v>0</v>
      </c>
      <c r="C70" s="432"/>
      <c r="D70" s="432"/>
      <c r="E70" s="434"/>
      <c r="F70" s="434"/>
      <c r="G70" s="434"/>
      <c r="H70" s="435"/>
      <c r="I70" s="435"/>
      <c r="J70" s="435"/>
      <c r="K70" s="435"/>
      <c r="L70" s="435"/>
      <c r="M70" s="435"/>
      <c r="N70" s="435"/>
      <c r="O70" s="435"/>
    </row>
    <row r="71" spans="1:15" s="424" customFormat="1" x14ac:dyDescent="0.3">
      <c r="A71" s="422" t="s">
        <v>124</v>
      </c>
      <c r="B71" s="429">
        <f>D71+E71+F71+G71+H71+I71+J71+K71+L71+M71+N71+O71</f>
        <v>0</v>
      </c>
      <c r="C71" s="429"/>
      <c r="D71" s="429">
        <f>SUM(D72:D73)</f>
        <v>0</v>
      </c>
      <c r="E71" s="436">
        <f>SUM(E72:E73)</f>
        <v>0</v>
      </c>
      <c r="F71" s="436">
        <f t="shared" ref="F71:O71" si="20">SUM(F72:F73)</f>
        <v>0</v>
      </c>
      <c r="G71" s="436">
        <f t="shared" si="20"/>
        <v>0</v>
      </c>
      <c r="H71" s="436">
        <f t="shared" si="20"/>
        <v>0</v>
      </c>
      <c r="I71" s="436">
        <f t="shared" si="20"/>
        <v>0</v>
      </c>
      <c r="J71" s="436">
        <f t="shared" si="20"/>
        <v>0</v>
      </c>
      <c r="K71" s="436">
        <f t="shared" si="20"/>
        <v>0</v>
      </c>
      <c r="L71" s="436">
        <f t="shared" si="20"/>
        <v>0</v>
      </c>
      <c r="M71" s="436">
        <f t="shared" si="20"/>
        <v>0</v>
      </c>
      <c r="N71" s="436">
        <f t="shared" si="20"/>
        <v>0</v>
      </c>
      <c r="O71" s="436">
        <f t="shared" si="20"/>
        <v>0</v>
      </c>
    </row>
    <row r="72" spans="1:15" s="424" customFormat="1" x14ac:dyDescent="0.3">
      <c r="A72" s="425" t="s">
        <v>125</v>
      </c>
      <c r="B72" s="432">
        <f>SUM(D72:O72)</f>
        <v>0</v>
      </c>
      <c r="C72" s="432"/>
      <c r="D72" s="432"/>
      <c r="E72" s="434"/>
      <c r="F72" s="434"/>
      <c r="G72" s="434"/>
      <c r="H72" s="435"/>
      <c r="I72" s="435"/>
      <c r="J72" s="435"/>
      <c r="K72" s="435"/>
      <c r="L72" s="435"/>
      <c r="M72" s="435"/>
      <c r="N72" s="435"/>
      <c r="O72" s="435"/>
    </row>
    <row r="73" spans="1:15" s="424" customFormat="1" x14ac:dyDescent="0.3">
      <c r="A73" s="425" t="s">
        <v>126</v>
      </c>
      <c r="B73" s="432">
        <f>SUM(D73:O73)</f>
        <v>0</v>
      </c>
      <c r="C73" s="432"/>
      <c r="D73" s="432"/>
      <c r="E73" s="434"/>
      <c r="F73" s="434"/>
      <c r="G73" s="434"/>
      <c r="H73" s="435"/>
      <c r="I73" s="435"/>
      <c r="J73" s="435"/>
      <c r="K73" s="435"/>
      <c r="L73" s="435"/>
      <c r="M73" s="435"/>
      <c r="N73" s="435"/>
      <c r="O73" s="435"/>
    </row>
    <row r="74" spans="1:15" s="424" customFormat="1" x14ac:dyDescent="0.3">
      <c r="A74" s="422" t="s">
        <v>55</v>
      </c>
      <c r="B74" s="429">
        <f>D74+E74+F74+G74+H74+I74+J74+K74+L74+M74+N74+O74</f>
        <v>410635.67999999993</v>
      </c>
      <c r="C74" s="429"/>
      <c r="D74" s="429">
        <f t="shared" ref="D74:O74" si="21">SUM(D75:D80)</f>
        <v>27197.48</v>
      </c>
      <c r="E74" s="436">
        <f t="shared" si="21"/>
        <v>34236.379999999997</v>
      </c>
      <c r="F74" s="436">
        <f t="shared" si="21"/>
        <v>34236.379999999997</v>
      </c>
      <c r="G74" s="436">
        <f t="shared" si="21"/>
        <v>34236.379999999997</v>
      </c>
      <c r="H74" s="436">
        <f t="shared" si="21"/>
        <v>34236.379999999997</v>
      </c>
      <c r="I74" s="436">
        <f t="shared" si="21"/>
        <v>35213.24</v>
      </c>
      <c r="J74" s="436">
        <f t="shared" si="21"/>
        <v>35213.24</v>
      </c>
      <c r="K74" s="436">
        <f t="shared" si="21"/>
        <v>35213.24</v>
      </c>
      <c r="L74" s="436">
        <f t="shared" si="21"/>
        <v>35213.24</v>
      </c>
      <c r="M74" s="436">
        <f t="shared" si="21"/>
        <v>35213.24</v>
      </c>
      <c r="N74" s="436">
        <f t="shared" si="21"/>
        <v>35213.24</v>
      </c>
      <c r="O74" s="436">
        <f t="shared" si="21"/>
        <v>35213.24</v>
      </c>
    </row>
    <row r="75" spans="1:15" x14ac:dyDescent="0.3">
      <c r="A75" s="425" t="s">
        <v>127</v>
      </c>
      <c r="B75" s="432">
        <f>SUM(D75:O75)</f>
        <v>267334.0199999999</v>
      </c>
      <c r="C75" s="432"/>
      <c r="D75" s="432">
        <f>26385-4677</f>
        <v>21708</v>
      </c>
      <c r="E75" s="432">
        <f t="shared" ref="E75:H75" si="22">26385-4677</f>
        <v>21708</v>
      </c>
      <c r="F75" s="432">
        <f t="shared" si="22"/>
        <v>21708</v>
      </c>
      <c r="G75" s="432">
        <f t="shared" si="22"/>
        <v>21708</v>
      </c>
      <c r="H75" s="432">
        <f t="shared" si="22"/>
        <v>21708</v>
      </c>
      <c r="I75" s="433">
        <f>H75*[2]Premissas!B3+H75</f>
        <v>22684.86</v>
      </c>
      <c r="J75" s="432">
        <f>I75</f>
        <v>22684.86</v>
      </c>
      <c r="K75" s="432">
        <f>I75</f>
        <v>22684.86</v>
      </c>
      <c r="L75" s="432">
        <f>K75</f>
        <v>22684.86</v>
      </c>
      <c r="M75" s="432">
        <f>L75</f>
        <v>22684.86</v>
      </c>
      <c r="N75" s="432">
        <f>M75</f>
        <v>22684.86</v>
      </c>
      <c r="O75" s="432">
        <f>N75</f>
        <v>22684.86</v>
      </c>
    </row>
    <row r="76" spans="1:15" x14ac:dyDescent="0.3">
      <c r="A76" s="425" t="s">
        <v>128</v>
      </c>
      <c r="B76" s="432">
        <f t="shared" ref="B76:B80" si="23">SUM(D76:O76)</f>
        <v>54473.75999999998</v>
      </c>
      <c r="C76" s="432"/>
      <c r="D76" s="432">
        <f>4344*[2]Premissas!B3+4344</f>
        <v>4539.4799999999996</v>
      </c>
      <c r="E76" s="432">
        <f>D76</f>
        <v>4539.4799999999996</v>
      </c>
      <c r="F76" s="432">
        <f t="shared" ref="F76:O76" si="24">E76</f>
        <v>4539.4799999999996</v>
      </c>
      <c r="G76" s="432">
        <f t="shared" si="24"/>
        <v>4539.4799999999996</v>
      </c>
      <c r="H76" s="432">
        <f t="shared" si="24"/>
        <v>4539.4799999999996</v>
      </c>
      <c r="I76" s="432">
        <f t="shared" si="24"/>
        <v>4539.4799999999996</v>
      </c>
      <c r="J76" s="432">
        <f t="shared" si="24"/>
        <v>4539.4799999999996</v>
      </c>
      <c r="K76" s="432">
        <f t="shared" si="24"/>
        <v>4539.4799999999996</v>
      </c>
      <c r="L76" s="432">
        <f t="shared" si="24"/>
        <v>4539.4799999999996</v>
      </c>
      <c r="M76" s="432">
        <f t="shared" si="24"/>
        <v>4539.4799999999996</v>
      </c>
      <c r="N76" s="432">
        <f t="shared" si="24"/>
        <v>4539.4799999999996</v>
      </c>
      <c r="O76" s="432">
        <f t="shared" si="24"/>
        <v>4539.4799999999996</v>
      </c>
    </row>
    <row r="77" spans="1:15" x14ac:dyDescent="0.3">
      <c r="A77" s="425" t="s">
        <v>129</v>
      </c>
      <c r="B77" s="432">
        <f t="shared" ref="B77" si="25">SUM(D77:O77)</f>
        <v>0</v>
      </c>
      <c r="C77" s="432"/>
      <c r="D77" s="432"/>
      <c r="E77" s="432"/>
      <c r="F77" s="432"/>
      <c r="G77" s="432"/>
      <c r="H77" s="432"/>
      <c r="I77" s="432"/>
      <c r="J77" s="432"/>
      <c r="K77" s="432"/>
      <c r="L77" s="432"/>
      <c r="M77" s="432"/>
      <c r="N77" s="432"/>
      <c r="O77" s="432"/>
    </row>
    <row r="78" spans="1:15" x14ac:dyDescent="0.3">
      <c r="A78" s="425" t="s">
        <v>130</v>
      </c>
      <c r="B78" s="432">
        <f t="shared" si="23"/>
        <v>11400</v>
      </c>
      <c r="C78" s="432"/>
      <c r="D78" s="432">
        <v>950</v>
      </c>
      <c r="E78" s="432">
        <v>950</v>
      </c>
      <c r="F78" s="432">
        <v>950</v>
      </c>
      <c r="G78" s="432">
        <v>950</v>
      </c>
      <c r="H78" s="432">
        <v>950</v>
      </c>
      <c r="I78" s="432">
        <v>950</v>
      </c>
      <c r="J78" s="432">
        <v>950</v>
      </c>
      <c r="K78" s="432">
        <v>950</v>
      </c>
      <c r="L78" s="432">
        <v>950</v>
      </c>
      <c r="M78" s="432">
        <v>950</v>
      </c>
      <c r="N78" s="432">
        <v>950</v>
      </c>
      <c r="O78" s="432">
        <v>950</v>
      </c>
    </row>
    <row r="79" spans="1:15" s="424" customFormat="1" x14ac:dyDescent="0.3">
      <c r="A79" s="425" t="s">
        <v>131</v>
      </c>
      <c r="B79" s="432">
        <f t="shared" si="23"/>
        <v>77427.899999999994</v>
      </c>
      <c r="C79" s="432"/>
      <c r="D79" s="432"/>
      <c r="E79" s="432">
        <f>6399*[2]Premissas!B5+6399</f>
        <v>7038.9</v>
      </c>
      <c r="F79" s="432">
        <f t="shared" ref="F79:O79" si="26">E79</f>
        <v>7038.9</v>
      </c>
      <c r="G79" s="432">
        <f t="shared" si="26"/>
        <v>7038.9</v>
      </c>
      <c r="H79" s="432">
        <f t="shared" si="26"/>
        <v>7038.9</v>
      </c>
      <c r="I79" s="432">
        <f t="shared" si="26"/>
        <v>7038.9</v>
      </c>
      <c r="J79" s="432">
        <f t="shared" si="26"/>
        <v>7038.9</v>
      </c>
      <c r="K79" s="432">
        <f t="shared" si="26"/>
        <v>7038.9</v>
      </c>
      <c r="L79" s="432">
        <f t="shared" si="26"/>
        <v>7038.9</v>
      </c>
      <c r="M79" s="432">
        <f t="shared" si="26"/>
        <v>7038.9</v>
      </c>
      <c r="N79" s="432">
        <f t="shared" si="26"/>
        <v>7038.9</v>
      </c>
      <c r="O79" s="432">
        <f t="shared" si="26"/>
        <v>7038.9</v>
      </c>
    </row>
    <row r="80" spans="1:15" s="424" customFormat="1" x14ac:dyDescent="0.3">
      <c r="A80" s="425" t="s">
        <v>132</v>
      </c>
      <c r="B80" s="432">
        <f t="shared" si="23"/>
        <v>0</v>
      </c>
      <c r="C80" s="432"/>
      <c r="D80" s="432"/>
      <c r="E80" s="434"/>
      <c r="F80" s="434"/>
      <c r="G80" s="434"/>
      <c r="H80" s="435"/>
      <c r="I80" s="435"/>
      <c r="J80" s="435"/>
      <c r="K80" s="435"/>
      <c r="L80" s="435"/>
      <c r="M80" s="435"/>
      <c r="N80" s="435"/>
      <c r="O80" s="435"/>
    </row>
    <row r="81" spans="1:15" s="424" customFormat="1" x14ac:dyDescent="0.3">
      <c r="A81" s="422" t="s">
        <v>56</v>
      </c>
      <c r="B81" s="429">
        <f>D81+E81+F81+G81+H81+I81+J81+K81+L81+M81+N81+O81</f>
        <v>10127.401800000001</v>
      </c>
      <c r="C81" s="429"/>
      <c r="D81" s="429">
        <f>SUM(D82:D83)</f>
        <v>890</v>
      </c>
      <c r="E81" s="436">
        <f t="shared" ref="E81:O81" si="27">SUM(E82:E83)</f>
        <v>839.76380000000006</v>
      </c>
      <c r="F81" s="436">
        <f t="shared" si="27"/>
        <v>839.76380000000006</v>
      </c>
      <c r="G81" s="436">
        <f t="shared" si="27"/>
        <v>839.76380000000006</v>
      </c>
      <c r="H81" s="436">
        <f t="shared" si="27"/>
        <v>839.76380000000006</v>
      </c>
      <c r="I81" s="436">
        <f t="shared" si="27"/>
        <v>839.76380000000006</v>
      </c>
      <c r="J81" s="436">
        <f t="shared" si="27"/>
        <v>839.76380000000006</v>
      </c>
      <c r="K81" s="436">
        <f t="shared" si="27"/>
        <v>839.76380000000006</v>
      </c>
      <c r="L81" s="436">
        <f t="shared" si="27"/>
        <v>839.76380000000006</v>
      </c>
      <c r="M81" s="436">
        <f t="shared" si="27"/>
        <v>839.76380000000006</v>
      </c>
      <c r="N81" s="436">
        <f t="shared" si="27"/>
        <v>839.76380000000006</v>
      </c>
      <c r="O81" s="436">
        <f t="shared" si="27"/>
        <v>839.76380000000006</v>
      </c>
    </row>
    <row r="82" spans="1:15" x14ac:dyDescent="0.3">
      <c r="A82" s="425" t="s">
        <v>133</v>
      </c>
      <c r="B82" s="432">
        <f>SUM(D82:O82)</f>
        <v>9286.1204000000016</v>
      </c>
      <c r="C82" s="432"/>
      <c r="D82" s="432">
        <v>810</v>
      </c>
      <c r="E82" s="432">
        <v>770.55640000000005</v>
      </c>
      <c r="F82" s="432">
        <v>770.55640000000005</v>
      </c>
      <c r="G82" s="432">
        <v>770.55640000000005</v>
      </c>
      <c r="H82" s="432">
        <v>770.55640000000005</v>
      </c>
      <c r="I82" s="432">
        <v>770.55640000000005</v>
      </c>
      <c r="J82" s="432">
        <v>770.55640000000005</v>
      </c>
      <c r="K82" s="432">
        <v>770.55640000000005</v>
      </c>
      <c r="L82" s="432">
        <v>770.55640000000005</v>
      </c>
      <c r="M82" s="432">
        <v>770.55640000000005</v>
      </c>
      <c r="N82" s="432">
        <v>770.55640000000005</v>
      </c>
      <c r="O82" s="432">
        <v>770.55640000000005</v>
      </c>
    </row>
    <row r="83" spans="1:15" x14ac:dyDescent="0.3">
      <c r="A83" s="425" t="s">
        <v>134</v>
      </c>
      <c r="B83" s="432">
        <f>SUM(D83:O83)</f>
        <v>841.28140000000008</v>
      </c>
      <c r="C83" s="432"/>
      <c r="D83" s="432">
        <v>80</v>
      </c>
      <c r="E83" s="432">
        <v>69.207400000000007</v>
      </c>
      <c r="F83" s="432">
        <v>69.207400000000007</v>
      </c>
      <c r="G83" s="432">
        <v>69.207400000000007</v>
      </c>
      <c r="H83" s="432">
        <v>69.207400000000007</v>
      </c>
      <c r="I83" s="432">
        <v>69.207400000000007</v>
      </c>
      <c r="J83" s="432">
        <v>69.207400000000007</v>
      </c>
      <c r="K83" s="432">
        <v>69.207400000000007</v>
      </c>
      <c r="L83" s="432">
        <v>69.207400000000007</v>
      </c>
      <c r="M83" s="432">
        <v>69.207400000000007</v>
      </c>
      <c r="N83" s="432">
        <v>69.207400000000007</v>
      </c>
      <c r="O83" s="432">
        <v>69.207400000000007</v>
      </c>
    </row>
    <row r="84" spans="1:15" s="424" customFormat="1" x14ac:dyDescent="0.3">
      <c r="A84" s="422" t="s">
        <v>57</v>
      </c>
      <c r="B84" s="429">
        <f>D84+E84+F84+G84+H84+I84+J84+K84+L84+M84+N84+O84</f>
        <v>74921.849999999977</v>
      </c>
      <c r="C84" s="429"/>
      <c r="D84" s="429">
        <f t="shared" ref="D84:O84" si="28">SUM(D85:D97)</f>
        <v>7255</v>
      </c>
      <c r="E84" s="429">
        <f t="shared" si="28"/>
        <v>5505</v>
      </c>
      <c r="F84" s="429">
        <f t="shared" si="28"/>
        <v>5742.2049999999999</v>
      </c>
      <c r="G84" s="429">
        <f t="shared" si="28"/>
        <v>7292.2049999999999</v>
      </c>
      <c r="H84" s="429">
        <f t="shared" si="28"/>
        <v>5742.2049999999999</v>
      </c>
      <c r="I84" s="429">
        <f t="shared" si="28"/>
        <v>5683.6049999999996</v>
      </c>
      <c r="J84" s="429">
        <f t="shared" si="28"/>
        <v>7333.6049999999996</v>
      </c>
      <c r="K84" s="429">
        <f t="shared" si="28"/>
        <v>5683.6049999999996</v>
      </c>
      <c r="L84" s="429">
        <f t="shared" si="28"/>
        <v>5783.6049999999996</v>
      </c>
      <c r="M84" s="429">
        <f t="shared" si="28"/>
        <v>7333.6049999999996</v>
      </c>
      <c r="N84" s="429">
        <f t="shared" si="28"/>
        <v>5783.6049999999996</v>
      </c>
      <c r="O84" s="429">
        <f t="shared" si="28"/>
        <v>5783.6049999999996</v>
      </c>
    </row>
    <row r="85" spans="1:15" x14ac:dyDescent="0.3">
      <c r="A85" s="425" t="s">
        <v>135</v>
      </c>
      <c r="B85" s="438">
        <f>SUM(D85:O85)</f>
        <v>3200</v>
      </c>
      <c r="C85" s="432"/>
      <c r="D85" s="432">
        <v>800</v>
      </c>
      <c r="E85" s="432"/>
      <c r="F85" s="432"/>
      <c r="G85" s="432">
        <v>800</v>
      </c>
      <c r="H85" s="432"/>
      <c r="I85" s="432"/>
      <c r="J85" s="432">
        <v>800</v>
      </c>
      <c r="K85" s="432"/>
      <c r="L85" s="432"/>
      <c r="M85" s="432">
        <v>800</v>
      </c>
      <c r="N85" s="432"/>
      <c r="O85" s="432"/>
    </row>
    <row r="86" spans="1:15" x14ac:dyDescent="0.3">
      <c r="A86" s="425" t="s">
        <v>136</v>
      </c>
      <c r="B86" s="438">
        <f t="shared" ref="B86:B97" si="29">SUM(D86:O86)</f>
        <v>0</v>
      </c>
      <c r="C86" s="432"/>
      <c r="D86" s="432"/>
      <c r="E86" s="432"/>
      <c r="F86" s="432"/>
      <c r="G86" s="432"/>
      <c r="H86" s="432"/>
      <c r="I86" s="432"/>
      <c r="J86" s="432"/>
      <c r="K86" s="432"/>
      <c r="L86" s="432"/>
      <c r="M86" s="432"/>
      <c r="N86" s="432"/>
      <c r="O86" s="432"/>
    </row>
    <row r="87" spans="1:15" x14ac:dyDescent="0.3">
      <c r="A87" s="425" t="s">
        <v>137</v>
      </c>
      <c r="B87" s="438">
        <f t="shared" si="29"/>
        <v>1200</v>
      </c>
      <c r="C87" s="432"/>
      <c r="D87" s="432">
        <v>100</v>
      </c>
      <c r="E87" s="432">
        <v>100</v>
      </c>
      <c r="F87" s="432">
        <v>100</v>
      </c>
      <c r="G87" s="432">
        <v>100</v>
      </c>
      <c r="H87" s="432">
        <v>100</v>
      </c>
      <c r="I87" s="432">
        <v>100</v>
      </c>
      <c r="J87" s="432">
        <v>100</v>
      </c>
      <c r="K87" s="432">
        <v>100</v>
      </c>
      <c r="L87" s="432">
        <v>100</v>
      </c>
      <c r="M87" s="432">
        <v>100</v>
      </c>
      <c r="N87" s="432">
        <v>100</v>
      </c>
      <c r="O87" s="432">
        <v>100</v>
      </c>
    </row>
    <row r="88" spans="1:15" x14ac:dyDescent="0.3">
      <c r="A88" s="425" t="s">
        <v>138</v>
      </c>
      <c r="B88" s="438">
        <f t="shared" si="29"/>
        <v>1200</v>
      </c>
      <c r="C88" s="432"/>
      <c r="D88" s="432">
        <v>100</v>
      </c>
      <c r="E88" s="432">
        <v>100</v>
      </c>
      <c r="F88" s="432">
        <v>100</v>
      </c>
      <c r="G88" s="432">
        <v>100</v>
      </c>
      <c r="H88" s="432">
        <v>100</v>
      </c>
      <c r="I88" s="432">
        <v>100</v>
      </c>
      <c r="J88" s="432">
        <v>100</v>
      </c>
      <c r="K88" s="432">
        <v>100</v>
      </c>
      <c r="L88" s="432">
        <v>100</v>
      </c>
      <c r="M88" s="432">
        <v>100</v>
      </c>
      <c r="N88" s="432">
        <v>100</v>
      </c>
      <c r="O88" s="432">
        <v>100</v>
      </c>
    </row>
    <row r="89" spans="1:15" x14ac:dyDescent="0.3">
      <c r="A89" s="425" t="s">
        <v>139</v>
      </c>
      <c r="B89" s="438">
        <f t="shared" si="29"/>
        <v>200</v>
      </c>
      <c r="C89" s="432"/>
      <c r="D89" s="432">
        <v>50</v>
      </c>
      <c r="E89" s="432"/>
      <c r="F89" s="432"/>
      <c r="G89" s="432">
        <v>50</v>
      </c>
      <c r="H89" s="432"/>
      <c r="I89" s="432"/>
      <c r="J89" s="432">
        <v>50</v>
      </c>
      <c r="K89" s="432"/>
      <c r="L89" s="432"/>
      <c r="M89" s="432">
        <v>50</v>
      </c>
      <c r="N89" s="432"/>
      <c r="O89" s="432"/>
    </row>
    <row r="90" spans="1:15" x14ac:dyDescent="0.3">
      <c r="A90" s="425" t="s">
        <v>140</v>
      </c>
      <c r="B90" s="438">
        <f t="shared" si="29"/>
        <v>6000</v>
      </c>
      <c r="C90" s="432"/>
      <c r="D90" s="432">
        <v>500</v>
      </c>
      <c r="E90" s="432">
        <v>500</v>
      </c>
      <c r="F90" s="432">
        <v>500</v>
      </c>
      <c r="G90" s="432">
        <v>500</v>
      </c>
      <c r="H90" s="432">
        <v>500</v>
      </c>
      <c r="I90" s="432">
        <v>500</v>
      </c>
      <c r="J90" s="432">
        <v>500</v>
      </c>
      <c r="K90" s="432">
        <v>500</v>
      </c>
      <c r="L90" s="432">
        <v>500</v>
      </c>
      <c r="M90" s="432">
        <v>500</v>
      </c>
      <c r="N90" s="432">
        <v>500</v>
      </c>
      <c r="O90" s="432">
        <v>500</v>
      </c>
    </row>
    <row r="91" spans="1:15" x14ac:dyDescent="0.3">
      <c r="A91" s="425" t="s">
        <v>141</v>
      </c>
      <c r="B91" s="438">
        <f t="shared" si="29"/>
        <v>37960.05000000001</v>
      </c>
      <c r="C91" s="432"/>
      <c r="D91" s="432">
        <v>3049</v>
      </c>
      <c r="E91" s="432">
        <v>3049</v>
      </c>
      <c r="F91" s="432">
        <f>E91*[2]Premissas!B3+'Orçamento 2026'!D91</f>
        <v>3186.2049999999999</v>
      </c>
      <c r="G91" s="432">
        <f>F91</f>
        <v>3186.2049999999999</v>
      </c>
      <c r="H91" s="432">
        <f t="shared" ref="H91:O92" si="30">G91</f>
        <v>3186.2049999999999</v>
      </c>
      <c r="I91" s="432">
        <f t="shared" si="30"/>
        <v>3186.2049999999999</v>
      </c>
      <c r="J91" s="432">
        <f t="shared" si="30"/>
        <v>3186.2049999999999</v>
      </c>
      <c r="K91" s="432">
        <f t="shared" si="30"/>
        <v>3186.2049999999999</v>
      </c>
      <c r="L91" s="432">
        <f t="shared" si="30"/>
        <v>3186.2049999999999</v>
      </c>
      <c r="M91" s="432">
        <f t="shared" si="30"/>
        <v>3186.2049999999999</v>
      </c>
      <c r="N91" s="432">
        <f t="shared" si="30"/>
        <v>3186.2049999999999</v>
      </c>
      <c r="O91" s="432">
        <f t="shared" si="30"/>
        <v>3186.2049999999999</v>
      </c>
    </row>
    <row r="92" spans="1:15" x14ac:dyDescent="0.3">
      <c r="A92" s="425" t="s">
        <v>142</v>
      </c>
      <c r="B92" s="438">
        <f t="shared" si="29"/>
        <v>11329.799999999997</v>
      </c>
      <c r="C92" s="432"/>
      <c r="D92" s="432">
        <v>920</v>
      </c>
      <c r="E92" s="432">
        <v>920</v>
      </c>
      <c r="F92" s="432">
        <v>920</v>
      </c>
      <c r="G92" s="432">
        <v>920</v>
      </c>
      <c r="H92" s="432">
        <v>920</v>
      </c>
      <c r="I92" s="433">
        <f>H92*[2]Premissas!B3+'Orçamento 2026'!H92</f>
        <v>961.4</v>
      </c>
      <c r="J92" s="432">
        <f>I92</f>
        <v>961.4</v>
      </c>
      <c r="K92" s="432">
        <f t="shared" si="30"/>
        <v>961.4</v>
      </c>
      <c r="L92" s="432">
        <f t="shared" si="30"/>
        <v>961.4</v>
      </c>
      <c r="M92" s="432">
        <f t="shared" si="30"/>
        <v>961.4</v>
      </c>
      <c r="N92" s="432">
        <f t="shared" si="30"/>
        <v>961.4</v>
      </c>
      <c r="O92" s="432">
        <f t="shared" si="30"/>
        <v>961.4</v>
      </c>
    </row>
    <row r="93" spans="1:15" x14ac:dyDescent="0.3">
      <c r="A93" s="425" t="s">
        <v>143</v>
      </c>
      <c r="B93" s="438">
        <f t="shared" si="29"/>
        <v>2000</v>
      </c>
      <c r="C93" s="432"/>
      <c r="D93" s="432">
        <v>500</v>
      </c>
      <c r="E93" s="432"/>
      <c r="F93" s="432"/>
      <c r="G93" s="432">
        <v>500</v>
      </c>
      <c r="H93" s="432"/>
      <c r="I93" s="432"/>
      <c r="J93" s="432">
        <v>500</v>
      </c>
      <c r="K93" s="432"/>
      <c r="L93" s="432"/>
      <c r="M93" s="432">
        <v>500</v>
      </c>
      <c r="N93" s="432"/>
      <c r="O93" s="432"/>
    </row>
    <row r="94" spans="1:15" x14ac:dyDescent="0.3">
      <c r="A94" s="425" t="s">
        <v>144</v>
      </c>
      <c r="B94" s="438">
        <f t="shared" si="29"/>
        <v>10032</v>
      </c>
      <c r="C94" s="432"/>
      <c r="D94" s="432">
        <v>836</v>
      </c>
      <c r="E94" s="432">
        <v>836</v>
      </c>
      <c r="F94" s="432">
        <v>836</v>
      </c>
      <c r="G94" s="432">
        <v>836</v>
      </c>
      <c r="H94" s="432">
        <v>836</v>
      </c>
      <c r="I94" s="432">
        <v>836</v>
      </c>
      <c r="J94" s="432">
        <v>836</v>
      </c>
      <c r="K94" s="432">
        <v>836</v>
      </c>
      <c r="L94" s="432">
        <v>836</v>
      </c>
      <c r="M94" s="432">
        <v>836</v>
      </c>
      <c r="N94" s="432">
        <v>836</v>
      </c>
      <c r="O94" s="432">
        <v>836</v>
      </c>
    </row>
    <row r="95" spans="1:15" x14ac:dyDescent="0.3">
      <c r="A95" s="439" t="s">
        <v>145</v>
      </c>
      <c r="B95" s="438">
        <f t="shared" si="29"/>
        <v>1200</v>
      </c>
      <c r="C95" s="432"/>
      <c r="D95" s="432">
        <v>300</v>
      </c>
      <c r="E95" s="432"/>
      <c r="F95" s="432"/>
      <c r="G95" s="432">
        <v>300</v>
      </c>
      <c r="H95" s="432"/>
      <c r="I95" s="432"/>
      <c r="J95" s="432">
        <v>300</v>
      </c>
      <c r="K95" s="432"/>
      <c r="L95" s="432"/>
      <c r="M95" s="432">
        <v>300</v>
      </c>
      <c r="N95" s="432"/>
      <c r="O95" s="432"/>
    </row>
    <row r="96" spans="1:15" x14ac:dyDescent="0.3">
      <c r="A96" s="425" t="s">
        <v>146</v>
      </c>
      <c r="B96" s="438">
        <f t="shared" si="29"/>
        <v>600</v>
      </c>
      <c r="C96" s="432"/>
      <c r="D96" s="432">
        <v>100</v>
      </c>
      <c r="E96" s="432"/>
      <c r="F96" s="432">
        <v>100</v>
      </c>
      <c r="G96" s="432"/>
      <c r="H96" s="432">
        <v>100</v>
      </c>
      <c r="I96" s="432"/>
      <c r="J96" s="432"/>
      <c r="K96" s="432"/>
      <c r="L96" s="432">
        <v>100</v>
      </c>
      <c r="M96" s="432"/>
      <c r="N96" s="432">
        <v>100</v>
      </c>
      <c r="O96" s="432">
        <v>100</v>
      </c>
    </row>
    <row r="97" spans="1:15" x14ac:dyDescent="0.3">
      <c r="A97" s="425" t="s">
        <v>147</v>
      </c>
      <c r="B97" s="438">
        <f t="shared" si="29"/>
        <v>0</v>
      </c>
      <c r="C97" s="432"/>
      <c r="D97" s="432"/>
      <c r="E97" s="432"/>
      <c r="F97" s="432"/>
      <c r="G97" s="432"/>
      <c r="H97" s="432"/>
      <c r="I97" s="432"/>
      <c r="J97" s="432"/>
      <c r="K97" s="432"/>
      <c r="L97" s="432"/>
      <c r="M97" s="432"/>
      <c r="N97" s="432"/>
      <c r="O97" s="432"/>
    </row>
    <row r="98" spans="1:15" s="424" customFormat="1" x14ac:dyDescent="0.3">
      <c r="A98" s="422" t="s">
        <v>58</v>
      </c>
      <c r="B98" s="429">
        <f>SUM(B99:B103)</f>
        <v>287104.88299999997</v>
      </c>
      <c r="C98" s="429"/>
      <c r="D98" s="429">
        <f>SUM(D99:D103)</f>
        <v>23240.799999999999</v>
      </c>
      <c r="E98" s="429">
        <f t="shared" ref="E98:O98" si="31">SUM(E99:E103)</f>
        <v>23035.8</v>
      </c>
      <c r="F98" s="429">
        <f t="shared" si="31"/>
        <v>22815.8</v>
      </c>
      <c r="G98" s="429">
        <f t="shared" si="31"/>
        <v>23115.8</v>
      </c>
      <c r="H98" s="429">
        <f t="shared" si="31"/>
        <v>22815.8</v>
      </c>
      <c r="I98" s="429">
        <f t="shared" si="31"/>
        <v>23465.8</v>
      </c>
      <c r="J98" s="429">
        <f t="shared" si="31"/>
        <v>23240.799999999999</v>
      </c>
      <c r="K98" s="429">
        <f t="shared" si="31"/>
        <v>24015.8</v>
      </c>
      <c r="L98" s="429">
        <f t="shared" si="31"/>
        <v>22815.8</v>
      </c>
      <c r="M98" s="429">
        <f t="shared" si="31"/>
        <v>23477.561000000002</v>
      </c>
      <c r="N98" s="429">
        <f t="shared" si="31"/>
        <v>27532.561000000002</v>
      </c>
      <c r="O98" s="429">
        <f t="shared" si="31"/>
        <v>27532.561000000002</v>
      </c>
    </row>
    <row r="99" spans="1:15" x14ac:dyDescent="0.3">
      <c r="A99" s="425" t="s">
        <v>148</v>
      </c>
      <c r="B99" s="432">
        <f>SUM(D99:O99)</f>
        <v>178454.88299999997</v>
      </c>
      <c r="C99" s="432"/>
      <c r="D99" s="432">
        <v>14705.8</v>
      </c>
      <c r="E99" s="432">
        <v>14705.8</v>
      </c>
      <c r="F99" s="438">
        <v>14705.8</v>
      </c>
      <c r="G99" s="438">
        <v>14705.8</v>
      </c>
      <c r="H99" s="438">
        <v>14705.8</v>
      </c>
      <c r="I99" s="438">
        <v>14705.8</v>
      </c>
      <c r="J99" s="438">
        <v>14705.8</v>
      </c>
      <c r="K99" s="438">
        <v>14705.8</v>
      </c>
      <c r="L99" s="438">
        <v>14705.8</v>
      </c>
      <c r="M99" s="433">
        <f>L99*[2]Premissas!B3+'Orçamento 2026'!L99</f>
        <v>15367.561</v>
      </c>
      <c r="N99" s="438">
        <f>M99</f>
        <v>15367.561</v>
      </c>
      <c r="O99" s="438">
        <f>N99</f>
        <v>15367.561</v>
      </c>
    </row>
    <row r="100" spans="1:15" x14ac:dyDescent="0.3">
      <c r="A100" s="425" t="s">
        <v>149</v>
      </c>
      <c r="B100" s="432">
        <f>SUM(D100:O100)</f>
        <v>57120</v>
      </c>
      <c r="C100" s="432"/>
      <c r="D100" s="432">
        <v>4760</v>
      </c>
      <c r="E100" s="432">
        <v>4760</v>
      </c>
      <c r="F100" s="432">
        <v>4760</v>
      </c>
      <c r="G100" s="432">
        <v>4760</v>
      </c>
      <c r="H100" s="432">
        <v>4760</v>
      </c>
      <c r="I100" s="432">
        <v>4760</v>
      </c>
      <c r="J100" s="432">
        <v>4760</v>
      </c>
      <c r="K100" s="432">
        <v>4760</v>
      </c>
      <c r="L100" s="432">
        <v>4760</v>
      </c>
      <c r="M100" s="432">
        <v>4760</v>
      </c>
      <c r="N100" s="432">
        <v>4760</v>
      </c>
      <c r="O100" s="432">
        <v>4760</v>
      </c>
    </row>
    <row r="101" spans="1:15" x14ac:dyDescent="0.3">
      <c r="A101" s="425" t="s">
        <v>150</v>
      </c>
      <c r="B101" s="432">
        <f t="shared" ref="B101:B103" si="32">SUM(D101:O101)</f>
        <v>40200</v>
      </c>
      <c r="C101" s="432"/>
      <c r="D101" s="432">
        <v>3350</v>
      </c>
      <c r="E101" s="432">
        <v>3350</v>
      </c>
      <c r="F101" s="432">
        <v>3350</v>
      </c>
      <c r="G101" s="432">
        <v>3350</v>
      </c>
      <c r="H101" s="432">
        <v>3350</v>
      </c>
      <c r="I101" s="432">
        <v>3350</v>
      </c>
      <c r="J101" s="432">
        <v>3350</v>
      </c>
      <c r="K101" s="432">
        <v>3350</v>
      </c>
      <c r="L101" s="432">
        <v>3350</v>
      </c>
      <c r="M101" s="432">
        <v>3350</v>
      </c>
      <c r="N101" s="432">
        <v>3350</v>
      </c>
      <c r="O101" s="432">
        <v>3350</v>
      </c>
    </row>
    <row r="102" spans="1:15" x14ac:dyDescent="0.3">
      <c r="A102" s="425" t="s">
        <v>151</v>
      </c>
      <c r="B102" s="432">
        <f t="shared" si="32"/>
        <v>11330</v>
      </c>
      <c r="C102" s="432"/>
      <c r="D102" s="432">
        <v>425</v>
      </c>
      <c r="E102" s="432">
        <v>220</v>
      </c>
      <c r="F102" s="432"/>
      <c r="G102" s="432">
        <v>300</v>
      </c>
      <c r="H102" s="432"/>
      <c r="I102" s="432">
        <f>300+350</f>
        <v>650</v>
      </c>
      <c r="J102" s="432">
        <v>425</v>
      </c>
      <c r="K102" s="432">
        <v>1200</v>
      </c>
      <c r="L102" s="432"/>
      <c r="M102" s="432"/>
      <c r="N102" s="432">
        <v>4055</v>
      </c>
      <c r="O102" s="432">
        <v>4055</v>
      </c>
    </row>
    <row r="103" spans="1:15" x14ac:dyDescent="0.3">
      <c r="A103" s="425" t="s">
        <v>152</v>
      </c>
      <c r="B103" s="432">
        <f t="shared" si="32"/>
        <v>0</v>
      </c>
      <c r="C103" s="432"/>
      <c r="D103" s="432"/>
      <c r="E103" s="432"/>
      <c r="F103" s="432"/>
      <c r="G103" s="432"/>
      <c r="H103" s="432"/>
      <c r="I103" s="432"/>
      <c r="J103" s="432"/>
      <c r="K103" s="432"/>
      <c r="L103" s="432"/>
      <c r="M103" s="438"/>
      <c r="N103" s="432"/>
      <c r="O103" s="432"/>
    </row>
    <row r="104" spans="1:15" s="424" customFormat="1" x14ac:dyDescent="0.3">
      <c r="A104" s="422" t="s">
        <v>59</v>
      </c>
      <c r="B104" s="429">
        <f>SUM(B105:B111)</f>
        <v>94659.531000000017</v>
      </c>
      <c r="C104" s="429"/>
      <c r="D104" s="429">
        <f>SUM(D105:D111)</f>
        <v>6426.58</v>
      </c>
      <c r="E104" s="429">
        <f t="shared" ref="E104:O104" si="33">SUM(E105:E111)</f>
        <v>6776.58</v>
      </c>
      <c r="F104" s="429">
        <f t="shared" si="33"/>
        <v>7626.58</v>
      </c>
      <c r="G104" s="429">
        <f t="shared" si="33"/>
        <v>7626.58</v>
      </c>
      <c r="H104" s="429">
        <f t="shared" si="33"/>
        <v>7626.58</v>
      </c>
      <c r="I104" s="429">
        <f t="shared" si="33"/>
        <v>7626.58</v>
      </c>
      <c r="J104" s="429">
        <f t="shared" si="33"/>
        <v>7626.58</v>
      </c>
      <c r="K104" s="429">
        <f t="shared" si="33"/>
        <v>7626.58</v>
      </c>
      <c r="L104" s="429">
        <f t="shared" si="33"/>
        <v>7626.58</v>
      </c>
      <c r="M104" s="429">
        <f t="shared" si="33"/>
        <v>7823.4369999999999</v>
      </c>
      <c r="N104" s="429">
        <f t="shared" si="33"/>
        <v>10123.437000000002</v>
      </c>
      <c r="O104" s="429">
        <f t="shared" si="33"/>
        <v>10123.437000000002</v>
      </c>
    </row>
    <row r="105" spans="1:15" x14ac:dyDescent="0.3">
      <c r="A105" s="425" t="s">
        <v>153</v>
      </c>
      <c r="B105" s="432">
        <f>SUM(D105:O105)</f>
        <v>57600</v>
      </c>
      <c r="C105" s="432"/>
      <c r="D105" s="432">
        <v>3800</v>
      </c>
      <c r="E105" s="432">
        <f>D105</f>
        <v>3800</v>
      </c>
      <c r="F105" s="432">
        <v>5000</v>
      </c>
      <c r="G105" s="432">
        <f t="shared" ref="G105:O105" si="34">F105</f>
        <v>5000</v>
      </c>
      <c r="H105" s="432">
        <f t="shared" si="34"/>
        <v>5000</v>
      </c>
      <c r="I105" s="432">
        <f t="shared" si="34"/>
        <v>5000</v>
      </c>
      <c r="J105" s="432">
        <f t="shared" si="34"/>
        <v>5000</v>
      </c>
      <c r="K105" s="432">
        <f t="shared" si="34"/>
        <v>5000</v>
      </c>
      <c r="L105" s="432">
        <f t="shared" si="34"/>
        <v>5000</v>
      </c>
      <c r="M105" s="432">
        <f t="shared" si="34"/>
        <v>5000</v>
      </c>
      <c r="N105" s="432">
        <f t="shared" si="34"/>
        <v>5000</v>
      </c>
      <c r="O105" s="432">
        <f t="shared" si="34"/>
        <v>5000</v>
      </c>
    </row>
    <row r="106" spans="1:15" x14ac:dyDescent="0.3">
      <c r="A106" s="425" t="s">
        <v>154</v>
      </c>
      <c r="B106" s="432">
        <f>SUM(D106:O106)</f>
        <v>4600</v>
      </c>
      <c r="C106" s="432"/>
      <c r="D106" s="432"/>
      <c r="E106" s="432"/>
      <c r="F106" s="432"/>
      <c r="G106" s="432"/>
      <c r="H106" s="432"/>
      <c r="I106" s="432"/>
      <c r="J106" s="432"/>
      <c r="K106" s="432"/>
      <c r="L106" s="432"/>
      <c r="M106" s="432"/>
      <c r="N106" s="432">
        <v>2300</v>
      </c>
      <c r="O106" s="432">
        <v>2300</v>
      </c>
    </row>
    <row r="107" spans="1:15" x14ac:dyDescent="0.3">
      <c r="A107" s="425" t="s">
        <v>155</v>
      </c>
      <c r="B107" s="432">
        <f t="shared" ref="B107:B111" si="35">SUM(D107:O107)</f>
        <v>16339.131000000005</v>
      </c>
      <c r="C107" s="432"/>
      <c r="D107" s="432">
        <v>1312.38</v>
      </c>
      <c r="E107" s="432">
        <v>1312.38</v>
      </c>
      <c r="F107" s="432">
        <v>1312.38</v>
      </c>
      <c r="G107" s="432">
        <v>1312.38</v>
      </c>
      <c r="H107" s="432">
        <v>1312.38</v>
      </c>
      <c r="I107" s="432">
        <v>1312.38</v>
      </c>
      <c r="J107" s="432">
        <v>1312.38</v>
      </c>
      <c r="K107" s="432">
        <v>1312.38</v>
      </c>
      <c r="L107" s="432">
        <v>1312.38</v>
      </c>
      <c r="M107" s="433">
        <f>L107*[2]Premissas!B4+'Orçamento 2026'!K107</f>
        <v>1509.2370000000001</v>
      </c>
      <c r="N107" s="432">
        <f>M107</f>
        <v>1509.2370000000001</v>
      </c>
      <c r="O107" s="432">
        <f>N107</f>
        <v>1509.2370000000001</v>
      </c>
    </row>
    <row r="108" spans="1:15" s="440" customFormat="1" x14ac:dyDescent="0.3">
      <c r="A108" s="425" t="s">
        <v>156</v>
      </c>
      <c r="B108" s="432">
        <f t="shared" si="35"/>
        <v>350</v>
      </c>
      <c r="C108" s="432"/>
      <c r="D108" s="432"/>
      <c r="E108" s="432">
        <v>350</v>
      </c>
      <c r="F108" s="432"/>
      <c r="G108" s="432"/>
      <c r="H108" s="432"/>
      <c r="I108" s="432"/>
      <c r="J108" s="432"/>
      <c r="K108" s="432"/>
      <c r="L108" s="432"/>
      <c r="M108" s="432"/>
      <c r="N108" s="432"/>
      <c r="O108" s="432"/>
    </row>
    <row r="109" spans="1:15" s="440" customFormat="1" x14ac:dyDescent="0.3">
      <c r="A109" s="425" t="s">
        <v>157</v>
      </c>
      <c r="B109" s="432">
        <f t="shared" ref="B109" si="36">SUM(D109:O109)</f>
        <v>0</v>
      </c>
      <c r="C109" s="432"/>
      <c r="D109" s="432"/>
      <c r="E109" s="432"/>
      <c r="F109" s="432"/>
      <c r="G109" s="432"/>
      <c r="H109" s="432"/>
      <c r="I109" s="432"/>
      <c r="J109" s="432"/>
      <c r="K109" s="432"/>
      <c r="L109" s="432"/>
      <c r="M109" s="432"/>
      <c r="N109" s="432"/>
      <c r="O109" s="432"/>
    </row>
    <row r="110" spans="1:15" s="424" customFormat="1" x14ac:dyDescent="0.3">
      <c r="A110" s="425" t="s">
        <v>158</v>
      </c>
      <c r="B110" s="432">
        <f t="shared" si="35"/>
        <v>12170.400000000001</v>
      </c>
      <c r="C110" s="432"/>
      <c r="D110" s="432">
        <f>46.1*22</f>
        <v>1014.2</v>
      </c>
      <c r="E110" s="432">
        <f t="shared" ref="E110:O110" si="37">46.1*22</f>
        <v>1014.2</v>
      </c>
      <c r="F110" s="432">
        <f t="shared" si="37"/>
        <v>1014.2</v>
      </c>
      <c r="G110" s="432">
        <f t="shared" si="37"/>
        <v>1014.2</v>
      </c>
      <c r="H110" s="432">
        <f t="shared" si="37"/>
        <v>1014.2</v>
      </c>
      <c r="I110" s="432">
        <f t="shared" si="37"/>
        <v>1014.2</v>
      </c>
      <c r="J110" s="432">
        <f t="shared" si="37"/>
        <v>1014.2</v>
      </c>
      <c r="K110" s="432">
        <f t="shared" si="37"/>
        <v>1014.2</v>
      </c>
      <c r="L110" s="432">
        <f t="shared" si="37"/>
        <v>1014.2</v>
      </c>
      <c r="M110" s="432">
        <f t="shared" si="37"/>
        <v>1014.2</v>
      </c>
      <c r="N110" s="432">
        <f t="shared" si="37"/>
        <v>1014.2</v>
      </c>
      <c r="O110" s="432">
        <f t="shared" si="37"/>
        <v>1014.2</v>
      </c>
    </row>
    <row r="111" spans="1:15" x14ac:dyDescent="0.3">
      <c r="A111" s="425" t="s">
        <v>113</v>
      </c>
      <c r="B111" s="432">
        <f t="shared" si="35"/>
        <v>3600</v>
      </c>
      <c r="C111" s="432"/>
      <c r="D111" s="432">
        <v>300</v>
      </c>
      <c r="E111" s="432">
        <v>300</v>
      </c>
      <c r="F111" s="432">
        <v>300</v>
      </c>
      <c r="G111" s="432">
        <v>300</v>
      </c>
      <c r="H111" s="432">
        <v>300</v>
      </c>
      <c r="I111" s="432">
        <v>300</v>
      </c>
      <c r="J111" s="432">
        <v>300</v>
      </c>
      <c r="K111" s="432">
        <v>300</v>
      </c>
      <c r="L111" s="432">
        <v>300</v>
      </c>
      <c r="M111" s="432">
        <v>300</v>
      </c>
      <c r="N111" s="432">
        <v>300</v>
      </c>
      <c r="O111" s="432">
        <v>300</v>
      </c>
    </row>
    <row r="112" spans="1:15" s="424" customFormat="1" x14ac:dyDescent="0.3">
      <c r="A112" s="441" t="s">
        <v>72</v>
      </c>
      <c r="B112" s="429">
        <f>SUM(B113:B121)</f>
        <v>91084.04856666665</v>
      </c>
      <c r="C112" s="429"/>
      <c r="D112" s="429">
        <f t="shared" ref="D112:O112" si="38">SUM(D113:D121)</f>
        <v>2996.8033333333333</v>
      </c>
      <c r="E112" s="436">
        <f t="shared" si="38"/>
        <v>14690.386666666667</v>
      </c>
      <c r="F112" s="436">
        <f t="shared" si="38"/>
        <v>14690.386666666667</v>
      </c>
      <c r="G112" s="436">
        <f t="shared" si="38"/>
        <v>14690.386666666667</v>
      </c>
      <c r="H112" s="436">
        <f t="shared" si="38"/>
        <v>3001.336666666667</v>
      </c>
      <c r="I112" s="436">
        <f t="shared" si="38"/>
        <v>3001.336666666667</v>
      </c>
      <c r="J112" s="436">
        <f t="shared" si="38"/>
        <v>5655.4485666666678</v>
      </c>
      <c r="K112" s="436">
        <f t="shared" si="38"/>
        <v>5691.5826666666671</v>
      </c>
      <c r="L112" s="436">
        <f t="shared" si="38"/>
        <v>5691.5826666666671</v>
      </c>
      <c r="M112" s="436">
        <f t="shared" si="38"/>
        <v>9791.6326666666664</v>
      </c>
      <c r="N112" s="436">
        <f t="shared" si="38"/>
        <v>5491.5826666666671</v>
      </c>
      <c r="O112" s="436">
        <f t="shared" si="38"/>
        <v>5691.5826666666671</v>
      </c>
    </row>
    <row r="113" spans="1:15" s="492" customFormat="1" x14ac:dyDescent="0.3">
      <c r="A113" s="431" t="s">
        <v>159</v>
      </c>
      <c r="B113" s="491">
        <f>SUM(D113:O113)</f>
        <v>2508</v>
      </c>
      <c r="C113" s="491"/>
      <c r="D113" s="491">
        <f>200*[2]Premissas!B3+200</f>
        <v>209</v>
      </c>
      <c r="E113" s="491">
        <f>D113</f>
        <v>209</v>
      </c>
      <c r="F113" s="491">
        <f t="shared" ref="F113:O113" si="39">E113</f>
        <v>209</v>
      </c>
      <c r="G113" s="491">
        <f t="shared" si="39"/>
        <v>209</v>
      </c>
      <c r="H113" s="491">
        <f t="shared" si="39"/>
        <v>209</v>
      </c>
      <c r="I113" s="491">
        <f t="shared" si="39"/>
        <v>209</v>
      </c>
      <c r="J113" s="491">
        <f t="shared" si="39"/>
        <v>209</v>
      </c>
      <c r="K113" s="491">
        <f t="shared" si="39"/>
        <v>209</v>
      </c>
      <c r="L113" s="491">
        <f t="shared" si="39"/>
        <v>209</v>
      </c>
      <c r="M113" s="491">
        <f t="shared" si="39"/>
        <v>209</v>
      </c>
      <c r="N113" s="491">
        <f t="shared" si="39"/>
        <v>209</v>
      </c>
      <c r="O113" s="491">
        <f t="shared" si="39"/>
        <v>209</v>
      </c>
    </row>
    <row r="114" spans="1:15" s="496" customFormat="1" x14ac:dyDescent="0.3">
      <c r="A114" s="444" t="s">
        <v>160</v>
      </c>
      <c r="B114" s="495">
        <f>SUM(D114:O114)</f>
        <v>1500</v>
      </c>
      <c r="C114" s="495"/>
      <c r="D114" s="495"/>
      <c r="E114" s="495"/>
      <c r="F114" s="495"/>
      <c r="G114" s="495"/>
      <c r="H114" s="495"/>
      <c r="I114" s="495"/>
      <c r="J114" s="495"/>
      <c r="K114" s="495"/>
      <c r="L114" s="495"/>
      <c r="M114" s="495">
        <v>1500</v>
      </c>
      <c r="N114" s="495"/>
      <c r="O114" s="495"/>
    </row>
    <row r="115" spans="1:15" s="500" customFormat="1" x14ac:dyDescent="0.3">
      <c r="A115" s="445" t="s">
        <v>161</v>
      </c>
      <c r="B115" s="499">
        <f t="shared" ref="B115:B124" si="40">SUM(D115:O115)</f>
        <v>0</v>
      </c>
      <c r="C115" s="499"/>
      <c r="D115" s="499"/>
      <c r="E115" s="499"/>
      <c r="F115" s="499"/>
      <c r="G115" s="499"/>
      <c r="H115" s="499"/>
      <c r="I115" s="499"/>
      <c r="J115" s="499"/>
      <c r="K115" s="499"/>
      <c r="L115" s="499"/>
      <c r="M115" s="499"/>
      <c r="N115" s="499"/>
      <c r="O115" s="499"/>
    </row>
    <row r="116" spans="1:15" x14ac:dyDescent="0.3">
      <c r="A116" s="439" t="s">
        <v>162</v>
      </c>
      <c r="B116" s="432">
        <f t="shared" si="40"/>
        <v>2159.65</v>
      </c>
      <c r="C116" s="432"/>
      <c r="D116" s="432">
        <f>110</f>
        <v>110</v>
      </c>
      <c r="E116" s="432">
        <f>110</f>
        <v>110</v>
      </c>
      <c r="F116" s="432">
        <f>110</f>
        <v>110</v>
      </c>
      <c r="G116" s="432">
        <f>110</f>
        <v>110</v>
      </c>
      <c r="H116" s="433">
        <f>110*[2]Premissas!B3+110</f>
        <v>114.95</v>
      </c>
      <c r="I116" s="432">
        <f>H116</f>
        <v>114.95</v>
      </c>
      <c r="J116" s="432">
        <f t="shared" ref="J116:L116" si="41">I116</f>
        <v>114.95</v>
      </c>
      <c r="K116" s="432">
        <f t="shared" si="41"/>
        <v>114.95</v>
      </c>
      <c r="L116" s="432">
        <f t="shared" si="41"/>
        <v>114.95</v>
      </c>
      <c r="M116" s="433">
        <f>115+800</f>
        <v>915</v>
      </c>
      <c r="N116" s="432">
        <f>L116</f>
        <v>114.95</v>
      </c>
      <c r="O116" s="432">
        <f>L116</f>
        <v>114.95</v>
      </c>
    </row>
    <row r="117" spans="1:15" s="492" customFormat="1" x14ac:dyDescent="0.3">
      <c r="A117" s="431" t="s">
        <v>163</v>
      </c>
      <c r="B117" s="491">
        <f t="shared" si="40"/>
        <v>16602.215249999997</v>
      </c>
      <c r="C117" s="491"/>
      <c r="D117" s="432">
        <f>(1204.47/3)</f>
        <v>401.49</v>
      </c>
      <c r="E117" s="432">
        <f>(1204.47/3)+(11694/3)</f>
        <v>4299.49</v>
      </c>
      <c r="F117" s="432">
        <f t="shared" ref="F117:G117" si="42">(1204.47/3)+(11694/3)</f>
        <v>4299.49</v>
      </c>
      <c r="G117" s="432">
        <f t="shared" si="42"/>
        <v>4299.49</v>
      </c>
      <c r="H117" s="432">
        <f t="shared" ref="H117:J117" si="43">(1204.47/3)</f>
        <v>401.49</v>
      </c>
      <c r="I117" s="432">
        <f t="shared" si="43"/>
        <v>401.49</v>
      </c>
      <c r="J117" s="432">
        <f t="shared" si="43"/>
        <v>401.49</v>
      </c>
      <c r="K117" s="432">
        <f>(1204.47/3)*[2]Premissas!$B$3+'[2]Orçamento 2026'!J117</f>
        <v>419.55705</v>
      </c>
      <c r="L117" s="432">
        <f>K117</f>
        <v>419.55705</v>
      </c>
      <c r="M117" s="432">
        <f t="shared" ref="M117:O117" si="44">L117</f>
        <v>419.55705</v>
      </c>
      <c r="N117" s="432">
        <f t="shared" si="44"/>
        <v>419.55705</v>
      </c>
      <c r="O117" s="432">
        <f t="shared" si="44"/>
        <v>419.55705</v>
      </c>
    </row>
    <row r="118" spans="1:15" s="496" customFormat="1" x14ac:dyDescent="0.3">
      <c r="A118" s="444" t="s">
        <v>164</v>
      </c>
      <c r="B118" s="495">
        <f t="shared" si="40"/>
        <v>31787.296666666658</v>
      </c>
      <c r="C118" s="495"/>
      <c r="D118" s="432">
        <f>(1204.47/3)+(15280/12)</f>
        <v>1674.8233333333333</v>
      </c>
      <c r="E118" s="432">
        <f>(1204.47/3)+(11694/3)+(15275/12)</f>
        <v>5572.4066666666668</v>
      </c>
      <c r="F118" s="432">
        <f t="shared" ref="F118:G118" si="45">(1204.47/3)+(11694/3)+(15275/12)</f>
        <v>5572.4066666666668</v>
      </c>
      <c r="G118" s="432">
        <f t="shared" si="45"/>
        <v>5572.4066666666668</v>
      </c>
      <c r="H118" s="432">
        <f>(1204.47/3)+(15275/12)</f>
        <v>1674.4066666666668</v>
      </c>
      <c r="I118" s="432">
        <f>(1204.47/3)+(15275/12)</f>
        <v>1674.4066666666668</v>
      </c>
      <c r="J118" s="432">
        <f t="shared" ref="J118:O118" si="46">(1204.47/3)+(15275/12)</f>
        <v>1674.4066666666668</v>
      </c>
      <c r="K118" s="432">
        <f t="shared" si="46"/>
        <v>1674.4066666666668</v>
      </c>
      <c r="L118" s="432">
        <f t="shared" si="46"/>
        <v>1674.4066666666668</v>
      </c>
      <c r="M118" s="432">
        <f t="shared" si="46"/>
        <v>1674.4066666666668</v>
      </c>
      <c r="N118" s="432">
        <f t="shared" si="46"/>
        <v>1674.4066666666668</v>
      </c>
      <c r="O118" s="432">
        <f t="shared" si="46"/>
        <v>1674.4066666666668</v>
      </c>
    </row>
    <row r="119" spans="1:15" s="500" customFormat="1" x14ac:dyDescent="0.3">
      <c r="A119" s="445" t="s">
        <v>165</v>
      </c>
      <c r="B119" s="499">
        <f t="shared" si="40"/>
        <v>18602.215249999997</v>
      </c>
      <c r="C119" s="499"/>
      <c r="D119" s="432">
        <f t="shared" ref="D119:J119" si="47">(1204.47/3)</f>
        <v>401.49</v>
      </c>
      <c r="E119" s="432">
        <f t="shared" ref="E119:G119" si="48">(1204.47/3)+(11694/3)</f>
        <v>4299.49</v>
      </c>
      <c r="F119" s="432">
        <f t="shared" si="48"/>
        <v>4299.49</v>
      </c>
      <c r="G119" s="432">
        <f t="shared" si="48"/>
        <v>4299.49</v>
      </c>
      <c r="H119" s="432">
        <f t="shared" si="47"/>
        <v>401.49</v>
      </c>
      <c r="I119" s="432">
        <f t="shared" si="47"/>
        <v>401.49</v>
      </c>
      <c r="J119" s="432">
        <f t="shared" si="47"/>
        <v>401.49</v>
      </c>
      <c r="K119" s="432">
        <f>(1204.47/3)*[2]Premissas!$B$3+'[2]Orçamento 2026'!J119</f>
        <v>419.55705</v>
      </c>
      <c r="L119" s="432">
        <f t="shared" ref="L119:O119" si="49">K119</f>
        <v>419.55705</v>
      </c>
      <c r="M119" s="432">
        <f>L119+2000</f>
        <v>2419.5570499999999</v>
      </c>
      <c r="N119" s="432">
        <f>L119</f>
        <v>419.55705</v>
      </c>
      <c r="O119" s="432">
        <f t="shared" si="49"/>
        <v>419.55705</v>
      </c>
    </row>
    <row r="120" spans="1:15" x14ac:dyDescent="0.3">
      <c r="A120" s="425" t="s">
        <v>166</v>
      </c>
      <c r="B120" s="432">
        <f t="shared" si="40"/>
        <v>0</v>
      </c>
      <c r="C120" s="432"/>
      <c r="D120" s="432"/>
      <c r="E120" s="432"/>
      <c r="F120" s="432"/>
      <c r="G120" s="432"/>
      <c r="H120" s="432"/>
      <c r="I120" s="432"/>
      <c r="J120" s="432"/>
      <c r="K120" s="432"/>
      <c r="L120" s="432"/>
      <c r="M120" s="432"/>
      <c r="N120" s="432"/>
      <c r="O120" s="432"/>
    </row>
    <row r="121" spans="1:15" s="424" customFormat="1" x14ac:dyDescent="0.3">
      <c r="A121" s="439" t="s">
        <v>167</v>
      </c>
      <c r="B121" s="432">
        <f t="shared" si="40"/>
        <v>17924.671400000003</v>
      </c>
      <c r="C121" s="432"/>
      <c r="D121" s="432">
        <v>200</v>
      </c>
      <c r="E121" s="432">
        <v>200</v>
      </c>
      <c r="F121" s="432">
        <v>200</v>
      </c>
      <c r="G121" s="432">
        <v>200</v>
      </c>
      <c r="H121" s="432">
        <v>200</v>
      </c>
      <c r="I121" s="432">
        <v>200</v>
      </c>
      <c r="J121" s="432">
        <f>(2539.82*[2]Premissas!B3+2539.82)+200</f>
        <v>2854.1119000000003</v>
      </c>
      <c r="K121" s="432">
        <f>J121</f>
        <v>2854.1119000000003</v>
      </c>
      <c r="L121" s="432">
        <f t="shared" ref="L121:N121" si="50">K121</f>
        <v>2854.1119000000003</v>
      </c>
      <c r="M121" s="432">
        <f>L121-200</f>
        <v>2654.1119000000003</v>
      </c>
      <c r="N121" s="432">
        <f t="shared" si="50"/>
        <v>2654.1119000000003</v>
      </c>
      <c r="O121" s="432">
        <f>N121+200</f>
        <v>2854.1119000000003</v>
      </c>
    </row>
    <row r="122" spans="1:15" s="424" customFormat="1" x14ac:dyDescent="0.3">
      <c r="A122" s="422" t="s">
        <v>61</v>
      </c>
      <c r="B122" s="432">
        <f t="shared" si="40"/>
        <v>0</v>
      </c>
      <c r="C122" s="429"/>
      <c r="D122" s="429">
        <f>SUM(D123:D124)</f>
        <v>0</v>
      </c>
      <c r="E122" s="436">
        <f>SUM(E123:E124)</f>
        <v>0</v>
      </c>
      <c r="F122" s="436">
        <f t="shared" ref="F122:O122" si="51">SUM(F123:F124)</f>
        <v>0</v>
      </c>
      <c r="G122" s="436">
        <f t="shared" si="51"/>
        <v>0</v>
      </c>
      <c r="H122" s="436">
        <f t="shared" si="51"/>
        <v>0</v>
      </c>
      <c r="I122" s="436">
        <f t="shared" si="51"/>
        <v>0</v>
      </c>
      <c r="J122" s="436">
        <f t="shared" si="51"/>
        <v>0</v>
      </c>
      <c r="K122" s="436">
        <f t="shared" si="51"/>
        <v>0</v>
      </c>
      <c r="L122" s="436">
        <f t="shared" si="51"/>
        <v>0</v>
      </c>
      <c r="M122" s="436">
        <f t="shared" si="51"/>
        <v>0</v>
      </c>
      <c r="N122" s="436">
        <f t="shared" si="51"/>
        <v>0</v>
      </c>
      <c r="O122" s="436">
        <f t="shared" si="51"/>
        <v>0</v>
      </c>
    </row>
    <row r="123" spans="1:15" s="437" customFormat="1" x14ac:dyDescent="0.3">
      <c r="A123" s="425" t="s">
        <v>168</v>
      </c>
      <c r="B123" s="432">
        <f t="shared" si="40"/>
        <v>0</v>
      </c>
      <c r="C123" s="432"/>
      <c r="D123" s="432"/>
      <c r="E123" s="434"/>
      <c r="F123" s="434"/>
      <c r="G123" s="434"/>
      <c r="H123" s="435"/>
      <c r="I123" s="435"/>
      <c r="J123" s="435"/>
      <c r="K123" s="435"/>
      <c r="L123" s="435"/>
      <c r="M123" s="435"/>
      <c r="N123" s="435"/>
      <c r="O123" s="435"/>
    </row>
    <row r="124" spans="1:15" s="424" customFormat="1" x14ac:dyDescent="0.3">
      <c r="A124" s="425" t="s">
        <v>169</v>
      </c>
      <c r="B124" s="432">
        <f t="shared" si="40"/>
        <v>0</v>
      </c>
      <c r="C124" s="432"/>
      <c r="D124" s="432"/>
      <c r="E124" s="434"/>
      <c r="F124" s="434"/>
      <c r="G124" s="434"/>
      <c r="H124" s="435"/>
      <c r="I124" s="435"/>
      <c r="J124" s="435"/>
      <c r="K124" s="435"/>
      <c r="L124" s="435"/>
      <c r="M124" s="435"/>
      <c r="N124" s="435"/>
      <c r="O124" s="435"/>
    </row>
    <row r="125" spans="1:15" s="424" customFormat="1" x14ac:dyDescent="0.3">
      <c r="A125" s="422" t="s">
        <v>62</v>
      </c>
      <c r="B125" s="429">
        <f>D125+E125+F125+G125+H125+I125+J125+K125+L125+M125+N125+O125</f>
        <v>96000</v>
      </c>
      <c r="C125" s="429"/>
      <c r="D125" s="436">
        <f t="shared" ref="D125:O125" si="52">SUM(D127:D145)</f>
        <v>4500</v>
      </c>
      <c r="E125" s="436">
        <f t="shared" si="52"/>
        <v>4500</v>
      </c>
      <c r="F125" s="436">
        <f t="shared" si="52"/>
        <v>6000</v>
      </c>
      <c r="G125" s="436">
        <f t="shared" si="52"/>
        <v>6000</v>
      </c>
      <c r="H125" s="436">
        <f t="shared" si="52"/>
        <v>6000</v>
      </c>
      <c r="I125" s="436">
        <f t="shared" si="52"/>
        <v>7500</v>
      </c>
      <c r="J125" s="436">
        <f t="shared" si="52"/>
        <v>4500</v>
      </c>
      <c r="K125" s="436">
        <f t="shared" si="52"/>
        <v>6000</v>
      </c>
      <c r="L125" s="436">
        <f t="shared" si="52"/>
        <v>6000</v>
      </c>
      <c r="M125" s="436">
        <f t="shared" si="52"/>
        <v>6000</v>
      </c>
      <c r="N125" s="436">
        <f t="shared" si="52"/>
        <v>4500</v>
      </c>
      <c r="O125" s="436">
        <f t="shared" si="52"/>
        <v>34500</v>
      </c>
    </row>
    <row r="126" spans="1:15" x14ac:dyDescent="0.3">
      <c r="A126" s="425" t="s">
        <v>170</v>
      </c>
      <c r="B126" s="432">
        <f>SUM(D126:O126)</f>
        <v>0</v>
      </c>
      <c r="C126" s="432"/>
      <c r="D126" s="432"/>
      <c r="E126" s="432"/>
      <c r="F126" s="434"/>
      <c r="G126" s="434"/>
      <c r="H126" s="435"/>
      <c r="I126" s="435"/>
      <c r="J126" s="435"/>
      <c r="K126" s="435"/>
      <c r="L126" s="435"/>
      <c r="M126" s="435"/>
      <c r="N126" s="435"/>
      <c r="O126" s="435"/>
    </row>
    <row r="127" spans="1:15" s="500" customFormat="1" x14ac:dyDescent="0.3">
      <c r="A127" s="445" t="s">
        <v>171</v>
      </c>
      <c r="B127" s="499">
        <f t="shared" ref="B127:B145" si="53">SUM(D127:O127)</f>
        <v>18000</v>
      </c>
      <c r="C127" s="499"/>
      <c r="D127" s="501">
        <f>500*3</f>
        <v>1500</v>
      </c>
      <c r="E127" s="501">
        <f t="shared" ref="E127:O127" si="54">500*3</f>
        <v>1500</v>
      </c>
      <c r="F127" s="501">
        <f t="shared" si="54"/>
        <v>1500</v>
      </c>
      <c r="G127" s="501">
        <f t="shared" si="54"/>
        <v>1500</v>
      </c>
      <c r="H127" s="501">
        <f t="shared" si="54"/>
        <v>1500</v>
      </c>
      <c r="I127" s="501">
        <f t="shared" si="54"/>
        <v>1500</v>
      </c>
      <c r="J127" s="501">
        <f t="shared" si="54"/>
        <v>1500</v>
      </c>
      <c r="K127" s="501">
        <f t="shared" si="54"/>
        <v>1500</v>
      </c>
      <c r="L127" s="501">
        <f t="shared" si="54"/>
        <v>1500</v>
      </c>
      <c r="M127" s="501">
        <f t="shared" si="54"/>
        <v>1500</v>
      </c>
      <c r="N127" s="501">
        <f t="shared" si="54"/>
        <v>1500</v>
      </c>
      <c r="O127" s="501">
        <f t="shared" si="54"/>
        <v>1500</v>
      </c>
    </row>
    <row r="128" spans="1:15" s="492" customFormat="1" x14ac:dyDescent="0.3">
      <c r="A128" s="431" t="s">
        <v>172</v>
      </c>
      <c r="B128" s="491">
        <f t="shared" si="53"/>
        <v>18000</v>
      </c>
      <c r="C128" s="491"/>
      <c r="D128" s="493">
        <f t="shared" ref="D128:O129" si="55">500*3</f>
        <v>1500</v>
      </c>
      <c r="E128" s="493">
        <f t="shared" si="55"/>
        <v>1500</v>
      </c>
      <c r="F128" s="493">
        <f t="shared" si="55"/>
        <v>1500</v>
      </c>
      <c r="G128" s="493">
        <f t="shared" si="55"/>
        <v>1500</v>
      </c>
      <c r="H128" s="493">
        <f t="shared" si="55"/>
        <v>1500</v>
      </c>
      <c r="I128" s="493">
        <f t="shared" si="55"/>
        <v>1500</v>
      </c>
      <c r="J128" s="493">
        <f t="shared" si="55"/>
        <v>1500</v>
      </c>
      <c r="K128" s="493">
        <f t="shared" si="55"/>
        <v>1500</v>
      </c>
      <c r="L128" s="493">
        <f t="shared" si="55"/>
        <v>1500</v>
      </c>
      <c r="M128" s="493">
        <f t="shared" si="55"/>
        <v>1500</v>
      </c>
      <c r="N128" s="493">
        <f t="shared" si="55"/>
        <v>1500</v>
      </c>
      <c r="O128" s="493">
        <f t="shared" si="55"/>
        <v>1500</v>
      </c>
    </row>
    <row r="129" spans="1:15" s="444" customFormat="1" x14ac:dyDescent="0.3">
      <c r="A129" s="444" t="s">
        <v>173</v>
      </c>
      <c r="B129" s="495">
        <f t="shared" si="53"/>
        <v>18000</v>
      </c>
      <c r="C129" s="495"/>
      <c r="D129" s="497">
        <f t="shared" si="55"/>
        <v>1500</v>
      </c>
      <c r="E129" s="497">
        <f t="shared" si="55"/>
        <v>1500</v>
      </c>
      <c r="F129" s="497">
        <f t="shared" si="55"/>
        <v>1500</v>
      </c>
      <c r="G129" s="497">
        <f t="shared" si="55"/>
        <v>1500</v>
      </c>
      <c r="H129" s="497">
        <f t="shared" si="55"/>
        <v>1500</v>
      </c>
      <c r="I129" s="497">
        <f t="shared" si="55"/>
        <v>1500</v>
      </c>
      <c r="J129" s="497">
        <f t="shared" si="55"/>
        <v>1500</v>
      </c>
      <c r="K129" s="497">
        <f t="shared" si="55"/>
        <v>1500</v>
      </c>
      <c r="L129" s="497">
        <f t="shared" si="55"/>
        <v>1500</v>
      </c>
      <c r="M129" s="497">
        <f t="shared" si="55"/>
        <v>1500</v>
      </c>
      <c r="N129" s="497">
        <f t="shared" si="55"/>
        <v>1500</v>
      </c>
      <c r="O129" s="497">
        <f t="shared" si="55"/>
        <v>1500</v>
      </c>
    </row>
    <row r="130" spans="1:15" s="416" customFormat="1" x14ac:dyDescent="0.3">
      <c r="A130" s="425" t="s">
        <v>174</v>
      </c>
      <c r="B130" s="432">
        <f t="shared" si="53"/>
        <v>0</v>
      </c>
      <c r="C130" s="432"/>
      <c r="D130" s="432"/>
      <c r="E130" s="432"/>
      <c r="F130" s="434"/>
      <c r="G130" s="434"/>
      <c r="H130" s="435"/>
      <c r="I130" s="435"/>
      <c r="J130" s="435"/>
      <c r="K130" s="435"/>
      <c r="L130" s="435"/>
      <c r="M130" s="435"/>
      <c r="N130" s="435"/>
      <c r="O130" s="435"/>
    </row>
    <row r="131" spans="1:15" s="445" customFormat="1" x14ac:dyDescent="0.3">
      <c r="A131" s="445" t="s">
        <v>175</v>
      </c>
      <c r="B131" s="499">
        <f t="shared" si="53"/>
        <v>0</v>
      </c>
      <c r="C131" s="499"/>
      <c r="D131" s="499"/>
      <c r="E131" s="499"/>
      <c r="F131" s="501"/>
      <c r="G131" s="501"/>
      <c r="H131" s="502"/>
      <c r="I131" s="502"/>
      <c r="J131" s="502"/>
      <c r="K131" s="502"/>
      <c r="L131" s="502"/>
      <c r="M131" s="502"/>
      <c r="N131" s="502"/>
      <c r="O131" s="502"/>
    </row>
    <row r="132" spans="1:15" s="431" customFormat="1" x14ac:dyDescent="0.3">
      <c r="A132" s="431" t="s">
        <v>176</v>
      </c>
      <c r="B132" s="491">
        <f t="shared" si="53"/>
        <v>0</v>
      </c>
      <c r="C132" s="491"/>
      <c r="D132" s="491"/>
      <c r="E132" s="491"/>
      <c r="F132" s="493"/>
      <c r="G132" s="493"/>
      <c r="H132" s="494"/>
      <c r="I132" s="494"/>
      <c r="J132" s="494"/>
      <c r="K132" s="494"/>
      <c r="L132" s="494"/>
      <c r="M132" s="494"/>
      <c r="N132" s="494"/>
      <c r="O132" s="494"/>
    </row>
    <row r="133" spans="1:15" s="444" customFormat="1" x14ac:dyDescent="0.3">
      <c r="A133" s="444" t="s">
        <v>177</v>
      </c>
      <c r="B133" s="495">
        <f t="shared" si="53"/>
        <v>0</v>
      </c>
      <c r="C133" s="495"/>
      <c r="D133" s="495"/>
      <c r="E133" s="495"/>
      <c r="F133" s="497"/>
      <c r="G133" s="497"/>
      <c r="H133" s="498"/>
      <c r="I133" s="498"/>
      <c r="J133" s="498"/>
      <c r="K133" s="498"/>
      <c r="L133" s="498"/>
      <c r="M133" s="498"/>
      <c r="N133" s="498"/>
      <c r="O133" s="498"/>
    </row>
    <row r="134" spans="1:15" s="416" customFormat="1" x14ac:dyDescent="0.3">
      <c r="A134" s="425" t="s">
        <v>178</v>
      </c>
      <c r="B134" s="432">
        <f t="shared" si="53"/>
        <v>30000</v>
      </c>
      <c r="C134" s="432"/>
      <c r="D134" s="432"/>
      <c r="E134" s="432"/>
      <c r="F134" s="434"/>
      <c r="G134" s="434"/>
      <c r="H134" s="435"/>
      <c r="I134" s="435"/>
      <c r="J134" s="435"/>
      <c r="K134" s="435"/>
      <c r="L134" s="435"/>
      <c r="M134" s="435"/>
      <c r="N134" s="432"/>
      <c r="O134" s="435">
        <v>30000</v>
      </c>
    </row>
    <row r="135" spans="1:15" s="445" customFormat="1" x14ac:dyDescent="0.3">
      <c r="A135" s="445" t="s">
        <v>179</v>
      </c>
      <c r="B135" s="499">
        <f t="shared" si="53"/>
        <v>3000</v>
      </c>
      <c r="C135" s="499"/>
      <c r="D135" s="499"/>
      <c r="E135" s="499"/>
      <c r="F135" s="501">
        <v>1500</v>
      </c>
      <c r="G135" s="501"/>
      <c r="H135" s="502"/>
      <c r="I135" s="502"/>
      <c r="J135" s="502"/>
      <c r="K135" s="501">
        <v>1500</v>
      </c>
      <c r="L135" s="501"/>
      <c r="M135" s="502"/>
      <c r="N135" s="502"/>
      <c r="O135" s="502"/>
    </row>
    <row r="136" spans="1:15" s="431" customFormat="1" x14ac:dyDescent="0.3">
      <c r="A136" s="431" t="s">
        <v>180</v>
      </c>
      <c r="B136" s="491">
        <f t="shared" si="53"/>
        <v>3000</v>
      </c>
      <c r="C136" s="491"/>
      <c r="D136" s="491"/>
      <c r="E136" s="491"/>
      <c r="F136" s="493"/>
      <c r="G136" s="493">
        <v>1500</v>
      </c>
      <c r="H136" s="494"/>
      <c r="I136" s="494"/>
      <c r="J136" s="494"/>
      <c r="K136" s="493"/>
      <c r="L136" s="493">
        <v>1500</v>
      </c>
      <c r="M136" s="494"/>
      <c r="N136" s="494"/>
      <c r="O136" s="494"/>
    </row>
    <row r="137" spans="1:15" s="444" customFormat="1" x14ac:dyDescent="0.3">
      <c r="A137" s="444" t="s">
        <v>181</v>
      </c>
      <c r="B137" s="495">
        <f t="shared" si="53"/>
        <v>3000</v>
      </c>
      <c r="C137" s="495"/>
      <c r="D137" s="495"/>
      <c r="E137" s="495"/>
      <c r="F137" s="497"/>
      <c r="G137" s="497"/>
      <c r="H137" s="498">
        <v>1500</v>
      </c>
      <c r="I137" s="498"/>
      <c r="J137" s="498"/>
      <c r="K137" s="497"/>
      <c r="L137" s="497"/>
      <c r="M137" s="498">
        <v>1500</v>
      </c>
      <c r="N137" s="498"/>
      <c r="O137" s="498"/>
    </row>
    <row r="138" spans="1:15" s="416" customFormat="1" x14ac:dyDescent="0.3">
      <c r="A138" s="425" t="s">
        <v>182</v>
      </c>
      <c r="B138" s="432">
        <f t="shared" si="53"/>
        <v>3000</v>
      </c>
      <c r="C138" s="432"/>
      <c r="D138" s="432"/>
      <c r="E138" s="432"/>
      <c r="F138" s="434"/>
      <c r="G138" s="434"/>
      <c r="H138" s="435"/>
      <c r="I138" s="435">
        <v>3000</v>
      </c>
      <c r="J138" s="435"/>
      <c r="K138" s="435"/>
      <c r="L138" s="435"/>
      <c r="M138" s="435"/>
      <c r="N138" s="435"/>
      <c r="O138" s="435"/>
    </row>
    <row r="139" spans="1:15" s="445" customFormat="1" x14ac:dyDescent="0.3">
      <c r="A139" s="445" t="s">
        <v>183</v>
      </c>
      <c r="B139" s="499">
        <f t="shared" si="53"/>
        <v>0</v>
      </c>
      <c r="C139" s="499"/>
      <c r="D139" s="499"/>
      <c r="E139" s="499"/>
      <c r="F139" s="501"/>
      <c r="G139" s="501"/>
      <c r="H139" s="502"/>
      <c r="I139" s="502"/>
      <c r="J139" s="502"/>
      <c r="K139" s="502"/>
      <c r="L139" s="502"/>
      <c r="M139" s="502"/>
      <c r="N139" s="502"/>
      <c r="O139" s="502"/>
    </row>
    <row r="140" spans="1:15" s="431" customFormat="1" x14ac:dyDescent="0.3">
      <c r="A140" s="431" t="s">
        <v>184</v>
      </c>
      <c r="B140" s="491">
        <f t="shared" si="53"/>
        <v>0</v>
      </c>
      <c r="C140" s="491"/>
      <c r="D140" s="491"/>
      <c r="E140" s="491"/>
      <c r="F140" s="493"/>
      <c r="G140" s="493"/>
      <c r="H140" s="494"/>
      <c r="I140" s="494"/>
      <c r="J140" s="494"/>
      <c r="K140" s="494"/>
      <c r="L140" s="494"/>
      <c r="M140" s="494"/>
      <c r="N140" s="494"/>
      <c r="O140" s="494"/>
    </row>
    <row r="141" spans="1:15" s="444" customFormat="1" x14ac:dyDescent="0.3">
      <c r="A141" s="444" t="s">
        <v>185</v>
      </c>
      <c r="B141" s="495">
        <f t="shared" si="53"/>
        <v>0</v>
      </c>
      <c r="C141" s="495"/>
      <c r="D141" s="495"/>
      <c r="E141" s="495"/>
      <c r="F141" s="497"/>
      <c r="G141" s="497"/>
      <c r="H141" s="498"/>
      <c r="I141" s="498"/>
      <c r="J141" s="498"/>
      <c r="K141" s="498"/>
      <c r="L141" s="498"/>
      <c r="M141" s="498"/>
      <c r="N141" s="498"/>
      <c r="O141" s="498"/>
    </row>
    <row r="142" spans="1:15" s="416" customFormat="1" x14ac:dyDescent="0.3">
      <c r="A142" s="439" t="s">
        <v>186</v>
      </c>
      <c r="B142" s="432">
        <f t="shared" si="53"/>
        <v>0</v>
      </c>
      <c r="C142" s="432"/>
      <c r="D142" s="432"/>
      <c r="E142" s="432"/>
      <c r="F142" s="434"/>
      <c r="G142" s="434"/>
      <c r="H142" s="435"/>
      <c r="I142" s="435"/>
      <c r="J142" s="435"/>
      <c r="K142" s="435"/>
      <c r="L142" s="435"/>
      <c r="M142" s="435"/>
      <c r="N142" s="435"/>
      <c r="O142" s="435"/>
    </row>
    <row r="143" spans="1:15" s="445" customFormat="1" x14ac:dyDescent="0.3">
      <c r="A143" s="445" t="s">
        <v>187</v>
      </c>
      <c r="B143" s="499">
        <f t="shared" si="53"/>
        <v>0</v>
      </c>
      <c r="C143" s="499"/>
      <c r="D143" s="499"/>
      <c r="E143" s="499"/>
      <c r="F143" s="499"/>
      <c r="G143" s="499"/>
      <c r="H143" s="499"/>
      <c r="I143" s="499"/>
      <c r="J143" s="499"/>
      <c r="K143" s="499"/>
      <c r="L143" s="499"/>
      <c r="M143" s="499"/>
      <c r="N143" s="499"/>
      <c r="O143" s="499"/>
    </row>
    <row r="144" spans="1:15" s="431" customFormat="1" x14ac:dyDescent="0.3">
      <c r="A144" s="431" t="s">
        <v>188</v>
      </c>
      <c r="B144" s="491">
        <f t="shared" si="53"/>
        <v>0</v>
      </c>
      <c r="C144" s="491"/>
      <c r="D144" s="491"/>
      <c r="E144" s="491"/>
      <c r="F144" s="491"/>
      <c r="G144" s="491"/>
      <c r="H144" s="491"/>
      <c r="I144" s="491"/>
      <c r="J144" s="491"/>
      <c r="K144" s="491"/>
      <c r="L144" s="491"/>
      <c r="M144" s="491"/>
      <c r="N144" s="491"/>
      <c r="O144" s="491"/>
    </row>
    <row r="145" spans="1:15" s="444" customFormat="1" x14ac:dyDescent="0.3">
      <c r="A145" s="444" t="s">
        <v>189</v>
      </c>
      <c r="B145" s="495">
        <f t="shared" si="53"/>
        <v>0</v>
      </c>
      <c r="C145" s="495"/>
      <c r="D145" s="495"/>
      <c r="E145" s="495"/>
      <c r="F145" s="497"/>
      <c r="G145" s="497"/>
      <c r="H145" s="497"/>
      <c r="I145" s="497"/>
      <c r="J145" s="497"/>
      <c r="K145" s="497"/>
      <c r="L145" s="497"/>
      <c r="M145" s="497"/>
      <c r="N145" s="497"/>
      <c r="O145" s="497"/>
    </row>
    <row r="146" spans="1:15" s="424" customFormat="1" x14ac:dyDescent="0.3">
      <c r="A146" s="442" t="s">
        <v>190</v>
      </c>
      <c r="B146" s="429">
        <f>SUM(B147:B151)</f>
        <v>2300</v>
      </c>
      <c r="C146" s="429"/>
      <c r="D146" s="429">
        <f>SUM(D147:D151)</f>
        <v>0</v>
      </c>
      <c r="E146" s="429">
        <f t="shared" ref="E146:O146" si="56">SUM(E147:E151)</f>
        <v>0</v>
      </c>
      <c r="F146" s="429">
        <f t="shared" si="56"/>
        <v>0</v>
      </c>
      <c r="G146" s="429">
        <f t="shared" si="56"/>
        <v>150</v>
      </c>
      <c r="H146" s="429">
        <f t="shared" si="56"/>
        <v>0</v>
      </c>
      <c r="I146" s="429">
        <f t="shared" si="56"/>
        <v>0</v>
      </c>
      <c r="J146" s="429">
        <f t="shared" si="56"/>
        <v>0</v>
      </c>
      <c r="K146" s="429">
        <f t="shared" si="56"/>
        <v>150</v>
      </c>
      <c r="L146" s="429">
        <f t="shared" si="56"/>
        <v>0</v>
      </c>
      <c r="M146" s="429">
        <f t="shared" si="56"/>
        <v>0</v>
      </c>
      <c r="N146" s="429">
        <f t="shared" si="56"/>
        <v>2000</v>
      </c>
      <c r="O146" s="429">
        <f t="shared" si="56"/>
        <v>0</v>
      </c>
    </row>
    <row r="147" spans="1:15" s="445" customFormat="1" x14ac:dyDescent="0.3">
      <c r="A147" s="445" t="s">
        <v>191</v>
      </c>
      <c r="B147" s="499">
        <f>SUM(D147:O147)</f>
        <v>0</v>
      </c>
      <c r="C147" s="499"/>
      <c r="D147" s="499"/>
      <c r="E147" s="499"/>
      <c r="F147" s="499"/>
      <c r="G147" s="499"/>
      <c r="H147" s="502"/>
      <c r="I147" s="499"/>
      <c r="J147" s="499"/>
      <c r="K147" s="499"/>
      <c r="L147" s="499"/>
      <c r="M147" s="499"/>
      <c r="N147" s="499"/>
      <c r="O147" s="499"/>
    </row>
    <row r="148" spans="1:15" s="431" customFormat="1" x14ac:dyDescent="0.3">
      <c r="A148" s="431" t="s">
        <v>192</v>
      </c>
      <c r="B148" s="491">
        <f t="shared" ref="B148:B149" si="57">SUM(D148:O148)</f>
        <v>0</v>
      </c>
      <c r="C148" s="491"/>
      <c r="D148" s="491"/>
      <c r="E148" s="491"/>
      <c r="F148" s="491"/>
      <c r="G148" s="491"/>
      <c r="H148" s="494"/>
      <c r="I148" s="491"/>
      <c r="J148" s="491"/>
      <c r="K148" s="491"/>
      <c r="L148" s="491"/>
      <c r="M148" s="491"/>
      <c r="N148" s="491"/>
      <c r="O148" s="491"/>
    </row>
    <row r="149" spans="1:15" s="444" customFormat="1" x14ac:dyDescent="0.3">
      <c r="A149" s="444" t="s">
        <v>193</v>
      </c>
      <c r="B149" s="495">
        <f t="shared" si="57"/>
        <v>0</v>
      </c>
      <c r="C149" s="495"/>
      <c r="D149" s="495"/>
      <c r="E149" s="495"/>
      <c r="F149" s="495"/>
      <c r="G149" s="495"/>
      <c r="H149" s="495"/>
      <c r="I149" s="495"/>
      <c r="J149" s="495"/>
      <c r="K149" s="495"/>
      <c r="L149" s="495"/>
      <c r="M149" s="495"/>
      <c r="N149" s="495"/>
      <c r="O149" s="495"/>
    </row>
    <row r="150" spans="1:15" s="465" customFormat="1" x14ac:dyDescent="0.3">
      <c r="A150" s="461" t="s">
        <v>194</v>
      </c>
      <c r="B150" s="462">
        <f t="shared" ref="B150" si="58">SUM(C150:N150)</f>
        <v>0</v>
      </c>
      <c r="C150" s="462"/>
      <c r="D150" s="432"/>
      <c r="E150" s="463"/>
      <c r="F150" s="463"/>
      <c r="G150" s="463"/>
      <c r="H150" s="463"/>
      <c r="I150" s="463"/>
      <c r="J150" s="463"/>
      <c r="K150" s="463"/>
      <c r="L150" s="463"/>
      <c r="M150" s="463"/>
      <c r="N150" s="463"/>
      <c r="O150" s="464">
        <f t="shared" ref="O150" si="59">C150+D150+E150+F150+G150+H150+I150+J150+K150+L150+M150+N150</f>
        <v>0</v>
      </c>
    </row>
    <row r="151" spans="1:15" s="424" customFormat="1" x14ac:dyDescent="0.3">
      <c r="A151" s="425" t="s">
        <v>195</v>
      </c>
      <c r="B151" s="432">
        <f>SUM(D151:O151)</f>
        <v>2300</v>
      </c>
      <c r="C151" s="432"/>
      <c r="D151" s="432"/>
      <c r="E151" s="434"/>
      <c r="F151" s="434"/>
      <c r="G151" s="434">
        <v>150</v>
      </c>
      <c r="H151" s="435"/>
      <c r="I151" s="435"/>
      <c r="J151" s="435"/>
      <c r="K151" s="435">
        <v>150</v>
      </c>
      <c r="L151" s="435"/>
      <c r="M151" s="435"/>
      <c r="N151" s="435">
        <v>2000</v>
      </c>
      <c r="O151" s="435"/>
    </row>
    <row r="152" spans="1:15" s="424" customFormat="1" x14ac:dyDescent="0.3">
      <c r="A152" s="442" t="s">
        <v>63</v>
      </c>
      <c r="B152" s="429">
        <f>D152+E152+F152+G152+H152+I152+J152+K152+L152+M152+N152+O152</f>
        <v>1200</v>
      </c>
      <c r="C152" s="429"/>
      <c r="D152" s="429">
        <f>SUM(D153:D155)</f>
        <v>100</v>
      </c>
      <c r="E152" s="429">
        <f t="shared" ref="E152:O152" si="60">SUM(E153:E155)</f>
        <v>100</v>
      </c>
      <c r="F152" s="429">
        <f t="shared" si="60"/>
        <v>100</v>
      </c>
      <c r="G152" s="429">
        <f t="shared" si="60"/>
        <v>100</v>
      </c>
      <c r="H152" s="429">
        <f t="shared" si="60"/>
        <v>100</v>
      </c>
      <c r="I152" s="429">
        <f t="shared" si="60"/>
        <v>100</v>
      </c>
      <c r="J152" s="429">
        <f t="shared" si="60"/>
        <v>100</v>
      </c>
      <c r="K152" s="429">
        <f t="shared" si="60"/>
        <v>100</v>
      </c>
      <c r="L152" s="429">
        <f t="shared" si="60"/>
        <v>100</v>
      </c>
      <c r="M152" s="429">
        <f t="shared" si="60"/>
        <v>100</v>
      </c>
      <c r="N152" s="429">
        <f t="shared" si="60"/>
        <v>100</v>
      </c>
      <c r="O152" s="429">
        <f t="shared" si="60"/>
        <v>100</v>
      </c>
    </row>
    <row r="153" spans="1:15" x14ac:dyDescent="0.3">
      <c r="A153" s="425" t="s">
        <v>196</v>
      </c>
      <c r="B153" s="432">
        <f>SUM(D153:O153)</f>
        <v>0</v>
      </c>
      <c r="C153" s="432"/>
      <c r="D153" s="432"/>
      <c r="E153" s="434"/>
      <c r="F153" s="434"/>
      <c r="G153" s="434"/>
      <c r="H153" s="435"/>
      <c r="I153" s="435"/>
      <c r="J153" s="435"/>
      <c r="K153" s="435"/>
      <c r="L153" s="435"/>
      <c r="M153" s="435"/>
      <c r="N153" s="435"/>
      <c r="O153" s="435"/>
    </row>
    <row r="154" spans="1:15" x14ac:dyDescent="0.3">
      <c r="A154" s="425" t="s">
        <v>197</v>
      </c>
      <c r="B154" s="432">
        <f t="shared" ref="B154:B155" si="61">SUM(D154:O154)</f>
        <v>1200</v>
      </c>
      <c r="C154" s="432"/>
      <c r="D154" s="432">
        <v>100</v>
      </c>
      <c r="E154" s="432">
        <v>100</v>
      </c>
      <c r="F154" s="432">
        <v>100</v>
      </c>
      <c r="G154" s="432">
        <v>100</v>
      </c>
      <c r="H154" s="432">
        <v>100</v>
      </c>
      <c r="I154" s="432">
        <v>100</v>
      </c>
      <c r="J154" s="432">
        <v>100</v>
      </c>
      <c r="K154" s="432">
        <v>100</v>
      </c>
      <c r="L154" s="432">
        <v>100</v>
      </c>
      <c r="M154" s="432">
        <v>100</v>
      </c>
      <c r="N154" s="432">
        <v>100</v>
      </c>
      <c r="O154" s="432">
        <v>100</v>
      </c>
    </row>
    <row r="155" spans="1:15" s="424" customFormat="1" x14ac:dyDescent="0.3">
      <c r="A155" s="425" t="s">
        <v>198</v>
      </c>
      <c r="B155" s="432">
        <f t="shared" si="61"/>
        <v>0</v>
      </c>
      <c r="C155" s="432"/>
      <c r="D155" s="432"/>
      <c r="E155" s="434"/>
      <c r="F155" s="434"/>
      <c r="G155" s="434"/>
      <c r="H155" s="435"/>
      <c r="I155" s="435"/>
      <c r="J155" s="435"/>
      <c r="K155" s="435"/>
      <c r="L155" s="435"/>
      <c r="M155" s="435"/>
      <c r="N155" s="435"/>
      <c r="O155" s="435"/>
    </row>
    <row r="156" spans="1:15" s="424" customFormat="1" x14ac:dyDescent="0.3">
      <c r="A156" s="441" t="s">
        <v>199</v>
      </c>
      <c r="B156" s="429">
        <f>D156+E156+F156+G156+H156+I156+J156+K156+L156+M156+N156+O156</f>
        <v>24500</v>
      </c>
      <c r="C156" s="429"/>
      <c r="D156" s="429">
        <f>SUM(D157:D160)</f>
        <v>8000</v>
      </c>
      <c r="E156" s="429">
        <f>SUM(E157:E160)</f>
        <v>1500</v>
      </c>
      <c r="F156" s="429">
        <f t="shared" ref="F156:O156" si="62">SUM(F157:F161)</f>
        <v>1500</v>
      </c>
      <c r="G156" s="429">
        <f t="shared" si="62"/>
        <v>1500</v>
      </c>
      <c r="H156" s="429">
        <f t="shared" si="62"/>
        <v>1500</v>
      </c>
      <c r="I156" s="429">
        <f t="shared" si="62"/>
        <v>1500</v>
      </c>
      <c r="J156" s="429">
        <f t="shared" si="62"/>
        <v>1500</v>
      </c>
      <c r="K156" s="429">
        <f t="shared" si="62"/>
        <v>1500</v>
      </c>
      <c r="L156" s="429">
        <f t="shared" si="62"/>
        <v>1500</v>
      </c>
      <c r="M156" s="429">
        <f t="shared" si="62"/>
        <v>1500</v>
      </c>
      <c r="N156" s="429">
        <f t="shared" si="62"/>
        <v>1500</v>
      </c>
      <c r="O156" s="429">
        <f t="shared" si="62"/>
        <v>1500</v>
      </c>
    </row>
    <row r="157" spans="1:15" x14ac:dyDescent="0.3">
      <c r="A157" s="425" t="s">
        <v>200</v>
      </c>
      <c r="B157" s="432">
        <f t="shared" ref="B157:B161" si="63">SUM(D157:O157)</f>
        <v>12000</v>
      </c>
      <c r="C157" s="432"/>
      <c r="D157" s="432">
        <v>1000</v>
      </c>
      <c r="E157" s="432">
        <v>1000</v>
      </c>
      <c r="F157" s="432">
        <v>1000</v>
      </c>
      <c r="G157" s="432">
        <v>1000</v>
      </c>
      <c r="H157" s="432">
        <v>1000</v>
      </c>
      <c r="I157" s="432">
        <v>1000</v>
      </c>
      <c r="J157" s="432">
        <v>1000</v>
      </c>
      <c r="K157" s="432">
        <v>1000</v>
      </c>
      <c r="L157" s="432">
        <v>1000</v>
      </c>
      <c r="M157" s="432">
        <v>1000</v>
      </c>
      <c r="N157" s="432">
        <v>1000</v>
      </c>
      <c r="O157" s="432">
        <v>1000</v>
      </c>
    </row>
    <row r="158" spans="1:15" s="424" customFormat="1" x14ac:dyDescent="0.3">
      <c r="A158" s="425" t="s">
        <v>201</v>
      </c>
      <c r="B158" s="432">
        <f t="shared" si="63"/>
        <v>12500</v>
      </c>
      <c r="C158" s="432"/>
      <c r="D158" s="432">
        <v>7000</v>
      </c>
      <c r="E158" s="432">
        <v>500</v>
      </c>
      <c r="F158" s="432">
        <v>500</v>
      </c>
      <c r="G158" s="432">
        <v>500</v>
      </c>
      <c r="H158" s="432">
        <v>500</v>
      </c>
      <c r="I158" s="432">
        <v>500</v>
      </c>
      <c r="J158" s="432">
        <v>500</v>
      </c>
      <c r="K158" s="432">
        <v>500</v>
      </c>
      <c r="L158" s="432">
        <v>500</v>
      </c>
      <c r="M158" s="432">
        <v>500</v>
      </c>
      <c r="N158" s="432">
        <v>500</v>
      </c>
      <c r="O158" s="432">
        <v>500</v>
      </c>
    </row>
    <row r="159" spans="1:15" s="424" customFormat="1" x14ac:dyDescent="0.3">
      <c r="A159" s="425" t="s">
        <v>202</v>
      </c>
      <c r="B159" s="432">
        <f t="shared" si="63"/>
        <v>0</v>
      </c>
      <c r="C159" s="432"/>
      <c r="D159" s="432"/>
      <c r="E159" s="432"/>
      <c r="F159" s="434"/>
      <c r="G159" s="434"/>
      <c r="H159" s="435"/>
      <c r="I159" s="435"/>
      <c r="J159" s="435"/>
      <c r="K159" s="435"/>
      <c r="L159" s="435"/>
      <c r="M159" s="435"/>
      <c r="N159" s="435"/>
      <c r="O159" s="435"/>
    </row>
    <row r="160" spans="1:15" s="424" customFormat="1" x14ac:dyDescent="0.3">
      <c r="A160" s="425" t="s">
        <v>203</v>
      </c>
      <c r="B160" s="432">
        <f t="shared" si="63"/>
        <v>0</v>
      </c>
      <c r="C160" s="432"/>
      <c r="D160" s="432"/>
      <c r="E160" s="432"/>
      <c r="F160" s="434"/>
      <c r="G160" s="434"/>
      <c r="H160" s="435"/>
      <c r="I160" s="435"/>
      <c r="J160" s="435"/>
      <c r="K160" s="435"/>
      <c r="L160" s="435"/>
      <c r="M160" s="435"/>
      <c r="N160" s="435"/>
      <c r="O160" s="435"/>
    </row>
    <row r="161" spans="1:15" s="424" customFormat="1" x14ac:dyDescent="0.3">
      <c r="A161" s="425" t="s">
        <v>204</v>
      </c>
      <c r="B161" s="432">
        <f t="shared" si="63"/>
        <v>0</v>
      </c>
      <c r="C161" s="432"/>
      <c r="D161" s="432"/>
      <c r="E161" s="432"/>
      <c r="F161" s="434"/>
      <c r="G161" s="434"/>
      <c r="H161" s="435"/>
      <c r="I161" s="435"/>
      <c r="J161" s="435"/>
      <c r="K161" s="435"/>
      <c r="L161" s="435"/>
      <c r="M161" s="435"/>
      <c r="N161" s="435"/>
      <c r="O161" s="435"/>
    </row>
    <row r="162" spans="1:15" s="424" customFormat="1" x14ac:dyDescent="0.3">
      <c r="A162" s="441" t="s">
        <v>64</v>
      </c>
      <c r="B162" s="429">
        <f>SUM(B163:B173)</f>
        <v>318600</v>
      </c>
      <c r="C162" s="429"/>
      <c r="D162" s="429">
        <f t="shared" ref="D162:O162" si="64">SUM(D163:D173)</f>
        <v>30300</v>
      </c>
      <c r="E162" s="429">
        <f t="shared" si="64"/>
        <v>22800</v>
      </c>
      <c r="F162" s="429">
        <f t="shared" si="64"/>
        <v>37800</v>
      </c>
      <c r="G162" s="429">
        <f t="shared" si="64"/>
        <v>30300</v>
      </c>
      <c r="H162" s="429">
        <f t="shared" si="64"/>
        <v>22800</v>
      </c>
      <c r="I162" s="429">
        <f t="shared" si="64"/>
        <v>22800</v>
      </c>
      <c r="J162" s="429">
        <f t="shared" si="64"/>
        <v>30300</v>
      </c>
      <c r="K162" s="429">
        <f t="shared" si="64"/>
        <v>22800</v>
      </c>
      <c r="L162" s="429">
        <f t="shared" si="64"/>
        <v>22800</v>
      </c>
      <c r="M162" s="429">
        <f t="shared" si="64"/>
        <v>30300</v>
      </c>
      <c r="N162" s="429">
        <f t="shared" si="64"/>
        <v>22800</v>
      </c>
      <c r="O162" s="429">
        <f t="shared" si="64"/>
        <v>22800</v>
      </c>
    </row>
    <row r="163" spans="1:15" s="424" customFormat="1" x14ac:dyDescent="0.3">
      <c r="A163" s="425" t="s">
        <v>205</v>
      </c>
      <c r="B163" s="432">
        <f>SUM(D163:O163)</f>
        <v>0</v>
      </c>
      <c r="C163" s="432"/>
      <c r="D163" s="432"/>
      <c r="E163" s="432"/>
      <c r="F163" s="432"/>
      <c r="G163" s="432"/>
      <c r="H163" s="432"/>
      <c r="I163" s="432"/>
      <c r="J163" s="432"/>
      <c r="K163" s="432"/>
      <c r="L163" s="432"/>
      <c r="M163" s="432"/>
      <c r="N163" s="432"/>
      <c r="O163" s="432"/>
    </row>
    <row r="164" spans="1:15" s="424" customFormat="1" x14ac:dyDescent="0.3">
      <c r="A164" s="425" t="s">
        <v>206</v>
      </c>
      <c r="B164" s="432">
        <f t="shared" ref="B164:B173" si="65">SUM(D164:O164)</f>
        <v>30000</v>
      </c>
      <c r="C164" s="432"/>
      <c r="D164" s="432">
        <v>7500</v>
      </c>
      <c r="E164" s="432"/>
      <c r="F164" s="432"/>
      <c r="G164" s="432">
        <v>7500</v>
      </c>
      <c r="H164" s="432"/>
      <c r="I164" s="432"/>
      <c r="J164" s="432">
        <v>7500</v>
      </c>
      <c r="K164" s="432"/>
      <c r="L164" s="432"/>
      <c r="M164" s="432">
        <v>7500</v>
      </c>
      <c r="N164" s="432"/>
      <c r="O164" s="432"/>
    </row>
    <row r="165" spans="1:15" s="424" customFormat="1" x14ac:dyDescent="0.3">
      <c r="A165" s="425" t="s">
        <v>207</v>
      </c>
      <c r="B165" s="432">
        <f t="shared" si="65"/>
        <v>0</v>
      </c>
      <c r="C165" s="432"/>
      <c r="D165" s="432"/>
      <c r="E165" s="432"/>
      <c r="F165" s="432"/>
      <c r="G165" s="432"/>
      <c r="H165" s="432"/>
      <c r="I165" s="432"/>
      <c r="J165" s="432"/>
      <c r="K165" s="432"/>
      <c r="L165" s="432"/>
      <c r="M165" s="432"/>
      <c r="N165" s="432"/>
      <c r="O165" s="432"/>
    </row>
    <row r="166" spans="1:15" s="424" customFormat="1" x14ac:dyDescent="0.3">
      <c r="A166" s="425" t="s">
        <v>208</v>
      </c>
      <c r="B166" s="432">
        <f t="shared" si="65"/>
        <v>2400</v>
      </c>
      <c r="C166" s="432"/>
      <c r="D166" s="432">
        <v>200</v>
      </c>
      <c r="E166" s="432">
        <v>200</v>
      </c>
      <c r="F166" s="432">
        <v>200</v>
      </c>
      <c r="G166" s="432">
        <v>200</v>
      </c>
      <c r="H166" s="432">
        <v>200</v>
      </c>
      <c r="I166" s="432">
        <v>200</v>
      </c>
      <c r="J166" s="432">
        <v>200</v>
      </c>
      <c r="K166" s="432">
        <v>200</v>
      </c>
      <c r="L166" s="432">
        <v>200</v>
      </c>
      <c r="M166" s="432">
        <v>200</v>
      </c>
      <c r="N166" s="432">
        <v>200</v>
      </c>
      <c r="O166" s="432">
        <v>200</v>
      </c>
    </row>
    <row r="167" spans="1:15" s="424" customFormat="1" x14ac:dyDescent="0.3">
      <c r="A167" s="425" t="s">
        <v>209</v>
      </c>
      <c r="B167" s="432">
        <f t="shared" si="65"/>
        <v>0</v>
      </c>
      <c r="C167" s="432"/>
      <c r="D167" s="432"/>
      <c r="E167" s="432"/>
      <c r="F167" s="432"/>
      <c r="G167" s="432"/>
      <c r="H167" s="432"/>
      <c r="I167" s="432"/>
      <c r="J167" s="432"/>
      <c r="K167" s="432"/>
      <c r="L167" s="432"/>
      <c r="M167" s="432"/>
      <c r="N167" s="432"/>
      <c r="O167" s="432"/>
    </row>
    <row r="168" spans="1:15" s="424" customFormat="1" x14ac:dyDescent="0.3">
      <c r="A168" s="425" t="s">
        <v>210</v>
      </c>
      <c r="B168" s="432">
        <f t="shared" si="65"/>
        <v>180000</v>
      </c>
      <c r="C168" s="432"/>
      <c r="D168" s="432">
        <v>15000</v>
      </c>
      <c r="E168" s="432">
        <v>15000</v>
      </c>
      <c r="F168" s="432">
        <v>15000</v>
      </c>
      <c r="G168" s="432">
        <v>15000</v>
      </c>
      <c r="H168" s="432">
        <v>15000</v>
      </c>
      <c r="I168" s="432">
        <v>15000</v>
      </c>
      <c r="J168" s="432">
        <v>15000</v>
      </c>
      <c r="K168" s="432">
        <v>15000</v>
      </c>
      <c r="L168" s="432">
        <v>15000</v>
      </c>
      <c r="M168" s="432">
        <v>15000</v>
      </c>
      <c r="N168" s="432">
        <v>15000</v>
      </c>
      <c r="O168" s="432">
        <v>15000</v>
      </c>
    </row>
    <row r="169" spans="1:15" s="464" customFormat="1" x14ac:dyDescent="0.25">
      <c r="A169" s="466" t="s">
        <v>211</v>
      </c>
      <c r="B169" s="467">
        <f t="shared" ref="B169" si="66">SUM(C169:N169)</f>
        <v>0</v>
      </c>
      <c r="C169" s="468"/>
      <c r="D169" s="468"/>
      <c r="E169" s="469"/>
      <c r="F169" s="469"/>
      <c r="G169" s="469"/>
      <c r="H169" s="469"/>
      <c r="I169" s="469"/>
      <c r="J169" s="469"/>
      <c r="K169" s="469"/>
      <c r="L169" s="469"/>
      <c r="M169" s="469"/>
      <c r="N169" s="469"/>
      <c r="O169" s="464">
        <f t="shared" ref="O169" si="67">C169+D169+E169+F169+G169+H169+I169+J169+K169+L169+M169+N169</f>
        <v>0</v>
      </c>
    </row>
    <row r="170" spans="1:15" x14ac:dyDescent="0.3">
      <c r="A170" s="425" t="s">
        <v>212</v>
      </c>
      <c r="B170" s="432">
        <f t="shared" si="65"/>
        <v>21600</v>
      </c>
      <c r="C170" s="432"/>
      <c r="D170" s="432">
        <v>1800</v>
      </c>
      <c r="E170" s="432">
        <v>1800</v>
      </c>
      <c r="F170" s="432">
        <v>1800</v>
      </c>
      <c r="G170" s="432">
        <v>1800</v>
      </c>
      <c r="H170" s="432">
        <v>1800</v>
      </c>
      <c r="I170" s="432">
        <v>1800</v>
      </c>
      <c r="J170" s="432">
        <v>1800</v>
      </c>
      <c r="K170" s="432">
        <v>1800</v>
      </c>
      <c r="L170" s="432">
        <v>1800</v>
      </c>
      <c r="M170" s="432">
        <v>1800</v>
      </c>
      <c r="N170" s="432">
        <v>1800</v>
      </c>
      <c r="O170" s="432">
        <v>1800</v>
      </c>
    </row>
    <row r="171" spans="1:15" s="424" customFormat="1" x14ac:dyDescent="0.3">
      <c r="A171" s="470" t="s">
        <v>213</v>
      </c>
      <c r="B171" s="432">
        <f t="shared" si="65"/>
        <v>0</v>
      </c>
      <c r="C171" s="432"/>
      <c r="D171" s="432"/>
      <c r="E171" s="432"/>
      <c r="F171" s="432"/>
      <c r="G171" s="432"/>
      <c r="H171" s="432"/>
      <c r="I171" s="432"/>
      <c r="J171" s="432"/>
      <c r="K171" s="432"/>
      <c r="L171" s="432"/>
      <c r="M171" s="432"/>
      <c r="N171" s="432"/>
      <c r="O171" s="432"/>
    </row>
    <row r="172" spans="1:15" s="424" customFormat="1" x14ac:dyDescent="0.3">
      <c r="A172" s="470" t="s">
        <v>214</v>
      </c>
      <c r="B172" s="432">
        <f t="shared" si="65"/>
        <v>69600</v>
      </c>
      <c r="C172" s="432"/>
      <c r="D172" s="432">
        <v>5800</v>
      </c>
      <c r="E172" s="432">
        <v>5800</v>
      </c>
      <c r="F172" s="432">
        <v>5800</v>
      </c>
      <c r="G172" s="432">
        <v>5800</v>
      </c>
      <c r="H172" s="432">
        <v>5800</v>
      </c>
      <c r="I172" s="432">
        <v>5800</v>
      </c>
      <c r="J172" s="432">
        <v>5800</v>
      </c>
      <c r="K172" s="432">
        <v>5800</v>
      </c>
      <c r="L172" s="432">
        <v>5800</v>
      </c>
      <c r="M172" s="432">
        <v>5800</v>
      </c>
      <c r="N172" s="432">
        <v>5800</v>
      </c>
      <c r="O172" s="432">
        <v>5800</v>
      </c>
    </row>
    <row r="173" spans="1:15" s="424" customFormat="1" x14ac:dyDescent="0.3">
      <c r="A173" s="425" t="s">
        <v>215</v>
      </c>
      <c r="B173" s="432">
        <f t="shared" si="65"/>
        <v>15000</v>
      </c>
      <c r="C173" s="432"/>
      <c r="D173" s="432"/>
      <c r="E173" s="432"/>
      <c r="F173" s="432">
        <v>15000</v>
      </c>
      <c r="G173" s="432"/>
      <c r="H173" s="432"/>
      <c r="I173" s="432"/>
      <c r="J173" s="432"/>
      <c r="K173" s="432"/>
      <c r="L173" s="432"/>
      <c r="M173" s="432"/>
      <c r="N173" s="432"/>
      <c r="O173" s="432"/>
    </row>
    <row r="174" spans="1:15" s="424" customFormat="1" x14ac:dyDescent="0.3">
      <c r="A174" s="422" t="s">
        <v>216</v>
      </c>
      <c r="B174" s="429">
        <f t="shared" ref="B174:B179" si="68">D174+E174+F174+G174+H174+I174+J174+K174+L174+M174+N174+O174</f>
        <v>0</v>
      </c>
      <c r="C174" s="429"/>
      <c r="D174" s="429">
        <f>SUM(D175:D179)</f>
        <v>0</v>
      </c>
      <c r="E174" s="436">
        <f t="shared" ref="E174:O174" si="69">SUM(E175:E179)</f>
        <v>0</v>
      </c>
      <c r="F174" s="436">
        <f t="shared" si="69"/>
        <v>0</v>
      </c>
      <c r="G174" s="436">
        <f t="shared" si="69"/>
        <v>0</v>
      </c>
      <c r="H174" s="436">
        <f t="shared" si="69"/>
        <v>0</v>
      </c>
      <c r="I174" s="436">
        <f t="shared" si="69"/>
        <v>0</v>
      </c>
      <c r="J174" s="436">
        <f t="shared" si="69"/>
        <v>0</v>
      </c>
      <c r="K174" s="436">
        <f t="shared" si="69"/>
        <v>0</v>
      </c>
      <c r="L174" s="436">
        <f t="shared" si="69"/>
        <v>0</v>
      </c>
      <c r="M174" s="436">
        <f t="shared" si="69"/>
        <v>0</v>
      </c>
      <c r="N174" s="436">
        <f t="shared" si="69"/>
        <v>0</v>
      </c>
      <c r="O174" s="436">
        <f t="shared" si="69"/>
        <v>0</v>
      </c>
    </row>
    <row r="175" spans="1:15" x14ac:dyDescent="0.3">
      <c r="A175" s="425" t="s">
        <v>217</v>
      </c>
      <c r="B175" s="432">
        <f t="shared" si="68"/>
        <v>0</v>
      </c>
      <c r="C175" s="432"/>
      <c r="D175" s="432"/>
      <c r="E175" s="434"/>
      <c r="F175" s="434"/>
      <c r="G175" s="434"/>
      <c r="H175" s="435"/>
      <c r="I175" s="435"/>
      <c r="J175" s="435"/>
      <c r="K175" s="435"/>
      <c r="L175" s="435"/>
      <c r="M175" s="435"/>
      <c r="N175" s="435"/>
      <c r="O175" s="435"/>
    </row>
    <row r="176" spans="1:15" s="443" customFormat="1" x14ac:dyDescent="0.3">
      <c r="A176" s="425" t="s">
        <v>218</v>
      </c>
      <c r="B176" s="432">
        <f t="shared" si="68"/>
        <v>0</v>
      </c>
      <c r="C176" s="432"/>
      <c r="D176" s="432"/>
      <c r="E176" s="434"/>
      <c r="F176" s="434"/>
      <c r="G176" s="434"/>
      <c r="H176" s="435"/>
      <c r="I176" s="435"/>
      <c r="J176" s="435"/>
      <c r="K176" s="435"/>
      <c r="L176" s="435"/>
      <c r="M176" s="435"/>
      <c r="N176" s="435"/>
      <c r="O176" s="435"/>
    </row>
    <row r="177" spans="1:15" s="424" customFormat="1" x14ac:dyDescent="0.3">
      <c r="A177" s="425" t="s">
        <v>219</v>
      </c>
      <c r="B177" s="432">
        <f t="shared" si="68"/>
        <v>0</v>
      </c>
      <c r="C177" s="432"/>
      <c r="D177" s="432"/>
      <c r="E177" s="434"/>
      <c r="F177" s="434"/>
      <c r="G177" s="434"/>
      <c r="H177" s="435"/>
      <c r="I177" s="435"/>
      <c r="J177" s="435"/>
      <c r="K177" s="435"/>
      <c r="L177" s="435"/>
      <c r="M177" s="435"/>
      <c r="N177" s="435"/>
      <c r="O177" s="435"/>
    </row>
    <row r="178" spans="1:15" s="424" customFormat="1" x14ac:dyDescent="0.3">
      <c r="A178" s="425" t="s">
        <v>220</v>
      </c>
      <c r="B178" s="432">
        <f t="shared" si="68"/>
        <v>0</v>
      </c>
      <c r="C178" s="432"/>
      <c r="D178" s="432"/>
      <c r="E178" s="434"/>
      <c r="F178" s="434"/>
      <c r="G178" s="434"/>
      <c r="H178" s="435"/>
      <c r="I178" s="435"/>
      <c r="J178" s="435"/>
      <c r="K178" s="435"/>
      <c r="L178" s="435"/>
      <c r="M178" s="435"/>
      <c r="N178" s="435"/>
      <c r="O178" s="435"/>
    </row>
    <row r="179" spans="1:15" s="424" customFormat="1" x14ac:dyDescent="0.3">
      <c r="A179" s="425" t="s">
        <v>221</v>
      </c>
      <c r="B179" s="432">
        <f t="shared" si="68"/>
        <v>0</v>
      </c>
      <c r="C179" s="432"/>
      <c r="D179" s="432"/>
      <c r="E179" s="434"/>
      <c r="F179" s="434"/>
      <c r="G179" s="434"/>
      <c r="H179" s="435"/>
      <c r="I179" s="435"/>
      <c r="J179" s="435"/>
      <c r="K179" s="435"/>
      <c r="L179" s="435"/>
      <c r="M179" s="435"/>
      <c r="N179" s="435"/>
      <c r="O179" s="435"/>
    </row>
    <row r="180" spans="1:15" s="424" customFormat="1" x14ac:dyDescent="0.3">
      <c r="A180" s="422" t="s">
        <v>222</v>
      </c>
      <c r="B180" s="429">
        <f>B5+B28+B53+B74+B81+B84+B98+B104+B112+B152+B162+B125+B146</f>
        <v>3825544.0421166667</v>
      </c>
      <c r="C180" s="429"/>
      <c r="D180" s="429">
        <f>D5+D28+D53+D74+D81+D84+D98+D104+D112+D152+D162+D125+D146</f>
        <v>318693.25333333341</v>
      </c>
      <c r="E180" s="429">
        <f t="shared" ref="E180:O180" si="70">E5+E28+E53+E74+E81+E84+E98+E104+E112+E152+E162+E125+E146</f>
        <v>324170.50046666671</v>
      </c>
      <c r="F180" s="429">
        <f t="shared" si="70"/>
        <v>328920.72546666668</v>
      </c>
      <c r="G180" s="429">
        <f t="shared" si="70"/>
        <v>328220.72546666668</v>
      </c>
      <c r="H180" s="429">
        <f t="shared" si="70"/>
        <v>302231.6754666667</v>
      </c>
      <c r="I180" s="429">
        <f t="shared" si="70"/>
        <v>305299.93546666671</v>
      </c>
      <c r="J180" s="429">
        <f t="shared" si="70"/>
        <v>318679.04736666672</v>
      </c>
      <c r="K180" s="429">
        <f t="shared" si="70"/>
        <v>307190.18146666669</v>
      </c>
      <c r="L180" s="429">
        <f t="shared" si="70"/>
        <v>305940.18146666669</v>
      </c>
      <c r="M180" s="429">
        <f t="shared" si="70"/>
        <v>327035.10371666664</v>
      </c>
      <c r="N180" s="429">
        <f t="shared" si="70"/>
        <v>315480.85621666664</v>
      </c>
      <c r="O180" s="429">
        <f t="shared" si="70"/>
        <v>343681.85621666664</v>
      </c>
    </row>
    <row r="186" spans="1:15" s="1" customFormat="1" x14ac:dyDescent="0.3">
      <c r="A186" s="2" t="s">
        <v>223</v>
      </c>
      <c r="B186" s="2">
        <f>SUM(D186:O186)</f>
        <v>1386633.3943666667</v>
      </c>
      <c r="C186" s="26">
        <f>C72+C79+C82+C97+C103+C111+C124+C145+C151+C167</f>
        <v>0</v>
      </c>
      <c r="D186" s="26">
        <f>D74+D81+D84+D98+D104+D112+D125+D146+D152+D162</f>
        <v>102906.66333333333</v>
      </c>
      <c r="E186" s="26">
        <f t="shared" ref="E186:O186" si="71">E74+E81+E84+E98+E104+E112+E125+E146+E152+E162</f>
        <v>112483.91046666667</v>
      </c>
      <c r="F186" s="26">
        <f t="shared" si="71"/>
        <v>129851.11546666667</v>
      </c>
      <c r="G186" s="26">
        <f t="shared" si="71"/>
        <v>124351.11546666667</v>
      </c>
      <c r="H186" s="26">
        <f t="shared" si="71"/>
        <v>103162.06546666667</v>
      </c>
      <c r="I186" s="26">
        <f t="shared" si="71"/>
        <v>106230.32546666668</v>
      </c>
      <c r="J186" s="26">
        <f t="shared" si="71"/>
        <v>114809.43736666668</v>
      </c>
      <c r="K186" s="26">
        <f t="shared" si="71"/>
        <v>108120.57146666668</v>
      </c>
      <c r="L186" s="26">
        <f t="shared" si="71"/>
        <v>106870.57146666668</v>
      </c>
      <c r="M186" s="26">
        <f t="shared" si="71"/>
        <v>120879.23946666668</v>
      </c>
      <c r="N186" s="26">
        <f t="shared" si="71"/>
        <v>114384.18946666668</v>
      </c>
      <c r="O186" s="26">
        <f t="shared" si="71"/>
        <v>142584.18946666666</v>
      </c>
    </row>
    <row r="187" spans="1:15" s="1" customFormat="1" x14ac:dyDescent="0.3">
      <c r="A187" s="2" t="s">
        <v>224</v>
      </c>
      <c r="B187" s="2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16">
        <f>C187+D187+E187+F187+G187+H187+I187+J187+K187+L187+M187</f>
        <v>0</v>
      </c>
    </row>
    <row r="188" spans="1:15" s="1" customFormat="1" x14ac:dyDescent="0.3">
      <c r="A188" s="2" t="s">
        <v>225</v>
      </c>
      <c r="B188" s="2"/>
      <c r="C188" s="26">
        <f t="shared" ref="C188:H188" si="72">+C155</f>
        <v>0</v>
      </c>
      <c r="D188" s="26">
        <f t="shared" si="72"/>
        <v>0</v>
      </c>
      <c r="E188" s="26">
        <f t="shared" si="72"/>
        <v>0</v>
      </c>
      <c r="F188" s="26">
        <f t="shared" si="72"/>
        <v>0</v>
      </c>
      <c r="G188" s="26">
        <f t="shared" si="72"/>
        <v>0</v>
      </c>
      <c r="H188" s="26">
        <f t="shared" si="72"/>
        <v>0</v>
      </c>
      <c r="I188" s="26"/>
      <c r="J188" s="26"/>
      <c r="K188" s="26"/>
      <c r="L188" s="26"/>
      <c r="M188" s="26"/>
      <c r="N188" s="26"/>
      <c r="O188" s="16">
        <f>C188+D188+E188+F188+G188+H188+I188+J188+K188+L188+M188</f>
        <v>0</v>
      </c>
    </row>
    <row r="189" spans="1:15" s="1" customFormat="1" x14ac:dyDescent="0.3">
      <c r="A189" s="2" t="s">
        <v>226</v>
      </c>
      <c r="B189" s="2"/>
      <c r="C189" s="26"/>
      <c r="D189" s="26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16">
        <f>C189+D189+E189+F189+G189+H189+I189+J189+K189+L189+M189</f>
        <v>0</v>
      </c>
    </row>
    <row r="190" spans="1:15" s="1" customFormat="1" x14ac:dyDescent="0.3">
      <c r="A190" s="24"/>
      <c r="B190" s="24"/>
      <c r="C190" s="29"/>
      <c r="D190" s="29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16">
        <f>C190+D190+E190+F190+G190+H190+I190+J190+K190+L190+M190</f>
        <v>0</v>
      </c>
    </row>
    <row r="191" spans="1:15" s="1" customFormat="1" x14ac:dyDescent="0.3">
      <c r="A191" s="28" t="s">
        <v>227</v>
      </c>
      <c r="B191" s="28" t="s">
        <v>228</v>
      </c>
      <c r="C191" s="27">
        <f t="shared" ref="C191:N191" si="73">C192+C193+C194</f>
        <v>0</v>
      </c>
      <c r="D191" s="27">
        <f t="shared" si="73"/>
        <v>7186.8033333333333</v>
      </c>
      <c r="E191" s="27">
        <f t="shared" si="73"/>
        <v>18880.386666666665</v>
      </c>
      <c r="F191" s="27">
        <f t="shared" si="73"/>
        <v>20380.386666666665</v>
      </c>
      <c r="G191" s="27">
        <f t="shared" si="73"/>
        <v>20380.386666666665</v>
      </c>
      <c r="H191" s="27">
        <f t="shared" si="73"/>
        <v>8686.3866666666672</v>
      </c>
      <c r="I191" s="27">
        <f t="shared" si="73"/>
        <v>7186.3866666666663</v>
      </c>
      <c r="J191" s="27">
        <f t="shared" si="73"/>
        <v>7186.3866666666663</v>
      </c>
      <c r="K191" s="27">
        <f t="shared" si="73"/>
        <v>8722.5207666666665</v>
      </c>
      <c r="L191" s="27">
        <f t="shared" si="73"/>
        <v>8722.5207666666665</v>
      </c>
      <c r="M191" s="27">
        <f t="shared" si="73"/>
        <v>12222.520766666667</v>
      </c>
      <c r="N191" s="27">
        <f t="shared" si="73"/>
        <v>7222.5207666666665</v>
      </c>
      <c r="O191" s="16">
        <f t="shared" ref="O191" si="74">C191+D191+E191+F191+G191+H191+I191+J191+K191+L191+M191+N191</f>
        <v>126777.20640000001</v>
      </c>
    </row>
    <row r="192" spans="1:15" s="1" customFormat="1" x14ac:dyDescent="0.3">
      <c r="A192" s="37" t="s">
        <v>229</v>
      </c>
      <c r="B192" s="37">
        <f>SUM(C192:O192)</f>
        <v>40110.215250000001</v>
      </c>
      <c r="C192" s="37">
        <f>C112+C116+C127+C131+C135+C139+C143+C147</f>
        <v>0</v>
      </c>
      <c r="D192" s="37">
        <f>D113+D117+D128+D132+D136+D140+D144+D148</f>
        <v>2110.4899999999998</v>
      </c>
      <c r="E192" s="37">
        <f t="shared" ref="E192:O192" si="75">E113+E117+E128+E132+E136+E140+E144+E148</f>
        <v>6008.49</v>
      </c>
      <c r="F192" s="37">
        <f t="shared" si="75"/>
        <v>6008.49</v>
      </c>
      <c r="G192" s="37">
        <f t="shared" si="75"/>
        <v>7508.49</v>
      </c>
      <c r="H192" s="37">
        <f t="shared" si="75"/>
        <v>2110.4899999999998</v>
      </c>
      <c r="I192" s="37">
        <f t="shared" si="75"/>
        <v>2110.4899999999998</v>
      </c>
      <c r="J192" s="37">
        <f t="shared" si="75"/>
        <v>2110.4899999999998</v>
      </c>
      <c r="K192" s="37">
        <f t="shared" si="75"/>
        <v>2128.5570499999999</v>
      </c>
      <c r="L192" s="37">
        <f t="shared" si="75"/>
        <v>3628.5570499999999</v>
      </c>
      <c r="M192" s="37">
        <f t="shared" si="75"/>
        <v>2128.5570499999999</v>
      </c>
      <c r="N192" s="37">
        <f t="shared" si="75"/>
        <v>2128.5570499999999</v>
      </c>
      <c r="O192" s="37">
        <f t="shared" si="75"/>
        <v>2128.5570499999999</v>
      </c>
    </row>
    <row r="193" spans="1:15" s="38" customFormat="1" x14ac:dyDescent="0.3">
      <c r="A193" s="38" t="s">
        <v>230</v>
      </c>
      <c r="B193" s="37">
        <f t="shared" ref="B193:B194" si="76">SUM(C193:O193)</f>
        <v>54287.296666666676</v>
      </c>
      <c r="C193" s="38">
        <f>C113+C117+C128+C132+C136+C140++C144++C148</f>
        <v>0</v>
      </c>
      <c r="D193" s="38">
        <f>D114+D118++D129+D133+D137+D141+D145+D149</f>
        <v>3174.8233333333333</v>
      </c>
      <c r="E193" s="38">
        <f t="shared" ref="E193:O193" si="77">E114+E118++E129+E133+E137+E141+E145+E149</f>
        <v>7072.4066666666668</v>
      </c>
      <c r="F193" s="38">
        <f t="shared" si="77"/>
        <v>7072.4066666666668</v>
      </c>
      <c r="G193" s="38">
        <f t="shared" si="77"/>
        <v>7072.4066666666668</v>
      </c>
      <c r="H193" s="38">
        <f t="shared" si="77"/>
        <v>4674.4066666666668</v>
      </c>
      <c r="I193" s="38">
        <f t="shared" si="77"/>
        <v>3174.4066666666668</v>
      </c>
      <c r="J193" s="38">
        <f t="shared" si="77"/>
        <v>3174.4066666666668</v>
      </c>
      <c r="K193" s="38">
        <f t="shared" si="77"/>
        <v>3174.4066666666668</v>
      </c>
      <c r="L193" s="38">
        <f t="shared" si="77"/>
        <v>3174.4066666666668</v>
      </c>
      <c r="M193" s="38">
        <f t="shared" si="77"/>
        <v>6174.4066666666668</v>
      </c>
      <c r="N193" s="38">
        <f t="shared" si="77"/>
        <v>3174.4066666666668</v>
      </c>
      <c r="O193" s="38">
        <f t="shared" si="77"/>
        <v>3174.4066666666668</v>
      </c>
    </row>
    <row r="194" spans="1:15" s="43" customFormat="1" x14ac:dyDescent="0.3">
      <c r="A194" s="43" t="s">
        <v>231</v>
      </c>
      <c r="B194" s="37">
        <f t="shared" si="76"/>
        <v>39602.215250000008</v>
      </c>
      <c r="C194" s="43">
        <f>C114+C118+C126+C130+C134+C138+C142+C146</f>
        <v>0</v>
      </c>
      <c r="D194" s="43">
        <f>D115+D119+D127+D131+D135+D139+D143+D147</f>
        <v>1901.49</v>
      </c>
      <c r="E194" s="43">
        <f t="shared" ref="E194:O194" si="78">E115+E119+E127+E131+E135+E139+E143+E147</f>
        <v>5799.49</v>
      </c>
      <c r="F194" s="43">
        <f t="shared" si="78"/>
        <v>7299.49</v>
      </c>
      <c r="G194" s="43">
        <f t="shared" si="78"/>
        <v>5799.49</v>
      </c>
      <c r="H194" s="43">
        <f t="shared" si="78"/>
        <v>1901.49</v>
      </c>
      <c r="I194" s="43">
        <f t="shared" si="78"/>
        <v>1901.49</v>
      </c>
      <c r="J194" s="43">
        <f t="shared" si="78"/>
        <v>1901.49</v>
      </c>
      <c r="K194" s="43">
        <f t="shared" si="78"/>
        <v>3419.5570499999999</v>
      </c>
      <c r="L194" s="43">
        <f t="shared" si="78"/>
        <v>1919.5570499999999</v>
      </c>
      <c r="M194" s="43">
        <f t="shared" si="78"/>
        <v>3919.5570499999999</v>
      </c>
      <c r="N194" s="43">
        <f t="shared" si="78"/>
        <v>1919.5570499999999</v>
      </c>
      <c r="O194" s="43">
        <f t="shared" si="78"/>
        <v>1919.5570499999999</v>
      </c>
    </row>
    <row r="195" spans="1:15" s="16" customFormat="1" x14ac:dyDescent="0.3">
      <c r="B195" s="16">
        <f>SUM(B192:B194)</f>
        <v>133999.72716666668</v>
      </c>
    </row>
    <row r="196" spans="1:15" s="518" customFormat="1" x14ac:dyDescent="0.3">
      <c r="A196" s="519" t="s">
        <v>232</v>
      </c>
      <c r="B196" s="515">
        <f>B186-B195</f>
        <v>1252633.6672</v>
      </c>
      <c r="C196" s="515">
        <f>C21+C22+C47+C48+C67+C68</f>
        <v>0</v>
      </c>
      <c r="D196" s="515">
        <f>D186-D191</f>
        <v>95719.86</v>
      </c>
      <c r="E196" s="515">
        <f t="shared" ref="E196:O196" si="79">E186-E191</f>
        <v>93603.523799999995</v>
      </c>
      <c r="F196" s="515">
        <f t="shared" si="79"/>
        <v>109470.72880000001</v>
      </c>
      <c r="G196" s="515">
        <f>G186-G191</f>
        <v>103970.72880000001</v>
      </c>
      <c r="H196" s="515">
        <f t="shared" si="79"/>
        <v>94475.678799999994</v>
      </c>
      <c r="I196" s="515">
        <f t="shared" si="79"/>
        <v>99043.938800000004</v>
      </c>
      <c r="J196" s="515">
        <f t="shared" si="79"/>
        <v>107623.05070000001</v>
      </c>
      <c r="K196" s="515">
        <f t="shared" si="79"/>
        <v>99398.050700000007</v>
      </c>
      <c r="L196" s="515">
        <f t="shared" si="79"/>
        <v>98148.050700000007</v>
      </c>
      <c r="M196" s="515">
        <f t="shared" si="79"/>
        <v>108656.71870000001</v>
      </c>
      <c r="N196" s="515">
        <f t="shared" si="79"/>
        <v>107161.66870000001</v>
      </c>
      <c r="O196" s="515">
        <f t="shared" si="79"/>
        <v>15806.983066666653</v>
      </c>
    </row>
    <row r="197" spans="1:15" s="1" customFormat="1" x14ac:dyDescent="0.3">
      <c r="A197" s="28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1" customFormat="1" x14ac:dyDescent="0.3">
      <c r="A198" s="28" t="s">
        <v>233</v>
      </c>
      <c r="B198" s="28"/>
      <c r="C198" s="26"/>
      <c r="D198" s="26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16"/>
    </row>
    <row r="199" spans="1:15" s="1" customFormat="1" x14ac:dyDescent="0.3">
      <c r="A199" s="37" t="s">
        <v>229</v>
      </c>
      <c r="B199" s="37">
        <f>SUM(C199:O199)</f>
        <v>901597.73424999986</v>
      </c>
      <c r="C199" s="37"/>
      <c r="D199" s="37">
        <f>D5</f>
        <v>75454.065000000002</v>
      </c>
      <c r="E199" s="37">
        <f t="shared" ref="E199:O199" si="80">E5</f>
        <v>74454.065000000002</v>
      </c>
      <c r="F199" s="37">
        <f t="shared" si="80"/>
        <v>74454.065000000002</v>
      </c>
      <c r="G199" s="37">
        <f t="shared" si="80"/>
        <v>76054.065000000002</v>
      </c>
      <c r="H199" s="37">
        <f t="shared" si="80"/>
        <v>74454.065000000002</v>
      </c>
      <c r="I199" s="37">
        <f t="shared" si="80"/>
        <v>74454.065000000002</v>
      </c>
      <c r="J199" s="37">
        <f t="shared" si="80"/>
        <v>76054.065000000002</v>
      </c>
      <c r="K199" s="37">
        <f t="shared" si="80"/>
        <v>74454.065000000002</v>
      </c>
      <c r="L199" s="37">
        <f t="shared" si="80"/>
        <v>74454.065000000002</v>
      </c>
      <c r="M199" s="37">
        <f t="shared" si="80"/>
        <v>77009.514750000002</v>
      </c>
      <c r="N199" s="37">
        <f t="shared" si="80"/>
        <v>75150.317250000007</v>
      </c>
      <c r="O199" s="37">
        <f t="shared" si="80"/>
        <v>75151.317250000007</v>
      </c>
    </row>
    <row r="200" spans="1:15" s="38" customFormat="1" x14ac:dyDescent="0.3">
      <c r="A200" s="38" t="s">
        <v>230</v>
      </c>
      <c r="B200" s="37">
        <f t="shared" ref="B200:B201" si="81">SUM(C200:O200)</f>
        <v>914114.75250000018</v>
      </c>
      <c r="D200" s="38">
        <f>D28</f>
        <v>76879.165000000023</v>
      </c>
      <c r="E200" s="38">
        <f t="shared" ref="E200:O200" si="82">E28</f>
        <v>75379.165000000023</v>
      </c>
      <c r="F200" s="38">
        <f t="shared" si="82"/>
        <v>75379.165000000023</v>
      </c>
      <c r="G200" s="38">
        <f t="shared" si="82"/>
        <v>76979.165000000023</v>
      </c>
      <c r="H200" s="38">
        <f t="shared" si="82"/>
        <v>75379.165000000023</v>
      </c>
      <c r="I200" s="38">
        <f t="shared" si="82"/>
        <v>75379.165000000023</v>
      </c>
      <c r="J200" s="38">
        <f t="shared" si="82"/>
        <v>76979.165000000023</v>
      </c>
      <c r="K200" s="38">
        <f t="shared" si="82"/>
        <v>75379.165000000023</v>
      </c>
      <c r="L200" s="38">
        <f t="shared" si="82"/>
        <v>75379.165000000023</v>
      </c>
      <c r="M200" s="38">
        <f t="shared" si="82"/>
        <v>78067.422500000001</v>
      </c>
      <c r="N200" s="38">
        <f t="shared" si="82"/>
        <v>76467.422500000001</v>
      </c>
      <c r="O200" s="38">
        <f t="shared" si="82"/>
        <v>76467.422500000001</v>
      </c>
    </row>
    <row r="201" spans="1:15" s="43" customFormat="1" x14ac:dyDescent="0.3">
      <c r="A201" s="43" t="s">
        <v>231</v>
      </c>
      <c r="B201" s="37">
        <f t="shared" si="81"/>
        <v>623198.16100000008</v>
      </c>
      <c r="D201" s="43">
        <f>D53</f>
        <v>63453.360000000008</v>
      </c>
      <c r="E201" s="43">
        <f t="shared" ref="E201:O201" si="83">E53</f>
        <v>61853.360000000008</v>
      </c>
      <c r="F201" s="43">
        <f t="shared" si="83"/>
        <v>49236.380000000005</v>
      </c>
      <c r="G201" s="43">
        <f t="shared" si="83"/>
        <v>50836.380000000005</v>
      </c>
      <c r="H201" s="43">
        <f t="shared" si="83"/>
        <v>49236.380000000005</v>
      </c>
      <c r="I201" s="43">
        <f t="shared" si="83"/>
        <v>49236.380000000005</v>
      </c>
      <c r="J201" s="43">
        <f t="shared" si="83"/>
        <v>50836.380000000005</v>
      </c>
      <c r="K201" s="43">
        <f t="shared" si="83"/>
        <v>49236.380000000005</v>
      </c>
      <c r="L201" s="43">
        <f t="shared" si="83"/>
        <v>49236.380000000005</v>
      </c>
      <c r="M201" s="43">
        <f t="shared" si="83"/>
        <v>51078.927000000003</v>
      </c>
      <c r="N201" s="43">
        <f t="shared" si="83"/>
        <v>49478.927000000003</v>
      </c>
      <c r="O201" s="43">
        <f t="shared" si="83"/>
        <v>49478.927000000003</v>
      </c>
    </row>
    <row r="202" spans="1:15" x14ac:dyDescent="0.3">
      <c r="B202" s="515">
        <f>SUM(B199:B201)</f>
        <v>2438910.6477500005</v>
      </c>
      <c r="D202" s="26">
        <f>SUM(D199:D201)</f>
        <v>215786.59000000005</v>
      </c>
      <c r="E202" s="26">
        <f>SUM(E199:E201)</f>
        <v>211686.59000000005</v>
      </c>
      <c r="F202" s="26">
        <f t="shared" ref="F202:G202" si="84">SUM(F199:F201)</f>
        <v>199069.61000000004</v>
      </c>
      <c r="G202" s="26">
        <f t="shared" si="84"/>
        <v>203869.61000000004</v>
      </c>
    </row>
    <row r="203" spans="1:15" x14ac:dyDescent="0.3">
      <c r="D203" s="26"/>
      <c r="E203" s="26"/>
    </row>
    <row r="204" spans="1:15" x14ac:dyDescent="0.3">
      <c r="B204" s="517">
        <f>B186+B202+B203</f>
        <v>3825544.0421166671</v>
      </c>
      <c r="D204" s="517">
        <f>D186+D202+D203</f>
        <v>318693.25333333341</v>
      </c>
      <c r="E204" s="517">
        <f>E186+E202+E203</f>
        <v>324170.50046666671</v>
      </c>
    </row>
    <row r="205" spans="1:15" x14ac:dyDescent="0.3">
      <c r="B205" s="517">
        <f>B180-B204</f>
        <v>0</v>
      </c>
      <c r="D205" s="517">
        <f>D180-D204</f>
        <v>0</v>
      </c>
      <c r="E205" s="517">
        <f>E180-E204</f>
        <v>0</v>
      </c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50F0-D5A9-46C9-9B10-35411F72B7DD}">
  <dimension ref="A1:N29"/>
  <sheetViews>
    <sheetView zoomScale="110" zoomScaleNormal="110" workbookViewId="0">
      <selection activeCell="D23" sqref="D23"/>
    </sheetView>
  </sheetViews>
  <sheetFormatPr defaultRowHeight="14.4" x14ac:dyDescent="0.3"/>
  <cols>
    <col min="1" max="1" width="32.44140625" bestFit="1" customWidth="1"/>
    <col min="2" max="2" width="11.44140625" bestFit="1" customWidth="1"/>
    <col min="3" max="3" width="8.88671875" style="4"/>
    <col min="5" max="5" width="11.5546875" style="48" bestFit="1" customWidth="1"/>
    <col min="8" max="8" width="11.5546875" style="48" bestFit="1" customWidth="1"/>
    <col min="9" max="9" width="11.109375" style="48" bestFit="1" customWidth="1"/>
    <col min="11" max="11" width="34.109375" customWidth="1"/>
    <col min="12" max="12" width="13.33203125" style="48" bestFit="1" customWidth="1"/>
    <col min="13" max="13" width="10.44140625" bestFit="1" customWidth="1"/>
    <col min="14" max="14" width="10.109375" bestFit="1" customWidth="1"/>
  </cols>
  <sheetData>
    <row r="1" spans="1:14" ht="15" thickBot="1" x14ac:dyDescent="0.35">
      <c r="A1" s="563" t="s">
        <v>234</v>
      </c>
      <c r="B1" s="563"/>
      <c r="C1" s="563"/>
      <c r="E1" s="567" t="s">
        <v>47</v>
      </c>
      <c r="F1" s="567"/>
      <c r="H1" s="567" t="s">
        <v>235</v>
      </c>
      <c r="I1" s="567"/>
      <c r="K1" s="564" t="s">
        <v>236</v>
      </c>
      <c r="L1" s="565"/>
      <c r="M1" s="566"/>
    </row>
    <row r="2" spans="1:14" ht="15" thickTop="1" x14ac:dyDescent="0.3">
      <c r="A2" s="5" t="str">
        <f>K2</f>
        <v>Custo equipe - Contencioso</v>
      </c>
      <c r="B2" s="479">
        <f>'Base_Resultado Mensal_V2'!C5</f>
        <v>73576.315000000002</v>
      </c>
      <c r="C2" s="318">
        <f>+B2/B5</f>
        <v>0.34830231750515572</v>
      </c>
      <c r="E2" s="48">
        <f>'Areas Sintetico atualizado'!B39</f>
        <v>75454.065000000002</v>
      </c>
      <c r="F2" s="49">
        <f>E2/$E$5</f>
        <v>0.34966985205151063</v>
      </c>
      <c r="H2" s="48">
        <f>('Base_Resultado Mensal_V2'!C198)-'Base_Resultado Mensal_V2'!C204-'Base_Resultado Mensal_V2'!C205-'Base_Resultado Mensal_V2'!C206</f>
        <v>97103.510000000009</v>
      </c>
      <c r="I2" s="48">
        <f>$H$2*C2</f>
        <v>33821.377570885066</v>
      </c>
      <c r="K2" s="322" t="str">
        <f>'DRE 2026'!A6</f>
        <v>Custo equipe - Contencioso</v>
      </c>
      <c r="L2" s="323">
        <f>'DRE 2026'!B6</f>
        <v>901597.73424999986</v>
      </c>
      <c r="M2" s="480">
        <f>L2/$L$5</f>
        <v>0.36967231049721416</v>
      </c>
      <c r="N2" s="31"/>
    </row>
    <row r="3" spans="1:14" x14ac:dyDescent="0.3">
      <c r="A3" s="6" t="str">
        <f>K3</f>
        <v>Custo equipe - Econômico</v>
      </c>
      <c r="B3" s="7">
        <f>'Base_Resultado Mensal_V2'!C30</f>
        <v>75653.194999999992</v>
      </c>
      <c r="C3" s="319">
        <f>+B3/B5</f>
        <v>0.35813404279854805</v>
      </c>
      <c r="E3" s="48">
        <f>'Areas Sintetico atualizado'!B57</f>
        <v>76879.165000000023</v>
      </c>
      <c r="F3" s="49">
        <f t="shared" ref="F3:F4" si="0">E3/$E$5</f>
        <v>0.35627406225752956</v>
      </c>
      <c r="I3" s="48">
        <f>$H$2*C3</f>
        <v>34776.072606229245</v>
      </c>
      <c r="K3" s="322" t="str">
        <f>'DRE 2026'!A7</f>
        <v>Custo equipe - Econômico</v>
      </c>
      <c r="L3" s="323">
        <f>'DRE 2026'!B7</f>
        <v>914114.75250000018</v>
      </c>
      <c r="M3" s="480">
        <f t="shared" ref="M3:M4" si="1">L3/$L$5</f>
        <v>0.37480452731768182</v>
      </c>
    </row>
    <row r="4" spans="1:14" x14ac:dyDescent="0.3">
      <c r="A4" s="10" t="str">
        <f>K4</f>
        <v>Custo equipe - Arbitragem e Compliance</v>
      </c>
      <c r="B4" s="11">
        <f>'Base_Resultado Mensal_V2'!C60</f>
        <v>62013.17</v>
      </c>
      <c r="C4" s="320">
        <f>B4/$B$5</f>
        <v>0.29356363969629623</v>
      </c>
      <c r="E4" s="48">
        <f>'Areas Sintetico atualizado'!B75</f>
        <v>63453.360000000008</v>
      </c>
      <c r="F4" s="49">
        <f t="shared" si="0"/>
        <v>0.2940560856909597</v>
      </c>
      <c r="I4" s="48">
        <f>$H$2*C4</f>
        <v>28506.059822885702</v>
      </c>
      <c r="K4" s="322" t="str">
        <f>'DRE 2026'!A8</f>
        <v>Custo equipe - Arbitragem e Compliance</v>
      </c>
      <c r="L4" s="323">
        <f>'DRE 2026'!B8</f>
        <v>623198.16100000008</v>
      </c>
      <c r="M4" s="480">
        <f t="shared" si="1"/>
        <v>0.25552316218510385</v>
      </c>
    </row>
    <row r="5" spans="1:14" x14ac:dyDescent="0.3">
      <c r="A5" s="8" t="s">
        <v>237</v>
      </c>
      <c r="B5" s="9">
        <f>SUM(B2:B4)</f>
        <v>211242.68</v>
      </c>
      <c r="C5" s="321">
        <f>SUM(C2:C4)</f>
        <v>1</v>
      </c>
      <c r="E5" s="48">
        <f>SUM(E2:E4)</f>
        <v>215786.59000000005</v>
      </c>
      <c r="K5" s="481" t="str">
        <f>A5</f>
        <v>Total das Áreas</v>
      </c>
      <c r="L5" s="482">
        <f>SUM(L2:L4)</f>
        <v>2438910.6477500005</v>
      </c>
      <c r="M5" s="483">
        <f>SUM(M2:M4)</f>
        <v>0.99999999999999989</v>
      </c>
    </row>
    <row r="7" spans="1:14" ht="15" thickBot="1" x14ac:dyDescent="0.35">
      <c r="A7" s="563" t="s">
        <v>238</v>
      </c>
      <c r="B7" s="563"/>
      <c r="C7" s="563"/>
      <c r="L7" s="48">
        <v>12</v>
      </c>
    </row>
    <row r="8" spans="1:14" ht="15" thickTop="1" x14ac:dyDescent="0.3">
      <c r="A8" s="5" t="str">
        <f>K2</f>
        <v>Custo equipe - Contencioso</v>
      </c>
      <c r="B8" s="479">
        <f>'Base_Resultado Mensal_V2'!D5</f>
        <v>76342.345000000001</v>
      </c>
      <c r="C8" s="318">
        <f>+B8/B11</f>
        <v>0.35188305580719653</v>
      </c>
      <c r="E8" s="48">
        <f>'DRE 2026'!D6</f>
        <v>74454.065000000002</v>
      </c>
      <c r="F8" s="49">
        <f>E8/$E$11</f>
        <v>0.35171838235005809</v>
      </c>
      <c r="H8" s="48">
        <f>'Base_Resultado Mensal_V2'!D207</f>
        <v>86988.309999999983</v>
      </c>
      <c r="I8" s="48">
        <f>$H$8*C8</f>
        <v>30609.712342303705</v>
      </c>
      <c r="L8" s="48">
        <f>L2/$L$7</f>
        <v>75133.144520833317</v>
      </c>
      <c r="M8" s="31">
        <f>L8-B8</f>
        <v>-1209.2004791666841</v>
      </c>
    </row>
    <row r="9" spans="1:14" x14ac:dyDescent="0.3">
      <c r="A9" s="6" t="str">
        <f>K3</f>
        <v>Custo equipe - Econômico</v>
      </c>
      <c r="B9" s="7">
        <f>'Base_Resultado Mensal_V2'!D30</f>
        <v>78817.054999999993</v>
      </c>
      <c r="C9" s="319">
        <f>+B9/B11</f>
        <v>0.36328968101679188</v>
      </c>
      <c r="E9" s="48">
        <f>'DRE 2026'!D7</f>
        <v>75379.165000000023</v>
      </c>
      <c r="F9" s="49">
        <f>E9/$E$11</f>
        <v>0.35608852218744702</v>
      </c>
      <c r="I9" s="48">
        <f>$H$8*C9</f>
        <v>31601.9553920898</v>
      </c>
      <c r="L9" s="48">
        <f t="shared" ref="L9:L10" si="2">L3/$L$7</f>
        <v>76176.22937500001</v>
      </c>
      <c r="M9" s="31">
        <f t="shared" ref="M9:M10" si="3">L9-B9</f>
        <v>-2640.8256249999831</v>
      </c>
    </row>
    <row r="10" spans="1:14" x14ac:dyDescent="0.3">
      <c r="A10" s="10" t="str">
        <f>K4</f>
        <v>Custo equipe - Arbitragem e Compliance</v>
      </c>
      <c r="B10" s="11">
        <f>'Base_Resultado Mensal_V2'!D60</f>
        <v>61794.340000000004</v>
      </c>
      <c r="C10" s="320">
        <f>B10/$B$11</f>
        <v>0.28482726317601165</v>
      </c>
      <c r="E10" s="48">
        <f>'DRE 2026'!D8</f>
        <v>61853.360000000008</v>
      </c>
      <c r="F10" s="49">
        <f>E10/$E$11</f>
        <v>0.29219309546249478</v>
      </c>
      <c r="I10" s="48">
        <f>$H$8*C10</f>
        <v>24776.642265606482</v>
      </c>
      <c r="L10" s="48">
        <f t="shared" si="2"/>
        <v>51933.18008333334</v>
      </c>
      <c r="M10" s="31">
        <f t="shared" si="3"/>
        <v>-9861.1599166666638</v>
      </c>
    </row>
    <row r="11" spans="1:14" x14ac:dyDescent="0.3">
      <c r="A11" s="8" t="str">
        <f>K5</f>
        <v>Total das Áreas</v>
      </c>
      <c r="B11" s="9">
        <f>SUM(B8:B10)</f>
        <v>216953.74</v>
      </c>
      <c r="C11" s="321">
        <f>SUM(C8:C10)</f>
        <v>1</v>
      </c>
      <c r="E11" s="48">
        <f>SUM(E8:E10)</f>
        <v>211686.59000000005</v>
      </c>
    </row>
    <row r="13" spans="1:14" ht="15" thickBot="1" x14ac:dyDescent="0.35">
      <c r="A13" s="563" t="s">
        <v>239</v>
      </c>
      <c r="B13" s="563"/>
      <c r="C13" s="563"/>
    </row>
    <row r="14" spans="1:14" ht="15" thickTop="1" x14ac:dyDescent="0.3">
      <c r="A14" s="5" t="str">
        <f>A2</f>
        <v>Custo equipe - Contencioso</v>
      </c>
      <c r="B14" s="479">
        <f>'Base_Resultado Mensal_V2'!E5</f>
        <v>72845.494999999995</v>
      </c>
      <c r="C14" s="318">
        <f>+B14/B17</f>
        <v>0.36775904673787146</v>
      </c>
      <c r="E14" s="48">
        <f>'DRE 2026'!E6</f>
        <v>74454.065000000002</v>
      </c>
      <c r="F14" s="49">
        <f>E14/$E$17</f>
        <v>0.37401020175806837</v>
      </c>
      <c r="H14" s="48">
        <f>'Base_Resultado Mensal_V2'!E207</f>
        <v>93764.68</v>
      </c>
      <c r="I14" s="48">
        <f>$H$14*C14</f>
        <v>34482.809334481557</v>
      </c>
    </row>
    <row r="15" spans="1:14" x14ac:dyDescent="0.3">
      <c r="A15" s="6" t="str">
        <f t="shared" ref="A15:A17" si="4">A3</f>
        <v>Custo equipe - Econômico</v>
      </c>
      <c r="B15" s="7">
        <f>'Base_Resultado Mensal_V2'!E30</f>
        <v>76049.974999999991</v>
      </c>
      <c r="C15" s="319">
        <f>+B15/B17</f>
        <v>0.38393680090222404</v>
      </c>
      <c r="E15" s="48">
        <f>'DRE 2026'!E7</f>
        <v>75379.165000000023</v>
      </c>
      <c r="F15" s="49">
        <f t="shared" ref="F15:F16" si="5">E15/$E$17</f>
        <v>0.3786573199193991</v>
      </c>
      <c r="I15" s="48">
        <f>$H$14*C15</f>
        <v>35999.711276820744</v>
      </c>
    </row>
    <row r="16" spans="1:14" x14ac:dyDescent="0.3">
      <c r="A16" s="10" t="str">
        <f t="shared" si="4"/>
        <v>Custo equipe - Arbitragem e Compliance</v>
      </c>
      <c r="B16" s="11">
        <f>'Base_Resultado Mensal_V2'!E60</f>
        <v>49183.94</v>
      </c>
      <c r="C16" s="320">
        <f>B16/$B$17</f>
        <v>0.24830415235990458</v>
      </c>
      <c r="E16" s="48">
        <f>'DRE 2026'!E8</f>
        <v>49236.380000000005</v>
      </c>
      <c r="F16" s="49">
        <f t="shared" si="5"/>
        <v>0.24733247832253247</v>
      </c>
      <c r="I16" s="48">
        <f>$H$14*C16</f>
        <v>23282.159388697695</v>
      </c>
    </row>
    <row r="17" spans="1:9" x14ac:dyDescent="0.3">
      <c r="A17" s="8" t="str">
        <f t="shared" si="4"/>
        <v>Total das Áreas</v>
      </c>
      <c r="B17" s="9">
        <f>SUM(B14:B16)</f>
        <v>198079.40999999997</v>
      </c>
      <c r="C17" s="321">
        <f>SUM(C14:C16)</f>
        <v>1</v>
      </c>
      <c r="E17" s="48">
        <f>SUM(E14:E16)</f>
        <v>199069.61000000004</v>
      </c>
    </row>
    <row r="19" spans="1:9" ht="15" thickBot="1" x14ac:dyDescent="0.35">
      <c r="A19" s="563" t="s">
        <v>240</v>
      </c>
      <c r="B19" s="563"/>
      <c r="C19" s="563"/>
    </row>
    <row r="20" spans="1:9" ht="15" thickTop="1" x14ac:dyDescent="0.3">
      <c r="A20" s="5" t="str">
        <f>A8</f>
        <v>Custo equipe - Contencioso</v>
      </c>
      <c r="B20" s="479">
        <f>'Base_Resultado Mensal_V2'!F5</f>
        <v>75374.054999999993</v>
      </c>
      <c r="C20" s="318">
        <f>+B20/B23</f>
        <v>0.35965566242532487</v>
      </c>
      <c r="E20" s="48">
        <f>'DRE 2026'!F6</f>
        <v>76054.065000000002</v>
      </c>
      <c r="F20" s="49">
        <f>E20/$E$23</f>
        <v>0.3730524868321472</v>
      </c>
      <c r="H20" s="48">
        <f>'Base_Resultado Mensal_V2'!F207</f>
        <v>101209.18</v>
      </c>
      <c r="I20" s="48">
        <f>$H$20*C20</f>
        <v>36400.454676423942</v>
      </c>
    </row>
    <row r="21" spans="1:9" x14ac:dyDescent="0.3">
      <c r="A21" s="6" t="str">
        <f t="shared" ref="A21:A23" si="6">A9</f>
        <v>Custo equipe - Econômico</v>
      </c>
      <c r="B21" s="7">
        <f>'Base_Resultado Mensal_V2'!F30</f>
        <v>79160.084999999992</v>
      </c>
      <c r="C21" s="319">
        <f>+B21/B23</f>
        <v>0.37772112444156047</v>
      </c>
      <c r="E21" s="48">
        <f>'DRE 2026'!F7</f>
        <v>76979.165000000023</v>
      </c>
      <c r="F21" s="49">
        <f>E21/$E$23</f>
        <v>0.37759019110302905</v>
      </c>
      <c r="I21" s="48">
        <f>$H$20*C21</f>
        <v>38228.845273408289</v>
      </c>
    </row>
    <row r="22" spans="1:9" x14ac:dyDescent="0.3">
      <c r="A22" s="10" t="str">
        <f t="shared" si="6"/>
        <v>Custo equipe - Arbitragem e Compliance</v>
      </c>
      <c r="B22" s="11">
        <f>'Base_Resultado Mensal_V2'!F60</f>
        <v>55038.69</v>
      </c>
      <c r="C22" s="320">
        <f>B22/$B$23</f>
        <v>0.26262321313311465</v>
      </c>
      <c r="E22" s="48">
        <f>'DRE 2026'!F8</f>
        <v>50836.380000000005</v>
      </c>
      <c r="F22" s="49">
        <f>E22/$E$23</f>
        <v>0.24935732206482367</v>
      </c>
      <c r="I22" s="48">
        <f>$H$20*C22</f>
        <v>26579.880050167762</v>
      </c>
    </row>
    <row r="23" spans="1:9" x14ac:dyDescent="0.3">
      <c r="A23" s="8" t="str">
        <f t="shared" si="6"/>
        <v>Total das Áreas</v>
      </c>
      <c r="B23" s="9">
        <f>SUM(B20:B22)</f>
        <v>209572.83</v>
      </c>
      <c r="C23" s="321">
        <f>SUM(C20:C22)</f>
        <v>1</v>
      </c>
      <c r="E23" s="48">
        <f>SUM(E20:E22)</f>
        <v>203869.61000000004</v>
      </c>
    </row>
    <row r="25" spans="1:9" ht="15" thickBot="1" x14ac:dyDescent="0.35">
      <c r="A25" s="563" t="s">
        <v>241</v>
      </c>
      <c r="B25" s="563"/>
      <c r="C25" s="563"/>
    </row>
    <row r="26" spans="1:9" ht="15" thickTop="1" x14ac:dyDescent="0.3">
      <c r="A26" s="5" t="str">
        <f>A14</f>
        <v>Custo equipe - Contencioso</v>
      </c>
      <c r="B26" s="479">
        <f>'Base_Resultado Mensal_V2'!G5</f>
        <v>74141.214999999997</v>
      </c>
      <c r="C26" s="318">
        <f>+B26/B29</f>
        <v>0.35651430986711957</v>
      </c>
      <c r="E26" s="48">
        <f>'DRE 2026'!G6</f>
        <v>74454.065000000002</v>
      </c>
      <c r="F26" s="49">
        <f>E26/$E$23</f>
        <v>0.36520433329911206</v>
      </c>
      <c r="H26" s="48">
        <f>'Base_Resultado Mensal_V2'!G207</f>
        <v>99730.65</v>
      </c>
      <c r="I26" s="48">
        <f>$H$26*C26</f>
        <v>35555.403857349243</v>
      </c>
    </row>
    <row r="27" spans="1:9" x14ac:dyDescent="0.3">
      <c r="A27" s="6" t="str">
        <f t="shared" ref="A27:A29" si="7">A15</f>
        <v>Custo equipe - Econômico</v>
      </c>
      <c r="B27" s="7">
        <f>'Base_Resultado Mensal_V2'!G30</f>
        <v>79436.244999999995</v>
      </c>
      <c r="C27" s="319">
        <f>+B27/B29</f>
        <v>0.38197590995252001</v>
      </c>
      <c r="E27" s="48">
        <f>'DRE 2026'!G7</f>
        <v>75379.165000000023</v>
      </c>
      <c r="F27" s="49">
        <f>E27/$E$23</f>
        <v>0.36974203756999391</v>
      </c>
      <c r="I27" s="48">
        <f>$H$26*C27</f>
        <v>38094.705783906291</v>
      </c>
    </row>
    <row r="28" spans="1:9" x14ac:dyDescent="0.3">
      <c r="A28" s="10" t="str">
        <f t="shared" si="7"/>
        <v>Custo equipe - Arbitragem e Compliance</v>
      </c>
      <c r="B28" s="11">
        <f>'Base_Resultado Mensal_V2'!G60</f>
        <v>54383.94</v>
      </c>
      <c r="C28" s="320">
        <f>B28/$B$29</f>
        <v>0.26150978018036042</v>
      </c>
      <c r="E28" s="48">
        <f>'DRE 2026'!G8</f>
        <v>49236.380000000005</v>
      </c>
      <c r="F28" s="49">
        <f>E28/$E$23</f>
        <v>0.2415091685317885</v>
      </c>
      <c r="I28" s="48">
        <f>$H$26*C28</f>
        <v>26080.54035874446</v>
      </c>
    </row>
    <row r="29" spans="1:9" x14ac:dyDescent="0.3">
      <c r="A29" s="8" t="str">
        <f t="shared" si="7"/>
        <v>Total das Áreas</v>
      </c>
      <c r="B29" s="9">
        <f>SUM(B26:B28)</f>
        <v>207961.4</v>
      </c>
      <c r="C29" s="321">
        <f>SUM(C26:C28)</f>
        <v>1</v>
      </c>
      <c r="E29" s="48">
        <f>SUM(E26:E28)</f>
        <v>199069.61000000004</v>
      </c>
    </row>
  </sheetData>
  <sortState xmlns:xlrd2="http://schemas.microsoft.com/office/spreadsheetml/2017/richdata2" ref="A2:B4">
    <sortCondition ref="A2:A4"/>
  </sortState>
  <mergeCells count="8">
    <mergeCell ref="A25:C25"/>
    <mergeCell ref="A19:C19"/>
    <mergeCell ref="A13:C13"/>
    <mergeCell ref="K1:M1"/>
    <mergeCell ref="A1:C1"/>
    <mergeCell ref="H1:I1"/>
    <mergeCell ref="E1:F1"/>
    <mergeCell ref="A7:C7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5A7C-AB11-4045-BA0B-93A9B895E8D2}">
  <dimension ref="A1:P31"/>
  <sheetViews>
    <sheetView showGridLines="0" workbookViewId="0">
      <selection activeCell="E27" sqref="E27"/>
    </sheetView>
  </sheetViews>
  <sheetFormatPr defaultColWidth="8.88671875" defaultRowHeight="14.4" x14ac:dyDescent="0.3"/>
  <cols>
    <col min="1" max="1" width="22.33203125" style="48" bestFit="1" customWidth="1"/>
    <col min="2" max="2" width="11.6640625" style="48" customWidth="1"/>
    <col min="3" max="4" width="18.33203125" style="48" customWidth="1"/>
    <col min="5" max="5" width="18.33203125" style="49" customWidth="1"/>
    <col min="6" max="6" width="18.33203125" style="49" hidden="1" customWidth="1"/>
    <col min="7" max="13" width="18.33203125" style="48" hidden="1" customWidth="1"/>
    <col min="14" max="14" width="18.33203125" style="48" customWidth="1"/>
    <col min="15" max="15" width="4.33203125" style="62" customWidth="1"/>
    <col min="16" max="16" width="15.88671875" style="59" bestFit="1" customWidth="1"/>
    <col min="17" max="17" width="12.109375" style="48" bestFit="1" customWidth="1"/>
    <col min="18" max="18" width="11.109375" style="48" customWidth="1"/>
    <col min="19" max="19" width="12.109375" style="48" bestFit="1" customWidth="1"/>
    <col min="20" max="20" width="11.109375" style="48" customWidth="1"/>
    <col min="21" max="21" width="12.109375" style="48" bestFit="1" customWidth="1"/>
    <col min="22" max="22" width="11.5546875" style="48" customWidth="1"/>
    <col min="23" max="24" width="12.5546875" style="48" bestFit="1" customWidth="1"/>
    <col min="25" max="16384" width="8.88671875" style="48"/>
  </cols>
  <sheetData>
    <row r="1" spans="1:16" x14ac:dyDescent="0.3">
      <c r="B1" s="48">
        <v>671666.67</v>
      </c>
    </row>
    <row r="2" spans="1:16" x14ac:dyDescent="0.3">
      <c r="B2" s="48" t="s">
        <v>34</v>
      </c>
      <c r="C2" s="48" t="s">
        <v>35</v>
      </c>
      <c r="D2" s="48" t="s">
        <v>36</v>
      </c>
      <c r="E2" s="48" t="s">
        <v>37</v>
      </c>
      <c r="F2" s="48" t="s">
        <v>38</v>
      </c>
      <c r="G2" s="48" t="s">
        <v>39</v>
      </c>
      <c r="H2" s="48" t="s">
        <v>40</v>
      </c>
      <c r="I2" s="48" t="s">
        <v>41</v>
      </c>
      <c r="J2" s="48" t="s">
        <v>42</v>
      </c>
      <c r="K2" s="48" t="s">
        <v>43</v>
      </c>
      <c r="L2" s="48" t="s">
        <v>44</v>
      </c>
      <c r="M2" s="48" t="s">
        <v>45</v>
      </c>
      <c r="N2" s="358">
        <v>1</v>
      </c>
    </row>
    <row r="3" spans="1:16" x14ac:dyDescent="0.3">
      <c r="A3" s="354" t="s">
        <v>229</v>
      </c>
      <c r="B3" s="355" t="s">
        <v>242</v>
      </c>
      <c r="C3" s="355" t="s">
        <v>242</v>
      </c>
      <c r="D3" s="355" t="s">
        <v>242</v>
      </c>
      <c r="E3" s="355" t="s">
        <v>242</v>
      </c>
      <c r="F3" s="355" t="s">
        <v>242</v>
      </c>
      <c r="G3" s="355" t="s">
        <v>242</v>
      </c>
      <c r="H3" s="355" t="s">
        <v>242</v>
      </c>
      <c r="I3" s="355" t="s">
        <v>242</v>
      </c>
      <c r="J3" s="355" t="s">
        <v>242</v>
      </c>
      <c r="K3" s="355" t="s">
        <v>242</v>
      </c>
      <c r="L3" s="355" t="s">
        <v>242</v>
      </c>
      <c r="M3" s="355" t="s">
        <v>242</v>
      </c>
      <c r="N3" s="356" t="s">
        <v>243</v>
      </c>
      <c r="O3" s="63"/>
    </row>
    <row r="4" spans="1:16" x14ac:dyDescent="0.3">
      <c r="A4" s="57" t="s">
        <v>14</v>
      </c>
      <c r="B4" s="58">
        <f>'Areas Sintetico atualizado'!C36</f>
        <v>38071</v>
      </c>
      <c r="C4" s="58">
        <f>'Areas Sintetico atualizado'!G36</f>
        <v>159539</v>
      </c>
      <c r="D4" s="58">
        <f>'Areas Sintetico atualizado'!K36</f>
        <v>159925</v>
      </c>
      <c r="E4" s="58">
        <f>'Areas Sintetico atualizado'!O36</f>
        <v>56461</v>
      </c>
      <c r="F4" s="58"/>
      <c r="G4" s="58"/>
      <c r="H4" s="58"/>
      <c r="I4" s="58"/>
      <c r="J4" s="58"/>
      <c r="K4" s="58"/>
      <c r="L4" s="58"/>
      <c r="M4" s="58"/>
      <c r="N4" s="58">
        <f>B4+C4+D4+E4+F4+G4+H4+I4+J4+K4+L4+M4</f>
        <v>413996</v>
      </c>
      <c r="O4" s="61"/>
      <c r="P4" s="59" t="s">
        <v>244</v>
      </c>
    </row>
    <row r="5" spans="1:16" x14ac:dyDescent="0.3">
      <c r="A5" s="57" t="s">
        <v>245</v>
      </c>
      <c r="B5" s="58">
        <f>'Areas Sintetico atualizado'!C39+'Areas Sintetico atualizado'!C40</f>
        <v>73576.315000000002</v>
      </c>
      <c r="C5" s="58">
        <f>'Areas Sintetico atualizado'!G39</f>
        <v>76342.345000000001</v>
      </c>
      <c r="D5" s="58">
        <f>'Areas Sintetico atualizado'!K39</f>
        <v>72845.494999999995</v>
      </c>
      <c r="E5" s="58">
        <f>'Areas Sintetico atualizado'!O39</f>
        <v>75374.054999999993</v>
      </c>
      <c r="F5" s="58"/>
      <c r="G5" s="58"/>
      <c r="H5" s="58"/>
      <c r="I5" s="58"/>
      <c r="J5" s="58"/>
      <c r="K5" s="58"/>
      <c r="L5" s="58"/>
      <c r="M5" s="58"/>
      <c r="N5" s="58">
        <f>B5+C5+D5+E5+F5+G5+H5+I5+J5+K5+L5+M5</f>
        <v>298138.20999999996</v>
      </c>
      <c r="O5" s="61"/>
      <c r="P5" s="59">
        <f>(N5+N6+N7+N8)/$N$2</f>
        <v>516667.88812724466</v>
      </c>
    </row>
    <row r="6" spans="1:16" x14ac:dyDescent="0.3">
      <c r="A6" s="57" t="s">
        <v>16</v>
      </c>
      <c r="B6" s="58">
        <f>'Areas Sintetico atualizado'!C41+'Areas Sintetico atualizado'!C42</f>
        <v>34881.472570885067</v>
      </c>
      <c r="C6" s="58">
        <f>'Areas Sintetico atualizado'!G41+'Areas Sintetico atualizado'!G42+'Areas Sintetico atualizado'!G40</f>
        <v>32739.030675637037</v>
      </c>
      <c r="D6" s="58">
        <f>'Areas Sintetico atualizado'!K41+'Areas Sintetico atualizado'!K42</f>
        <v>36829.527667814888</v>
      </c>
      <c r="E6" s="58">
        <f>'Areas Sintetico atualizado'!O40+'Areas Sintetico atualizado'!O41+'Areas Sintetico atualizado'!O42</f>
        <v>40584.373009757277</v>
      </c>
      <c r="F6" s="58"/>
      <c r="G6" s="58"/>
      <c r="H6" s="58"/>
      <c r="I6" s="58"/>
      <c r="J6" s="58"/>
      <c r="K6" s="58"/>
      <c r="L6" s="58"/>
      <c r="M6" s="58"/>
      <c r="N6" s="58">
        <f>B6+C6+D6+E6+F6+G6+H6+I6+J6+K6+L6+M6</f>
        <v>145034.40392409428</v>
      </c>
      <c r="O6" s="61"/>
    </row>
    <row r="7" spans="1:16" x14ac:dyDescent="0.3">
      <c r="A7" s="57" t="s">
        <v>67</v>
      </c>
      <c r="B7" s="58">
        <f>'Areas Sintetico atualizado'!C46</f>
        <v>5710.65</v>
      </c>
      <c r="C7" s="58">
        <f>'Areas Sintetico atualizado'!G46</f>
        <v>23930.85</v>
      </c>
      <c r="D7" s="58">
        <f>'Areas Sintetico atualizado'!K46</f>
        <v>23988.75</v>
      </c>
      <c r="E7" s="58">
        <f>'Areas Sintetico atualizado'!O46</f>
        <v>8469.15</v>
      </c>
      <c r="F7" s="58"/>
      <c r="G7" s="58"/>
      <c r="H7" s="58"/>
      <c r="I7" s="58"/>
      <c r="J7" s="58"/>
      <c r="K7" s="58"/>
      <c r="L7" s="58"/>
      <c r="M7" s="58"/>
      <c r="N7" s="58">
        <f>B7+C7+D7+E7+F7+G7+H7+I7+J7+K7+L7+M7</f>
        <v>62099.4</v>
      </c>
      <c r="O7" s="61"/>
      <c r="P7" s="59" t="s">
        <v>246</v>
      </c>
    </row>
    <row r="8" spans="1:16" x14ac:dyDescent="0.3">
      <c r="A8" s="57" t="s">
        <v>247</v>
      </c>
      <c r="B8" s="58">
        <f>'Areas Sintetico atualizado'!C47</f>
        <v>2827.169911189349</v>
      </c>
      <c r="C8" s="58">
        <f>'Areas Sintetico atualizado'!G47</f>
        <v>2856.234763987014</v>
      </c>
      <c r="D8" s="58">
        <f>'Areas Sintetico atualizado'!K47</f>
        <v>2856.234763987014</v>
      </c>
      <c r="E8" s="58">
        <f>'Areas Sintetico atualizado'!O47</f>
        <v>2856.234763987014</v>
      </c>
      <c r="F8" s="58"/>
      <c r="G8" s="58"/>
      <c r="H8" s="58"/>
      <c r="I8" s="58"/>
      <c r="J8" s="58"/>
      <c r="K8" s="58"/>
      <c r="L8" s="58"/>
      <c r="M8" s="58"/>
      <c r="N8" s="58">
        <f>B8+C8+D8+E8+F8+G8+H8+I8+J8+K8+L8+M8</f>
        <v>11395.87420315039</v>
      </c>
      <c r="O8" s="61"/>
    </row>
    <row r="9" spans="1:16" x14ac:dyDescent="0.3">
      <c r="A9" s="57" t="s">
        <v>70</v>
      </c>
      <c r="B9" s="58">
        <f>B4-B5-B6-B7-B8</f>
        <v>-78924.607482074411</v>
      </c>
      <c r="C9" s="58">
        <f t="shared" ref="C9:M9" si="0">C4-C5-C6-C7-C8</f>
        <v>23670.539560375946</v>
      </c>
      <c r="D9" s="58">
        <f t="shared" si="0"/>
        <v>23404.992568198104</v>
      </c>
      <c r="E9" s="58">
        <f t="shared" si="0"/>
        <v>-70822.812773744285</v>
      </c>
      <c r="F9" s="58">
        <f t="shared" si="0"/>
        <v>0</v>
      </c>
      <c r="G9" s="58">
        <f t="shared" si="0"/>
        <v>0</v>
      </c>
      <c r="H9" s="58">
        <f t="shared" si="0"/>
        <v>0</v>
      </c>
      <c r="I9" s="58">
        <f t="shared" si="0"/>
        <v>0</v>
      </c>
      <c r="J9" s="58">
        <f t="shared" si="0"/>
        <v>0</v>
      </c>
      <c r="K9" s="58">
        <f t="shared" si="0"/>
        <v>0</v>
      </c>
      <c r="L9" s="58">
        <f t="shared" si="0"/>
        <v>0</v>
      </c>
      <c r="M9" s="58">
        <f t="shared" si="0"/>
        <v>0</v>
      </c>
      <c r="N9" s="58">
        <f>N4-N5-N6-N7-N8</f>
        <v>-102671.88812724463</v>
      </c>
      <c r="O9" s="61"/>
      <c r="P9" s="490">
        <f>N9/N4</f>
        <v>-0.24800212593175933</v>
      </c>
    </row>
    <row r="10" spans="1:16" x14ac:dyDescent="0.3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61"/>
    </row>
    <row r="11" spans="1:16" x14ac:dyDescent="0.3">
      <c r="B11" s="48" t="s">
        <v>34</v>
      </c>
      <c r="C11" s="48" t="s">
        <v>35</v>
      </c>
      <c r="D11" s="48" t="s">
        <v>36</v>
      </c>
      <c r="E11" s="48" t="s">
        <v>37</v>
      </c>
      <c r="F11" s="48" t="s">
        <v>38</v>
      </c>
      <c r="G11" s="48" t="s">
        <v>39</v>
      </c>
      <c r="H11" s="48" t="s">
        <v>40</v>
      </c>
      <c r="I11" s="48" t="s">
        <v>41</v>
      </c>
      <c r="J11" s="48" t="s">
        <v>42</v>
      </c>
      <c r="K11" s="48" t="str">
        <f>K2</f>
        <v>Outubro</v>
      </c>
      <c r="L11" s="48" t="str">
        <f>L2</f>
        <v>Novembro</v>
      </c>
      <c r="M11" s="48" t="str">
        <f>M2</f>
        <v>Dezembro</v>
      </c>
    </row>
    <row r="12" spans="1:16" x14ac:dyDescent="0.3">
      <c r="A12" s="354" t="s">
        <v>248</v>
      </c>
      <c r="B12" s="355" t="s">
        <v>242</v>
      </c>
      <c r="C12" s="355" t="s">
        <v>242</v>
      </c>
      <c r="D12" s="355" t="s">
        <v>242</v>
      </c>
      <c r="E12" s="355" t="s">
        <v>242</v>
      </c>
      <c r="F12" s="355" t="s">
        <v>242</v>
      </c>
      <c r="G12" s="355" t="s">
        <v>242</v>
      </c>
      <c r="H12" s="355" t="s">
        <v>242</v>
      </c>
      <c r="I12" s="355" t="s">
        <v>242</v>
      </c>
      <c r="J12" s="355" t="s">
        <v>242</v>
      </c>
      <c r="K12" s="355" t="s">
        <v>242</v>
      </c>
      <c r="L12" s="355" t="s">
        <v>242</v>
      </c>
      <c r="M12" s="355" t="s">
        <v>242</v>
      </c>
      <c r="N12" s="356" t="s">
        <v>243</v>
      </c>
      <c r="O12" s="63"/>
    </row>
    <row r="13" spans="1:16" x14ac:dyDescent="0.3">
      <c r="A13" s="57" t="s">
        <v>14</v>
      </c>
      <c r="B13" s="58">
        <f>'Areas Sintetico atualizado'!C54</f>
        <v>61844</v>
      </c>
      <c r="C13" s="58">
        <f>'Areas Sintetico atualizado'!G54</f>
        <v>119667</v>
      </c>
      <c r="D13" s="58">
        <f>'Areas Sintetico atualizado'!K54</f>
        <v>343893</v>
      </c>
      <c r="E13" s="58">
        <f>'Areas Sintetico atualizado'!O54</f>
        <v>159921</v>
      </c>
      <c r="F13" s="58"/>
      <c r="G13" s="58"/>
      <c r="H13" s="58"/>
      <c r="I13" s="58"/>
      <c r="J13" s="58"/>
      <c r="K13" s="58"/>
      <c r="L13" s="58"/>
      <c r="M13" s="58"/>
      <c r="N13" s="58">
        <f>B13+C13+D13+E13+F13+G13+H13+I13+J13+K13+L13+M13</f>
        <v>685325</v>
      </c>
      <c r="O13" s="61"/>
      <c r="P13" s="59" t="s">
        <v>244</v>
      </c>
    </row>
    <row r="14" spans="1:16" x14ac:dyDescent="0.3">
      <c r="A14" s="57" t="s">
        <v>245</v>
      </c>
      <c r="B14" s="58">
        <f>'Areas Sintetico atualizado'!C57</f>
        <v>75653.194999999992</v>
      </c>
      <c r="C14" s="58">
        <f>'Areas Sintetico atualizado'!G57</f>
        <v>78817.054999999993</v>
      </c>
      <c r="D14" s="58">
        <f>'Areas Sintetico atualizado'!K57</f>
        <v>76049.974999999991</v>
      </c>
      <c r="E14" s="58">
        <f>'Areas Sintetico atualizado'!O57</f>
        <v>79160.084999999992</v>
      </c>
      <c r="F14" s="58"/>
      <c r="G14" s="58"/>
      <c r="H14" s="58"/>
      <c r="I14" s="58"/>
      <c r="J14" s="58"/>
      <c r="K14" s="58"/>
      <c r="L14" s="58"/>
      <c r="M14" s="58"/>
      <c r="N14" s="58">
        <f>B14+C14+D14+E14+F14+G14+H14+I14+J14+K14+L14+M14</f>
        <v>309680.30999999994</v>
      </c>
      <c r="O14" s="61"/>
      <c r="P14" s="59">
        <f>(N14+N15+N16+N17)/$N$2</f>
        <v>575765.59559638379</v>
      </c>
    </row>
    <row r="15" spans="1:16" x14ac:dyDescent="0.3">
      <c r="A15" s="57" t="s">
        <v>16</v>
      </c>
      <c r="B15" s="58">
        <f>'Areas Sintetico atualizado'!C59+'Areas Sintetico atualizado'!C60</f>
        <v>36647.877606229245</v>
      </c>
      <c r="C15" s="58">
        <f>'Areas Sintetico atualizado'!G58+'Areas Sintetico atualizado'!G59+'Areas Sintetico atualizado'!G60</f>
        <v>36398.023725423132</v>
      </c>
      <c r="D15" s="58">
        <f>'Areas Sintetico atualizado'!K59+'Areas Sintetico atualizado'!K60</f>
        <v>38129.029610154081</v>
      </c>
      <c r="E15" s="58">
        <f>'Areas Sintetico atualizado'!O58+'Areas Sintetico atualizado'!O59+'Areas Sintetico atualizado'!O60</f>
        <v>40358.163606741626</v>
      </c>
      <c r="F15" s="58"/>
      <c r="G15" s="58"/>
      <c r="H15" s="58"/>
      <c r="I15" s="58"/>
      <c r="J15" s="58"/>
      <c r="K15" s="58"/>
      <c r="L15" s="58"/>
      <c r="M15" s="58"/>
      <c r="N15" s="58">
        <f>B15+C15+D15+E15+F15+G15+H15+I15+J15+K15+L15+M15</f>
        <v>151533.09454854811</v>
      </c>
      <c r="O15" s="61"/>
    </row>
    <row r="16" spans="1:16" x14ac:dyDescent="0.3">
      <c r="A16" s="57" t="s">
        <v>67</v>
      </c>
      <c r="B16" s="58">
        <f>'Areas Sintetico atualizado'!C64</f>
        <v>9276.6</v>
      </c>
      <c r="C16" s="58">
        <f>'Areas Sintetico atualizado'!G64</f>
        <v>17950.05</v>
      </c>
      <c r="D16" s="58">
        <f>'Areas Sintetico atualizado'!K64</f>
        <v>51583.95</v>
      </c>
      <c r="E16" s="58">
        <f>'Areas Sintetico atualizado'!O64</f>
        <v>23988.149999999998</v>
      </c>
      <c r="F16" s="58"/>
      <c r="G16" s="58"/>
      <c r="H16" s="58"/>
      <c r="I16" s="58"/>
      <c r="J16" s="58"/>
      <c r="K16" s="58"/>
      <c r="L16" s="58"/>
      <c r="M16" s="58"/>
      <c r="N16" s="58">
        <f>B16+C16+D16+E16+F16+G16+H16+I16+J16+K16+L16+M16</f>
        <v>102798.75</v>
      </c>
      <c r="O16" s="61"/>
      <c r="P16" s="60" t="s">
        <v>246</v>
      </c>
    </row>
    <row r="17" spans="1:16" x14ac:dyDescent="0.3">
      <c r="A17" s="57" t="s">
        <v>247</v>
      </c>
      <c r="B17" s="58">
        <f>'Areas Sintetico atualizado'!C65</f>
        <v>2906.9740253958144</v>
      </c>
      <c r="C17" s="58">
        <f>'Areas Sintetico atualizado'!G65</f>
        <v>2948.8223408132999</v>
      </c>
      <c r="D17" s="58">
        <f>'Areas Sintetico atualizado'!K65</f>
        <v>2948.8223408132999</v>
      </c>
      <c r="E17" s="58">
        <f>'Areas Sintetico atualizado'!O65</f>
        <v>2948.8223408132999</v>
      </c>
      <c r="F17" s="58"/>
      <c r="G17" s="58"/>
      <c r="H17" s="58"/>
      <c r="I17" s="58"/>
      <c r="J17" s="58"/>
      <c r="K17" s="58"/>
      <c r="L17" s="58"/>
      <c r="M17" s="58"/>
      <c r="N17" s="58">
        <f>B17+C17+D17+E17+F17+G17+H17+I17+J17+K17+L17+M17</f>
        <v>11753.441047835715</v>
      </c>
      <c r="O17" s="61"/>
      <c r="P17" s="60"/>
    </row>
    <row r="18" spans="1:16" x14ac:dyDescent="0.3">
      <c r="A18" s="57" t="s">
        <v>70</v>
      </c>
      <c r="B18" s="58">
        <f>B13-B14-B15-B16-B17</f>
        <v>-62640.646631625052</v>
      </c>
      <c r="C18" s="58">
        <f t="shared" ref="C18:M18" si="1">C13-C14-C15-C16-C17</f>
        <v>-16446.951066236426</v>
      </c>
      <c r="D18" s="58">
        <f t="shared" si="1"/>
        <v>175181.22304903268</v>
      </c>
      <c r="E18" s="58">
        <f t="shared" si="1"/>
        <v>13465.779052445085</v>
      </c>
      <c r="F18" s="58">
        <f t="shared" si="1"/>
        <v>0</v>
      </c>
      <c r="G18" s="58">
        <f t="shared" si="1"/>
        <v>0</v>
      </c>
      <c r="H18" s="58">
        <f t="shared" si="1"/>
        <v>0</v>
      </c>
      <c r="I18" s="58">
        <f t="shared" si="1"/>
        <v>0</v>
      </c>
      <c r="J18" s="58">
        <f t="shared" si="1"/>
        <v>0</v>
      </c>
      <c r="K18" s="58">
        <f t="shared" si="1"/>
        <v>0</v>
      </c>
      <c r="L18" s="58">
        <f t="shared" si="1"/>
        <v>0</v>
      </c>
      <c r="M18" s="58">
        <f t="shared" si="1"/>
        <v>0</v>
      </c>
      <c r="N18" s="58">
        <f>N13-N14-N15-N16-N17</f>
        <v>109559.40440361624</v>
      </c>
      <c r="O18" s="61"/>
      <c r="P18" s="490">
        <f>N18/N13</f>
        <v>0.15986488805109436</v>
      </c>
    </row>
    <row r="19" spans="1:16" x14ac:dyDescent="0.3">
      <c r="A19" s="57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61"/>
    </row>
    <row r="20" spans="1:16" x14ac:dyDescent="0.3">
      <c r="B20" s="48" t="s">
        <v>34</v>
      </c>
      <c r="C20" s="48" t="s">
        <v>35</v>
      </c>
      <c r="D20" s="48" t="s">
        <v>36</v>
      </c>
      <c r="E20" s="48" t="s">
        <v>37</v>
      </c>
      <c r="F20" s="48" t="s">
        <v>38</v>
      </c>
      <c r="G20" s="48" t="s">
        <v>39</v>
      </c>
      <c r="H20" s="48" t="s">
        <v>40</v>
      </c>
      <c r="I20" s="48" t="s">
        <v>41</v>
      </c>
      <c r="J20" s="48" t="s">
        <v>42</v>
      </c>
      <c r="K20" s="48" t="str">
        <f>K2</f>
        <v>Outubro</v>
      </c>
      <c r="L20" s="48" t="str">
        <f>L2</f>
        <v>Novembro</v>
      </c>
      <c r="M20" s="48" t="str">
        <f>M2</f>
        <v>Dezembro</v>
      </c>
    </row>
    <row r="21" spans="1:16" x14ac:dyDescent="0.3">
      <c r="A21" s="354" t="s">
        <v>249</v>
      </c>
      <c r="B21" s="355" t="s">
        <v>242</v>
      </c>
      <c r="C21" s="355" t="s">
        <v>242</v>
      </c>
      <c r="D21" s="355" t="s">
        <v>242</v>
      </c>
      <c r="E21" s="355" t="s">
        <v>242</v>
      </c>
      <c r="F21" s="355" t="s">
        <v>242</v>
      </c>
      <c r="G21" s="355" t="s">
        <v>242</v>
      </c>
      <c r="H21" s="355" t="s">
        <v>242</v>
      </c>
      <c r="I21" s="355" t="s">
        <v>242</v>
      </c>
      <c r="J21" s="355" t="s">
        <v>242</v>
      </c>
      <c r="K21" s="355" t="s">
        <v>242</v>
      </c>
      <c r="L21" s="355" t="s">
        <v>242</v>
      </c>
      <c r="M21" s="355" t="s">
        <v>242</v>
      </c>
      <c r="N21" s="356" t="s">
        <v>243</v>
      </c>
      <c r="O21" s="63"/>
    </row>
    <row r="22" spans="1:16" x14ac:dyDescent="0.3">
      <c r="A22" s="57" t="s">
        <v>14</v>
      </c>
      <c r="B22" s="58">
        <f>'Areas Sintetico atualizado'!C72</f>
        <v>133169</v>
      </c>
      <c r="C22" s="58">
        <f>'Areas Sintetico atualizado'!G72</f>
        <v>62506</v>
      </c>
      <c r="D22" s="58">
        <f>'Areas Sintetico atualizado'!K72</f>
        <v>113444</v>
      </c>
      <c r="E22" s="58">
        <f>'Areas Sintetico atualizado'!O72</f>
        <v>3476</v>
      </c>
      <c r="F22" s="58"/>
      <c r="G22" s="58"/>
      <c r="H22" s="58"/>
      <c r="I22" s="58"/>
      <c r="J22" s="58"/>
      <c r="K22" s="58"/>
      <c r="L22" s="58"/>
      <c r="M22" s="58"/>
      <c r="N22" s="58">
        <f>B22+C22+D22+E22+F22+G22+H22+I22+J22+K22+L22+M22</f>
        <v>312595</v>
      </c>
      <c r="O22" s="61"/>
      <c r="P22" s="59" t="s">
        <v>244</v>
      </c>
    </row>
    <row r="23" spans="1:16" x14ac:dyDescent="0.3">
      <c r="A23" s="57" t="s">
        <v>245</v>
      </c>
      <c r="B23" s="58">
        <f>'Areas Sintetico atualizado'!C75</f>
        <v>62013.17</v>
      </c>
      <c r="C23" s="58">
        <f>'Areas Sintetico atualizado'!G75</f>
        <v>61794.340000000004</v>
      </c>
      <c r="D23" s="58">
        <f>'Areas Sintetico atualizado'!K75</f>
        <v>49183.94</v>
      </c>
      <c r="E23" s="58">
        <f>'Areas Sintetico atualizado'!O75</f>
        <v>55038.69</v>
      </c>
      <c r="F23" s="58"/>
      <c r="G23" s="58"/>
      <c r="H23" s="58"/>
      <c r="I23" s="58"/>
      <c r="J23" s="58"/>
      <c r="K23" s="58"/>
      <c r="L23" s="58"/>
      <c r="M23" s="58"/>
      <c r="N23" s="58">
        <f>B23+C23+D23+E23+F23+G23+H23+I23+J23+K23+L23+M23</f>
        <v>228030.14</v>
      </c>
      <c r="O23" s="61"/>
      <c r="P23" s="59">
        <f>(N23+N24+N25+N26)/$N$2</f>
        <v>396524.3862763716</v>
      </c>
    </row>
    <row r="24" spans="1:16" x14ac:dyDescent="0.3">
      <c r="A24" s="57" t="s">
        <v>16</v>
      </c>
      <c r="B24" s="58">
        <f>'Areas Sintetico atualizado'!C77+'Areas Sintetico atualizado'!C78</f>
        <v>28652.059822885702</v>
      </c>
      <c r="C24" s="58">
        <f>'Areas Sintetico atualizado'!G76+'Areas Sintetico atualizado'!G77+'Areas Sintetico atualizado'!G78</f>
        <v>27410.335598939815</v>
      </c>
      <c r="D24" s="58">
        <f>'Areas Sintetico atualizado'!K77+'Areas Sintetico atualizado'!K78</f>
        <v>27010.34272203103</v>
      </c>
      <c r="E24" s="58">
        <f>'Areas Sintetico atualizado'!O76+'Areas Sintetico atualizado'!O77+'Areas Sintetico atualizado'!O78</f>
        <v>29213.573383501094</v>
      </c>
      <c r="F24" s="58"/>
      <c r="G24" s="58"/>
      <c r="H24" s="58"/>
      <c r="I24" s="58"/>
      <c r="J24" s="58"/>
      <c r="K24" s="58"/>
      <c r="L24" s="58"/>
      <c r="M24" s="58"/>
      <c r="N24" s="58">
        <f>B24+C24+D24+E24+F24+G24+H24+I24+J24+K24+L24+M24</f>
        <v>112286.31152735764</v>
      </c>
      <c r="O24" s="61"/>
    </row>
    <row r="25" spans="1:16" x14ac:dyDescent="0.3">
      <c r="A25" s="57" t="s">
        <v>67</v>
      </c>
      <c r="B25" s="58">
        <f>'Areas Sintetico atualizado'!C82</f>
        <v>19975.349999999999</v>
      </c>
      <c r="C25" s="58">
        <f>'Areas Sintetico atualizado'!G82</f>
        <v>9375.9</v>
      </c>
      <c r="D25" s="58">
        <f>'Areas Sintetico atualizado'!K82</f>
        <v>17016.599999999999</v>
      </c>
      <c r="E25" s="58">
        <f>'Areas Sintetico atualizado'!O82</f>
        <v>521.4</v>
      </c>
      <c r="F25" s="58"/>
      <c r="G25" s="58"/>
      <c r="H25" s="58"/>
      <c r="I25" s="58"/>
      <c r="J25" s="58"/>
      <c r="K25" s="58"/>
      <c r="L25" s="58"/>
      <c r="M25" s="58"/>
      <c r="N25" s="58">
        <f>B25+C25+D25+E25+F25+G25+H25+I25+J25+K25+L25+M25</f>
        <v>46889.25</v>
      </c>
      <c r="O25" s="61"/>
      <c r="P25" s="60" t="s">
        <v>246</v>
      </c>
    </row>
    <row r="26" spans="1:16" x14ac:dyDescent="0.3">
      <c r="A26" s="57" t="s">
        <v>247</v>
      </c>
      <c r="B26" s="58">
        <f>'Areas Sintetico atualizado'!C83</f>
        <v>2382.8560634148366</v>
      </c>
      <c r="C26" s="58">
        <f>'Areas Sintetico atualizado'!G83</f>
        <v>2311.9428951996865</v>
      </c>
      <c r="D26" s="58">
        <f>'Areas Sintetico atualizado'!K83</f>
        <v>2311.9428951996865</v>
      </c>
      <c r="E26" s="58">
        <f>'Areas Sintetico atualizado'!O83</f>
        <v>2311.9428951996865</v>
      </c>
      <c r="F26" s="58"/>
      <c r="G26" s="58"/>
      <c r="H26" s="58"/>
      <c r="I26" s="58"/>
      <c r="J26" s="58"/>
      <c r="K26" s="58"/>
      <c r="L26" s="58"/>
      <c r="M26" s="58"/>
      <c r="N26" s="58">
        <f>B26+C26+D26+E26+F26+G26+H26+I26+J26+K26+L26+M26</f>
        <v>9318.6847490138971</v>
      </c>
      <c r="O26" s="61"/>
      <c r="P26" s="60"/>
    </row>
    <row r="27" spans="1:16" x14ac:dyDescent="0.3">
      <c r="A27" s="57" t="s">
        <v>70</v>
      </c>
      <c r="B27" s="58">
        <f>B22-B23-B24-B25-B26</f>
        <v>20145.564113699467</v>
      </c>
      <c r="C27" s="58">
        <f t="shared" ref="C27:M27" si="2">C22-C23-C24-C25-C26</f>
        <v>-38386.518494139505</v>
      </c>
      <c r="D27" s="58">
        <f t="shared" si="2"/>
        <v>17921.174382769288</v>
      </c>
      <c r="E27" s="58">
        <f t="shared" si="2"/>
        <v>-83609.606278700769</v>
      </c>
      <c r="F27" s="58">
        <f t="shared" si="2"/>
        <v>0</v>
      </c>
      <c r="G27" s="58">
        <f t="shared" si="2"/>
        <v>0</v>
      </c>
      <c r="H27" s="58">
        <f t="shared" si="2"/>
        <v>0</v>
      </c>
      <c r="I27" s="58">
        <f t="shared" si="2"/>
        <v>0</v>
      </c>
      <c r="J27" s="58">
        <f t="shared" si="2"/>
        <v>0</v>
      </c>
      <c r="K27" s="58">
        <f t="shared" si="2"/>
        <v>0</v>
      </c>
      <c r="L27" s="58">
        <f t="shared" si="2"/>
        <v>0</v>
      </c>
      <c r="M27" s="58">
        <f t="shared" si="2"/>
        <v>0</v>
      </c>
      <c r="N27" s="58">
        <f>N22-N23-N24-N25-N26</f>
        <v>-83929.386276371544</v>
      </c>
      <c r="O27" s="61"/>
      <c r="P27" s="490">
        <f>N27/N22</f>
        <v>-0.26849241439041427</v>
      </c>
    </row>
    <row r="28" spans="1:16" x14ac:dyDescent="0.3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61"/>
    </row>
    <row r="30" spans="1:16" x14ac:dyDescent="0.3">
      <c r="B30" s="48">
        <f>B4+B13+B22</f>
        <v>233084</v>
      </c>
      <c r="C30" s="48">
        <f t="shared" ref="C30:M30" si="3">C4+C13+C22</f>
        <v>341712</v>
      </c>
      <c r="D30" s="48">
        <f t="shared" si="3"/>
        <v>617262</v>
      </c>
      <c r="E30" s="48">
        <f t="shared" si="3"/>
        <v>219858</v>
      </c>
      <c r="F30" s="48">
        <f t="shared" si="3"/>
        <v>0</v>
      </c>
      <c r="G30" s="48">
        <f t="shared" si="3"/>
        <v>0</v>
      </c>
      <c r="H30" s="48">
        <f t="shared" si="3"/>
        <v>0</v>
      </c>
      <c r="I30" s="48">
        <f t="shared" si="3"/>
        <v>0</v>
      </c>
      <c r="J30" s="48">
        <f t="shared" si="3"/>
        <v>0</v>
      </c>
      <c r="K30" s="48">
        <f t="shared" si="3"/>
        <v>0</v>
      </c>
      <c r="L30" s="48">
        <f t="shared" si="3"/>
        <v>0</v>
      </c>
      <c r="M30" s="48">
        <f t="shared" si="3"/>
        <v>0</v>
      </c>
      <c r="N30" s="58">
        <f>B30+C30+D30+E30+F30+G30+H30+I30+J30+K30+L30+M30</f>
        <v>1411916</v>
      </c>
    </row>
    <row r="31" spans="1:16" x14ac:dyDescent="0.3">
      <c r="N31" s="48">
        <f>N5+N14+N23</f>
        <v>835848.65999999992</v>
      </c>
    </row>
  </sheetData>
  <phoneticPr fontId="15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51FC-82AD-4B88-8C95-A8ECCFFEEE4C}">
  <sheetPr>
    <tabColor rgb="FFFFFF00"/>
  </sheetPr>
  <dimension ref="A1:O560"/>
  <sheetViews>
    <sheetView zoomScale="120" zoomScaleNormal="120" workbookViewId="0">
      <pane xSplit="1" ySplit="2" topLeftCell="D17" activePane="bottomRight" state="frozen"/>
      <selection pane="topRight" activeCell="A156" sqref="A156:XFD156"/>
      <selection pane="bottomLeft" activeCell="A156" sqref="A156:XFD156"/>
      <selection pane="bottomRight" activeCell="F21" sqref="F20:F21"/>
    </sheetView>
  </sheetViews>
  <sheetFormatPr defaultColWidth="9.109375" defaultRowHeight="14.4" x14ac:dyDescent="0.3"/>
  <cols>
    <col min="1" max="1" width="63.33203125" style="24" customWidth="1"/>
    <col min="2" max="2" width="16.6640625" style="24" customWidth="1"/>
    <col min="3" max="4" width="16.6640625" style="29" customWidth="1"/>
    <col min="5" max="14" width="16.6640625" style="3" customWidth="1"/>
    <col min="15" max="15" width="13.33203125" style="1" customWidth="1"/>
    <col min="16" max="19" width="9.109375" style="1"/>
    <col min="20" max="22" width="9.44140625" style="1" customWidth="1"/>
    <col min="23" max="23" width="4.44140625" style="1" customWidth="1"/>
    <col min="24" max="24" width="9.44140625" style="1" customWidth="1"/>
    <col min="25" max="16384" width="9.109375" style="1"/>
  </cols>
  <sheetData>
    <row r="1" spans="1:15" ht="15" thickBot="1" x14ac:dyDescent="0.35"/>
    <row r="2" spans="1:15" s="14" customFormat="1" ht="19.2" thickTop="1" thickBot="1" x14ac:dyDescent="0.35">
      <c r="A2" s="12" t="s">
        <v>73</v>
      </c>
      <c r="B2" s="13" t="s">
        <v>250</v>
      </c>
      <c r="C2" s="13" t="s">
        <v>251</v>
      </c>
      <c r="D2" s="13" t="s">
        <v>35</v>
      </c>
      <c r="E2" s="13" t="s">
        <v>252</v>
      </c>
      <c r="F2" s="13" t="s">
        <v>253</v>
      </c>
      <c r="G2" s="13" t="s">
        <v>38</v>
      </c>
      <c r="H2" s="13" t="s">
        <v>39</v>
      </c>
      <c r="I2" s="13" t="s">
        <v>254</v>
      </c>
      <c r="J2" s="13" t="s">
        <v>41</v>
      </c>
      <c r="K2" s="13" t="s">
        <v>255</v>
      </c>
      <c r="L2" s="13" t="s">
        <v>43</v>
      </c>
      <c r="M2" s="13" t="s">
        <v>256</v>
      </c>
      <c r="N2" s="13" t="s">
        <v>45</v>
      </c>
    </row>
    <row r="3" spans="1:15" s="448" customFormat="1" ht="15" thickTop="1" x14ac:dyDescent="0.3">
      <c r="A3" s="446" t="s">
        <v>75</v>
      </c>
      <c r="B3" s="447"/>
      <c r="C3" s="447">
        <f t="shared" ref="C3:M3" si="0">SUM(C4:C4)</f>
        <v>279821.07</v>
      </c>
      <c r="D3" s="447">
        <f t="shared" si="0"/>
        <v>319233.58</v>
      </c>
      <c r="E3" s="447">
        <f t="shared" si="0"/>
        <v>612501.76000000001</v>
      </c>
      <c r="F3" s="447">
        <f t="shared" si="0"/>
        <v>238327.46</v>
      </c>
      <c r="G3" s="447">
        <f t="shared" ref="G3" si="1">SUM(G4:G4)</f>
        <v>415928</v>
      </c>
      <c r="H3" s="447">
        <f t="shared" si="0"/>
        <v>0</v>
      </c>
      <c r="I3" s="447">
        <f t="shared" si="0"/>
        <v>0</v>
      </c>
      <c r="J3" s="447">
        <f t="shared" si="0"/>
        <v>0</v>
      </c>
      <c r="K3" s="447">
        <f t="shared" si="0"/>
        <v>0</v>
      </c>
      <c r="L3" s="447">
        <f t="shared" si="0"/>
        <v>0</v>
      </c>
      <c r="M3" s="447">
        <f t="shared" si="0"/>
        <v>0</v>
      </c>
      <c r="N3" s="447">
        <f>SUM(N4:N4)</f>
        <v>0</v>
      </c>
    </row>
    <row r="4" spans="1:15" x14ac:dyDescent="0.3">
      <c r="A4" s="17" t="s">
        <v>76</v>
      </c>
      <c r="B4" s="21">
        <f t="shared" ref="B4:B24" si="2">SUM(C4:N4)</f>
        <v>1865811.87</v>
      </c>
      <c r="C4" s="18">
        <v>279821.07</v>
      </c>
      <c r="D4" s="18">
        <v>319233.58</v>
      </c>
      <c r="E4" s="19">
        <v>612501.76000000001</v>
      </c>
      <c r="F4" s="19">
        <v>238327.46</v>
      </c>
      <c r="G4" s="19">
        <v>415928</v>
      </c>
      <c r="H4" s="19"/>
      <c r="I4" s="19"/>
      <c r="J4" s="19"/>
      <c r="K4" s="19"/>
      <c r="L4" s="19"/>
      <c r="M4" s="19"/>
      <c r="N4" s="19"/>
      <c r="O4" s="16">
        <f t="shared" ref="O4:O26" si="3">C4+D4+E4+F4+G4+H4+I4+J4+K4+L4+M4+N4</f>
        <v>1865811.87</v>
      </c>
    </row>
    <row r="5" spans="1:15" s="448" customFormat="1" x14ac:dyDescent="0.3">
      <c r="A5" s="446" t="s">
        <v>51</v>
      </c>
      <c r="B5" s="449">
        <f t="shared" si="2"/>
        <v>372279.42499999993</v>
      </c>
      <c r="C5" s="450">
        <f t="shared" ref="C5:N5" si="4">SUM(C6:C27)</f>
        <v>73576.315000000002</v>
      </c>
      <c r="D5" s="450">
        <f t="shared" si="4"/>
        <v>76342.345000000001</v>
      </c>
      <c r="E5" s="450">
        <f t="shared" si="4"/>
        <v>72845.494999999995</v>
      </c>
      <c r="F5" s="450">
        <f t="shared" si="4"/>
        <v>75374.054999999993</v>
      </c>
      <c r="G5" s="450">
        <f t="shared" si="4"/>
        <v>74141.214999999997</v>
      </c>
      <c r="H5" s="450">
        <f t="shared" si="4"/>
        <v>0</v>
      </c>
      <c r="I5" s="450">
        <f t="shared" si="4"/>
        <v>0</v>
      </c>
      <c r="J5" s="450">
        <f t="shared" si="4"/>
        <v>0</v>
      </c>
      <c r="K5" s="450">
        <f t="shared" si="4"/>
        <v>0</v>
      </c>
      <c r="L5" s="450">
        <f t="shared" si="4"/>
        <v>0</v>
      </c>
      <c r="M5" s="450">
        <f t="shared" si="4"/>
        <v>0</v>
      </c>
      <c r="N5" s="450">
        <f t="shared" si="4"/>
        <v>0</v>
      </c>
      <c r="O5" s="448">
        <f t="shared" si="3"/>
        <v>372279.42499999993</v>
      </c>
    </row>
    <row r="6" spans="1:15" x14ac:dyDescent="0.3">
      <c r="A6" s="17" t="s">
        <v>82</v>
      </c>
      <c r="B6" s="21">
        <f t="shared" si="2"/>
        <v>8752.7950000000001</v>
      </c>
      <c r="C6" s="18">
        <f>3182.83/2</f>
        <v>1591.415</v>
      </c>
      <c r="D6" s="18">
        <f>3182.83/2</f>
        <v>1591.415</v>
      </c>
      <c r="E6" s="18">
        <f>3182.83/2</f>
        <v>1591.415</v>
      </c>
      <c r="F6" s="18">
        <f>3182.83/2</f>
        <v>1591.415</v>
      </c>
      <c r="G6" s="18">
        <f>4774.27/2</f>
        <v>2387.1350000000002</v>
      </c>
      <c r="H6" s="18"/>
      <c r="I6" s="18"/>
      <c r="J6" s="18"/>
      <c r="K6" s="18"/>
      <c r="L6" s="18"/>
      <c r="M6" s="21"/>
      <c r="N6" s="21"/>
      <c r="O6" s="16">
        <f t="shared" ref="O6:O18" si="5">C6+D6+E6+F6+G6+H6+I6+J6+K6+L6+M6+N6</f>
        <v>8752.7950000000001</v>
      </c>
    </row>
    <row r="7" spans="1:15" x14ac:dyDescent="0.3">
      <c r="A7" s="17" t="s">
        <v>80</v>
      </c>
      <c r="B7" s="21">
        <f t="shared" si="2"/>
        <v>58447.5</v>
      </c>
      <c r="C7" s="18">
        <f>12500-C8</f>
        <v>11689.5</v>
      </c>
      <c r="D7" s="18">
        <f>12500-D8</f>
        <v>11689.5</v>
      </c>
      <c r="E7" s="18">
        <f>12500-E8</f>
        <v>11689.5</v>
      </c>
      <c r="F7" s="18">
        <f>12500-F8</f>
        <v>11689.5</v>
      </c>
      <c r="G7" s="18">
        <f>12500-G8</f>
        <v>11689.5</v>
      </c>
      <c r="H7" s="18"/>
      <c r="I7" s="18"/>
      <c r="J7" s="18"/>
      <c r="K7" s="18"/>
      <c r="L7" s="18"/>
      <c r="M7" s="21"/>
      <c r="N7" s="21"/>
      <c r="O7" s="16">
        <f t="shared" si="5"/>
        <v>58447.5</v>
      </c>
    </row>
    <row r="8" spans="1:15" x14ac:dyDescent="0.3">
      <c r="A8" s="17" t="s">
        <v>81</v>
      </c>
      <c r="B8" s="21">
        <f t="shared" si="2"/>
        <v>4052.5</v>
      </c>
      <c r="C8" s="19">
        <v>810.5</v>
      </c>
      <c r="D8" s="19">
        <v>810.5</v>
      </c>
      <c r="E8" s="18">
        <f>1621/2</f>
        <v>810.5</v>
      </c>
      <c r="F8" s="18">
        <f>1621/2</f>
        <v>810.5</v>
      </c>
      <c r="G8" s="18">
        <f>1621/2</f>
        <v>810.5</v>
      </c>
      <c r="H8" s="18"/>
      <c r="I8" s="18"/>
      <c r="J8" s="18"/>
      <c r="K8" s="18"/>
      <c r="L8" s="18"/>
      <c r="M8" s="22"/>
      <c r="N8" s="19"/>
      <c r="O8" s="16">
        <f t="shared" si="5"/>
        <v>4052.5</v>
      </c>
    </row>
    <row r="9" spans="1:15" x14ac:dyDescent="0.3">
      <c r="A9" s="17" t="s">
        <v>257</v>
      </c>
      <c r="B9" s="21">
        <f t="shared" si="2"/>
        <v>54.35</v>
      </c>
      <c r="C9" s="19"/>
      <c r="D9" s="19">
        <f>108.7/2</f>
        <v>54.35</v>
      </c>
      <c r="E9" s="18"/>
      <c r="F9" s="18"/>
      <c r="G9" s="18"/>
      <c r="H9" s="18"/>
      <c r="I9" s="18"/>
      <c r="J9" s="18"/>
      <c r="K9" s="18"/>
      <c r="L9" s="18"/>
      <c r="M9" s="22"/>
      <c r="N9" s="19"/>
      <c r="O9" s="16"/>
    </row>
    <row r="10" spans="1:15" x14ac:dyDescent="0.3">
      <c r="A10" s="17" t="s">
        <v>85</v>
      </c>
      <c r="B10" s="21">
        <f t="shared" si="2"/>
        <v>6347.3</v>
      </c>
      <c r="C10" s="19">
        <v>1269.46</v>
      </c>
      <c r="D10" s="19">
        <v>1269.46</v>
      </c>
      <c r="E10" s="19">
        <v>1269.46</v>
      </c>
      <c r="F10" s="19">
        <v>1269.46</v>
      </c>
      <c r="G10" s="19">
        <v>1269.46</v>
      </c>
      <c r="H10" s="18"/>
      <c r="I10" s="18"/>
      <c r="J10" s="18"/>
      <c r="K10" s="18"/>
      <c r="L10" s="18"/>
      <c r="M10" s="19"/>
      <c r="N10" s="18"/>
      <c r="O10" s="16">
        <f t="shared" si="5"/>
        <v>6347.3</v>
      </c>
    </row>
    <row r="11" spans="1:15" x14ac:dyDescent="0.3">
      <c r="A11" s="17" t="s">
        <v>86</v>
      </c>
      <c r="B11" s="21">
        <f t="shared" si="2"/>
        <v>0</v>
      </c>
      <c r="C11" s="18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6">
        <f t="shared" si="5"/>
        <v>0</v>
      </c>
    </row>
    <row r="12" spans="1:15" x14ac:dyDescent="0.3">
      <c r="A12" s="17" t="s">
        <v>83</v>
      </c>
      <c r="B12" s="21">
        <f t="shared" si="2"/>
        <v>38168.6</v>
      </c>
      <c r="C12" s="18">
        <f t="shared" ref="C12" si="6">8640-C13</f>
        <v>7019</v>
      </c>
      <c r="D12" s="18">
        <f>9158.4-D13</f>
        <v>7537.4</v>
      </c>
      <c r="E12" s="18">
        <f>9158.4-E13</f>
        <v>7537.4</v>
      </c>
      <c r="F12" s="18">
        <f>9158.4-F13+500</f>
        <v>8037.4</v>
      </c>
      <c r="G12" s="18">
        <f>9158.4-G13+500</f>
        <v>8037.4</v>
      </c>
      <c r="H12" s="18"/>
      <c r="I12" s="18"/>
      <c r="J12" s="18"/>
      <c r="K12" s="18"/>
      <c r="L12" s="18"/>
      <c r="M12" s="21"/>
      <c r="N12" s="18"/>
      <c r="O12" s="16">
        <f t="shared" si="5"/>
        <v>38168.6</v>
      </c>
    </row>
    <row r="13" spans="1:15" x14ac:dyDescent="0.3">
      <c r="A13" s="17" t="s">
        <v>84</v>
      </c>
      <c r="B13" s="21">
        <f t="shared" si="2"/>
        <v>8105</v>
      </c>
      <c r="C13" s="18">
        <v>1621</v>
      </c>
      <c r="D13" s="18">
        <v>1621</v>
      </c>
      <c r="E13" s="18">
        <v>1621</v>
      </c>
      <c r="F13" s="18">
        <v>1621</v>
      </c>
      <c r="G13" s="18">
        <v>1621</v>
      </c>
      <c r="H13" s="18"/>
      <c r="I13" s="18"/>
      <c r="J13" s="18"/>
      <c r="K13" s="18"/>
      <c r="L13" s="18"/>
      <c r="M13" s="18"/>
      <c r="N13" s="18"/>
      <c r="O13" s="16">
        <f t="shared" si="5"/>
        <v>8105</v>
      </c>
    </row>
    <row r="14" spans="1:15" x14ac:dyDescent="0.3">
      <c r="A14" s="17" t="s">
        <v>87</v>
      </c>
      <c r="B14" s="21">
        <f t="shared" si="2"/>
        <v>518.4</v>
      </c>
      <c r="C14" s="18"/>
      <c r="D14" s="18">
        <v>518.4</v>
      </c>
      <c r="E14" s="19"/>
      <c r="F14" s="19"/>
      <c r="G14" s="19"/>
      <c r="H14" s="19"/>
      <c r="I14" s="19"/>
      <c r="J14" s="19"/>
      <c r="K14" s="19"/>
      <c r="L14" s="19"/>
      <c r="M14" s="18"/>
      <c r="N14" s="19"/>
      <c r="O14" s="16">
        <f t="shared" si="5"/>
        <v>518.4</v>
      </c>
    </row>
    <row r="15" spans="1:15" x14ac:dyDescent="0.3">
      <c r="A15" s="17" t="s">
        <v>79</v>
      </c>
      <c r="B15" s="21">
        <f t="shared" si="2"/>
        <v>8680.7000000000007</v>
      </c>
      <c r="C15" s="18">
        <v>1736.14</v>
      </c>
      <c r="D15" s="18">
        <v>1736.14</v>
      </c>
      <c r="E15" s="18">
        <v>1736.14</v>
      </c>
      <c r="F15" s="18">
        <v>1736.14</v>
      </c>
      <c r="G15" s="18">
        <v>1736.14</v>
      </c>
      <c r="H15" s="18"/>
      <c r="I15" s="18"/>
      <c r="J15" s="18"/>
      <c r="K15" s="18"/>
      <c r="L15" s="18"/>
      <c r="M15" s="18"/>
      <c r="N15" s="18"/>
      <c r="O15" s="16">
        <f t="shared" si="5"/>
        <v>8680.7000000000007</v>
      </c>
    </row>
    <row r="16" spans="1:15" x14ac:dyDescent="0.3">
      <c r="A16" s="17" t="s">
        <v>77</v>
      </c>
      <c r="B16" s="21">
        <f t="shared" si="2"/>
        <v>116895</v>
      </c>
      <c r="C16" s="18">
        <f>25000-C17</f>
        <v>23379</v>
      </c>
      <c r="D16" s="18">
        <f>25000-D17</f>
        <v>23379</v>
      </c>
      <c r="E16" s="18">
        <f>25000-E17</f>
        <v>23379</v>
      </c>
      <c r="F16" s="18">
        <f>25000-F17</f>
        <v>23379</v>
      </c>
      <c r="G16" s="18">
        <f>25000-G17</f>
        <v>23379</v>
      </c>
      <c r="H16" s="18"/>
      <c r="I16" s="18"/>
      <c r="J16" s="18"/>
      <c r="K16" s="18"/>
      <c r="L16" s="18"/>
      <c r="M16" s="21"/>
      <c r="N16" s="18"/>
      <c r="O16" s="16">
        <f t="shared" si="5"/>
        <v>116895</v>
      </c>
    </row>
    <row r="17" spans="1:15" x14ac:dyDescent="0.3">
      <c r="A17" s="17" t="s">
        <v>78</v>
      </c>
      <c r="B17" s="21">
        <f t="shared" si="2"/>
        <v>8105</v>
      </c>
      <c r="C17" s="18">
        <v>1621</v>
      </c>
      <c r="D17" s="18">
        <v>1621</v>
      </c>
      <c r="E17" s="18">
        <v>1621</v>
      </c>
      <c r="F17" s="18">
        <v>1621</v>
      </c>
      <c r="G17" s="18">
        <v>1621</v>
      </c>
      <c r="H17" s="18"/>
      <c r="I17" s="18"/>
      <c r="J17" s="18"/>
      <c r="K17" s="18"/>
      <c r="L17" s="18"/>
      <c r="M17" s="21"/>
      <c r="N17" s="18"/>
      <c r="O17" s="16">
        <f t="shared" si="5"/>
        <v>8105</v>
      </c>
    </row>
    <row r="18" spans="1:15" x14ac:dyDescent="0.3">
      <c r="A18" s="17" t="s">
        <v>258</v>
      </c>
      <c r="B18" s="21">
        <f t="shared" si="2"/>
        <v>206.4</v>
      </c>
      <c r="C18" s="21">
        <v>97.7</v>
      </c>
      <c r="D18" s="21">
        <v>108.7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6">
        <f t="shared" si="5"/>
        <v>206.4</v>
      </c>
    </row>
    <row r="19" spans="1:15" x14ac:dyDescent="0.3">
      <c r="A19" s="17" t="s">
        <v>90</v>
      </c>
      <c r="B19" s="21">
        <f t="shared" si="2"/>
        <v>7820.4</v>
      </c>
      <c r="C19" s="21">
        <v>1564.08</v>
      </c>
      <c r="D19" s="21">
        <v>1564.08</v>
      </c>
      <c r="E19" s="21">
        <v>1564.08</v>
      </c>
      <c r="F19" s="21">
        <v>1564.08</v>
      </c>
      <c r="G19" s="21">
        <v>1564.08</v>
      </c>
      <c r="H19" s="21"/>
      <c r="I19" s="21"/>
      <c r="J19" s="21"/>
      <c r="K19" s="21"/>
      <c r="L19" s="21"/>
      <c r="M19" s="21"/>
      <c r="N19" s="21"/>
      <c r="O19" s="16">
        <f t="shared" ref="O19:O24" si="7">C19+D19+E19+F19+G19+H19+I19+J19+K19+L19+M19+N19</f>
        <v>7820.4</v>
      </c>
    </row>
    <row r="20" spans="1:15" x14ac:dyDescent="0.3">
      <c r="A20" s="17" t="s">
        <v>88</v>
      </c>
      <c r="B20" s="21">
        <f t="shared" si="2"/>
        <v>76459</v>
      </c>
      <c r="C20" s="21">
        <f t="shared" ref="C20" si="8">15660-C21</f>
        <v>14039</v>
      </c>
      <c r="D20" s="18">
        <f>17226-D21</f>
        <v>15605</v>
      </c>
      <c r="E20" s="18">
        <f>17226-E21</f>
        <v>15605</v>
      </c>
      <c r="F20" s="18">
        <f>17226-F21</f>
        <v>15605</v>
      </c>
      <c r="G20" s="18">
        <f>17226-G21</f>
        <v>15605</v>
      </c>
      <c r="H20" s="18"/>
      <c r="I20" s="18"/>
      <c r="J20" s="18"/>
      <c r="K20" s="18"/>
      <c r="L20" s="18"/>
      <c r="M20" s="21"/>
      <c r="N20" s="21"/>
      <c r="O20" s="16">
        <f t="shared" si="7"/>
        <v>76459</v>
      </c>
    </row>
    <row r="21" spans="1:15" x14ac:dyDescent="0.3">
      <c r="A21" s="17" t="s">
        <v>89</v>
      </c>
      <c r="B21" s="21">
        <f t="shared" si="2"/>
        <v>8105</v>
      </c>
      <c r="C21" s="18">
        <v>1621</v>
      </c>
      <c r="D21" s="18">
        <v>1621</v>
      </c>
      <c r="E21" s="18">
        <v>1621</v>
      </c>
      <c r="F21" s="18">
        <v>1621</v>
      </c>
      <c r="G21" s="18">
        <v>1621</v>
      </c>
      <c r="H21" s="18"/>
      <c r="I21" s="18"/>
      <c r="J21" s="18"/>
      <c r="K21" s="18"/>
      <c r="L21" s="18"/>
      <c r="M21" s="21"/>
      <c r="N21" s="18"/>
      <c r="O21" s="16">
        <f t="shared" si="7"/>
        <v>8105</v>
      </c>
    </row>
    <row r="22" spans="1:15" x14ac:dyDescent="0.3">
      <c r="A22" s="17" t="s">
        <v>91</v>
      </c>
      <c r="B22" s="21">
        <f t="shared" si="2"/>
        <v>1566</v>
      </c>
      <c r="C22" s="18"/>
      <c r="D22" s="18">
        <v>1566</v>
      </c>
      <c r="E22" s="19"/>
      <c r="F22" s="19"/>
      <c r="G22" s="19"/>
      <c r="H22" s="19"/>
      <c r="I22" s="19"/>
      <c r="J22" s="19"/>
      <c r="K22" s="19"/>
      <c r="L22" s="19"/>
      <c r="M22" s="18"/>
      <c r="N22" s="19"/>
      <c r="O22" s="16">
        <f t="shared" si="7"/>
        <v>1566</v>
      </c>
    </row>
    <row r="23" spans="1:15" x14ac:dyDescent="0.3">
      <c r="A23" s="17" t="s">
        <v>259</v>
      </c>
      <c r="B23" s="21">
        <f t="shared" si="2"/>
        <v>14000</v>
      </c>
      <c r="C23" s="18">
        <v>2800</v>
      </c>
      <c r="D23" s="18">
        <v>2800</v>
      </c>
      <c r="E23" s="19">
        <v>2800</v>
      </c>
      <c r="F23" s="19">
        <v>2800</v>
      </c>
      <c r="G23" s="19">
        <v>2800</v>
      </c>
      <c r="H23" s="19"/>
      <c r="I23" s="19"/>
      <c r="J23" s="19"/>
      <c r="K23" s="19"/>
      <c r="L23" s="19"/>
      <c r="M23" s="21"/>
      <c r="N23" s="19"/>
      <c r="O23" s="16">
        <f t="shared" si="7"/>
        <v>14000</v>
      </c>
    </row>
    <row r="24" spans="1:15" x14ac:dyDescent="0.3">
      <c r="A24" s="17" t="s">
        <v>260</v>
      </c>
      <c r="B24" s="21">
        <f t="shared" si="2"/>
        <v>0</v>
      </c>
      <c r="C24" s="18"/>
      <c r="D24" s="18"/>
      <c r="E24" s="19"/>
      <c r="F24" s="19"/>
      <c r="G24" s="19"/>
      <c r="H24" s="19"/>
      <c r="I24" s="19"/>
      <c r="J24" s="19"/>
      <c r="K24" s="19"/>
      <c r="L24" s="19"/>
      <c r="M24" s="21"/>
      <c r="N24" s="19"/>
      <c r="O24" s="16">
        <f t="shared" si="7"/>
        <v>0</v>
      </c>
    </row>
    <row r="25" spans="1:15" x14ac:dyDescent="0.3">
      <c r="A25" s="17" t="s">
        <v>94</v>
      </c>
      <c r="B25" s="21">
        <f t="shared" ref="B25:B27" si="9">SUM(C25:N25)</f>
        <v>3748.2799999999997</v>
      </c>
      <c r="C25" s="18">
        <f>382.16*4+191.08</f>
        <v>1719.72</v>
      </c>
      <c r="D25" s="18"/>
      <c r="E25" s="19"/>
      <c r="F25" s="18">
        <f>507.14*4</f>
        <v>2028.56</v>
      </c>
      <c r="G25" s="19"/>
      <c r="H25" s="19"/>
      <c r="I25" s="19"/>
      <c r="J25" s="19"/>
      <c r="K25" s="19"/>
      <c r="L25" s="19"/>
      <c r="M25" s="19"/>
      <c r="N25" s="19"/>
      <c r="O25" s="16">
        <f t="shared" si="3"/>
        <v>3748.2799999999997</v>
      </c>
    </row>
    <row r="26" spans="1:15" x14ac:dyDescent="0.3">
      <c r="A26" s="17" t="s">
        <v>96</v>
      </c>
      <c r="B26" s="21">
        <f t="shared" si="9"/>
        <v>1844</v>
      </c>
      <c r="C26" s="18">
        <v>829.8</v>
      </c>
      <c r="D26" s="18">
        <v>1014.2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6">
        <f t="shared" si="3"/>
        <v>1844</v>
      </c>
    </row>
    <row r="27" spans="1:15" x14ac:dyDescent="0.3">
      <c r="A27" s="17" t="s">
        <v>113</v>
      </c>
      <c r="B27" s="21">
        <f t="shared" si="9"/>
        <v>403.2</v>
      </c>
      <c r="C27" s="18">
        <v>168</v>
      </c>
      <c r="D27" s="18">
        <v>235.2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6">
        <f t="shared" ref="O27:O56" si="10">C27+D27+E27+F27+G27+H27+I27+J27+K27+L27+M27+N27</f>
        <v>403.2</v>
      </c>
    </row>
    <row r="28" spans="1:15" s="36" customFormat="1" x14ac:dyDescent="0.3">
      <c r="A28" s="32" t="s">
        <v>261</v>
      </c>
      <c r="B28" s="34">
        <f t="shared" ref="B28:B29" si="11">SUM(C28:N28)</f>
        <v>0</v>
      </c>
      <c r="C28" s="34"/>
      <c r="D28" s="34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16">
        <f t="shared" si="10"/>
        <v>0</v>
      </c>
    </row>
    <row r="29" spans="1:15" s="36" customFormat="1" x14ac:dyDescent="0.3">
      <c r="A29" s="32" t="s">
        <v>262</v>
      </c>
      <c r="B29" s="33">
        <f t="shared" si="11"/>
        <v>0</v>
      </c>
      <c r="C29" s="33"/>
      <c r="D29" s="33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16">
        <f t="shared" si="10"/>
        <v>0</v>
      </c>
    </row>
    <row r="30" spans="1:15" s="448" customFormat="1" x14ac:dyDescent="0.3">
      <c r="A30" s="446" t="s">
        <v>52</v>
      </c>
      <c r="B30" s="449">
        <f t="shared" ref="B30:N30" si="12">SUM(B31:B57)</f>
        <v>389116.55500000005</v>
      </c>
      <c r="C30" s="450">
        <f t="shared" si="12"/>
        <v>75653.194999999992</v>
      </c>
      <c r="D30" s="450">
        <f t="shared" si="12"/>
        <v>78817.054999999993</v>
      </c>
      <c r="E30" s="450">
        <f t="shared" si="12"/>
        <v>76049.974999999991</v>
      </c>
      <c r="F30" s="450">
        <f t="shared" si="12"/>
        <v>79160.084999999992</v>
      </c>
      <c r="G30" s="450">
        <f t="shared" si="12"/>
        <v>79436.244999999995</v>
      </c>
      <c r="H30" s="450">
        <f t="shared" si="12"/>
        <v>0</v>
      </c>
      <c r="I30" s="450">
        <f t="shared" si="12"/>
        <v>0</v>
      </c>
      <c r="J30" s="450">
        <f t="shared" si="12"/>
        <v>0</v>
      </c>
      <c r="K30" s="450">
        <f t="shared" si="12"/>
        <v>0</v>
      </c>
      <c r="L30" s="450">
        <f t="shared" si="12"/>
        <v>0</v>
      </c>
      <c r="M30" s="450">
        <f t="shared" si="12"/>
        <v>0</v>
      </c>
      <c r="N30" s="450">
        <f t="shared" si="12"/>
        <v>0</v>
      </c>
      <c r="O30" s="448">
        <f t="shared" si="10"/>
        <v>389116.55499999993</v>
      </c>
    </row>
    <row r="31" spans="1:15" s="16" customFormat="1" x14ac:dyDescent="0.3">
      <c r="A31" s="17" t="s">
        <v>112</v>
      </c>
      <c r="B31" s="21">
        <f t="shared" ref="B31:B53" si="13">SUM(C31:N31)</f>
        <v>5642.76</v>
      </c>
      <c r="C31" s="18">
        <v>1269.46</v>
      </c>
      <c r="D31" s="18">
        <v>564.91999999999996</v>
      </c>
      <c r="E31" s="19">
        <v>1269.46</v>
      </c>
      <c r="F31" s="19">
        <v>1269.46</v>
      </c>
      <c r="G31" s="19">
        <v>1269.46</v>
      </c>
      <c r="H31" s="19"/>
      <c r="I31" s="19"/>
      <c r="J31" s="19"/>
      <c r="K31" s="19"/>
      <c r="L31" s="19"/>
      <c r="M31" s="22"/>
      <c r="N31" s="22"/>
      <c r="O31" s="16">
        <f t="shared" ref="O31:O53" si="14">C31+D31+E31+F31+G31+H31+I31+J31+K31+L31+M31+N31</f>
        <v>5642.76</v>
      </c>
    </row>
    <row r="32" spans="1:15" s="16" customFormat="1" x14ac:dyDescent="0.3">
      <c r="A32" s="17" t="s">
        <v>110</v>
      </c>
      <c r="B32" s="21">
        <f t="shared" si="13"/>
        <v>18457</v>
      </c>
      <c r="C32" s="18">
        <f>5200-C33</f>
        <v>3579</v>
      </c>
      <c r="D32" s="18">
        <f>5720-D33</f>
        <v>4099</v>
      </c>
      <c r="E32" s="18">
        <f>6220-E33-1509</f>
        <v>3090</v>
      </c>
      <c r="F32" s="18">
        <f>6220-F33-1509</f>
        <v>3090</v>
      </c>
      <c r="G32" s="18">
        <f>6220-G33</f>
        <v>4599</v>
      </c>
      <c r="H32" s="19"/>
      <c r="I32" s="19"/>
      <c r="J32" s="19"/>
      <c r="K32" s="19"/>
      <c r="L32" s="19"/>
      <c r="M32" s="21"/>
      <c r="N32" s="21"/>
      <c r="O32" s="16">
        <f t="shared" si="14"/>
        <v>18457</v>
      </c>
    </row>
    <row r="33" spans="1:15" s="16" customFormat="1" x14ac:dyDescent="0.3">
      <c r="A33" s="17" t="s">
        <v>111</v>
      </c>
      <c r="B33" s="21">
        <f t="shared" si="13"/>
        <v>8105</v>
      </c>
      <c r="C33" s="19">
        <v>1621</v>
      </c>
      <c r="D33" s="19">
        <v>1621</v>
      </c>
      <c r="E33" s="19">
        <v>1621</v>
      </c>
      <c r="F33" s="18">
        <v>1621</v>
      </c>
      <c r="G33" s="18">
        <v>1621</v>
      </c>
      <c r="H33" s="19"/>
      <c r="I33" s="19"/>
      <c r="J33" s="19"/>
      <c r="K33" s="19"/>
      <c r="L33" s="19"/>
      <c r="M33" s="21"/>
      <c r="N33" s="18"/>
      <c r="O33" s="16">
        <f t="shared" si="14"/>
        <v>8105</v>
      </c>
    </row>
    <row r="34" spans="1:15" s="16" customFormat="1" x14ac:dyDescent="0.3">
      <c r="A34" s="17" t="s">
        <v>263</v>
      </c>
      <c r="B34" s="21">
        <f t="shared" si="13"/>
        <v>3018</v>
      </c>
      <c r="C34" s="19"/>
      <c r="D34" s="503">
        <f>1509+1509</f>
        <v>3018</v>
      </c>
      <c r="E34" s="19"/>
      <c r="F34" s="19"/>
      <c r="G34" s="19"/>
      <c r="H34" s="19"/>
      <c r="I34" s="19"/>
      <c r="J34" s="19"/>
      <c r="K34" s="19"/>
      <c r="L34" s="19"/>
      <c r="M34" s="21"/>
      <c r="N34" s="18"/>
      <c r="O34" s="16">
        <f t="shared" ref="O34:O35" si="15">C34+D34+E34+F34+G34+H34+I34+J34+K34+L34+M34+N34</f>
        <v>3018</v>
      </c>
    </row>
    <row r="35" spans="1:15" s="16" customFormat="1" x14ac:dyDescent="0.3">
      <c r="A35" s="17" t="s">
        <v>264</v>
      </c>
      <c r="B35" s="21">
        <f t="shared" si="13"/>
        <v>520</v>
      </c>
      <c r="C35" s="19"/>
      <c r="D35" s="18">
        <v>520</v>
      </c>
      <c r="E35" s="19"/>
      <c r="F35" s="19"/>
      <c r="G35" s="19"/>
      <c r="H35" s="19"/>
      <c r="I35" s="19"/>
      <c r="J35" s="19"/>
      <c r="K35" s="19"/>
      <c r="L35" s="19"/>
      <c r="M35" s="21"/>
      <c r="N35" s="18"/>
      <c r="O35" s="16">
        <f t="shared" si="15"/>
        <v>520</v>
      </c>
    </row>
    <row r="36" spans="1:15" s="16" customFormat="1" x14ac:dyDescent="0.3">
      <c r="A36" s="17" t="s">
        <v>101</v>
      </c>
      <c r="B36" s="21">
        <f t="shared" si="13"/>
        <v>152.05000000000001</v>
      </c>
      <c r="C36" s="18">
        <v>97.7</v>
      </c>
      <c r="D36" s="18">
        <f>108.7/2</f>
        <v>54.35</v>
      </c>
      <c r="E36" s="18"/>
      <c r="F36" s="18"/>
      <c r="G36" s="18"/>
      <c r="H36" s="18"/>
      <c r="I36" s="18"/>
      <c r="J36" s="18"/>
      <c r="K36" s="18"/>
      <c r="L36" s="18"/>
      <c r="M36" s="21"/>
      <c r="N36" s="21"/>
      <c r="O36" s="16">
        <f t="shared" si="14"/>
        <v>152.05000000000001</v>
      </c>
    </row>
    <row r="37" spans="1:15" s="16" customFormat="1" x14ac:dyDescent="0.3">
      <c r="A37" s="17" t="s">
        <v>82</v>
      </c>
      <c r="B37" s="21">
        <f t="shared" si="13"/>
        <v>8752.7950000000001</v>
      </c>
      <c r="C37" s="18">
        <f>3182.83/2</f>
        <v>1591.415</v>
      </c>
      <c r="D37" s="18">
        <f>3182.83/2</f>
        <v>1591.415</v>
      </c>
      <c r="E37" s="18">
        <f>3182.83/2</f>
        <v>1591.415</v>
      </c>
      <c r="F37" s="18">
        <f>3182.83/2</f>
        <v>1591.415</v>
      </c>
      <c r="G37" s="18">
        <f>4774.27/2</f>
        <v>2387.1350000000002</v>
      </c>
      <c r="H37" s="18"/>
      <c r="I37" s="18"/>
      <c r="J37" s="18"/>
      <c r="K37" s="18"/>
      <c r="L37" s="18"/>
      <c r="M37" s="19"/>
      <c r="N37" s="18"/>
      <c r="O37" s="16">
        <f t="shared" si="14"/>
        <v>8752.7950000000001</v>
      </c>
    </row>
    <row r="38" spans="1:15" s="16" customFormat="1" x14ac:dyDescent="0.3">
      <c r="A38" s="17" t="s">
        <v>80</v>
      </c>
      <c r="B38" s="21">
        <f t="shared" si="13"/>
        <v>58447.5</v>
      </c>
      <c r="C38" s="18">
        <f>12500-C39</f>
        <v>11689.5</v>
      </c>
      <c r="D38" s="18">
        <f>12500-D39</f>
        <v>11689.5</v>
      </c>
      <c r="E38" s="18">
        <f>12500-E39</f>
        <v>11689.5</v>
      </c>
      <c r="F38" s="18">
        <f>12500-F39</f>
        <v>11689.5</v>
      </c>
      <c r="G38" s="18">
        <f>12500-G39</f>
        <v>11689.5</v>
      </c>
      <c r="H38" s="18"/>
      <c r="I38" s="18"/>
      <c r="J38" s="18"/>
      <c r="K38" s="18"/>
      <c r="L38" s="18"/>
      <c r="M38" s="18"/>
      <c r="N38" s="18"/>
      <c r="O38" s="16">
        <f t="shared" si="14"/>
        <v>58447.5</v>
      </c>
    </row>
    <row r="39" spans="1:15" s="16" customFormat="1" x14ac:dyDescent="0.3">
      <c r="A39" s="17" t="s">
        <v>81</v>
      </c>
      <c r="B39" s="21">
        <f t="shared" si="13"/>
        <v>4052.5</v>
      </c>
      <c r="C39" s="19">
        <v>810.5</v>
      </c>
      <c r="D39" s="19">
        <v>810.5</v>
      </c>
      <c r="E39" s="18">
        <f>1621/2</f>
        <v>810.5</v>
      </c>
      <c r="F39" s="18">
        <f>1621/2</f>
        <v>810.5</v>
      </c>
      <c r="G39" s="18">
        <f>1621/2</f>
        <v>810.5</v>
      </c>
      <c r="H39" s="18"/>
      <c r="I39" s="18"/>
      <c r="J39" s="18"/>
      <c r="K39" s="18"/>
      <c r="L39" s="18"/>
      <c r="M39" s="21"/>
      <c r="N39" s="21"/>
      <c r="O39" s="16">
        <f t="shared" si="14"/>
        <v>4052.5</v>
      </c>
    </row>
    <row r="40" spans="1:15" s="16" customFormat="1" x14ac:dyDescent="0.3">
      <c r="A40" s="17" t="s">
        <v>104</v>
      </c>
      <c r="B40" s="21">
        <f t="shared" si="13"/>
        <v>5642.76</v>
      </c>
      <c r="C40" s="21">
        <v>1269.46</v>
      </c>
      <c r="D40" s="21">
        <v>564.91999999999996</v>
      </c>
      <c r="E40" s="21">
        <v>1269.46</v>
      </c>
      <c r="F40" s="21">
        <v>1269.46</v>
      </c>
      <c r="G40" s="21">
        <v>1269.46</v>
      </c>
      <c r="H40" s="21"/>
      <c r="I40" s="21"/>
      <c r="J40" s="21"/>
      <c r="K40" s="21"/>
      <c r="L40" s="21"/>
      <c r="M40" s="21"/>
      <c r="N40" s="21"/>
      <c r="O40" s="16">
        <f t="shared" si="14"/>
        <v>5642.76</v>
      </c>
    </row>
    <row r="41" spans="1:15" s="16" customFormat="1" x14ac:dyDescent="0.3">
      <c r="A41" s="17" t="s">
        <v>102</v>
      </c>
      <c r="B41" s="21">
        <f t="shared" si="13"/>
        <v>43177.88</v>
      </c>
      <c r="C41" s="21">
        <f t="shared" ref="C41" si="16">8624-C42</f>
        <v>7003</v>
      </c>
      <c r="D41" s="21">
        <f>9658.88-D42</f>
        <v>8037.8799999999992</v>
      </c>
      <c r="E41" s="548">
        <f>11000-E42</f>
        <v>9379</v>
      </c>
      <c r="F41" s="21">
        <f>11000-F42</f>
        <v>9379</v>
      </c>
      <c r="G41" s="21">
        <f>11000-G42</f>
        <v>9379</v>
      </c>
      <c r="H41" s="21"/>
      <c r="I41" s="21"/>
      <c r="J41" s="21"/>
      <c r="K41" s="21"/>
      <c r="L41" s="21"/>
      <c r="M41" s="18"/>
      <c r="N41" s="18"/>
      <c r="O41" s="16">
        <f t="shared" si="14"/>
        <v>43177.88</v>
      </c>
    </row>
    <row r="42" spans="1:15" s="16" customFormat="1" x14ac:dyDescent="0.3">
      <c r="A42" s="17" t="s">
        <v>103</v>
      </c>
      <c r="B42" s="21">
        <f t="shared" si="13"/>
        <v>8105</v>
      </c>
      <c r="C42" s="18">
        <v>1621</v>
      </c>
      <c r="D42" s="18">
        <v>1621</v>
      </c>
      <c r="E42" s="18">
        <v>1621</v>
      </c>
      <c r="F42" s="18">
        <v>1621</v>
      </c>
      <c r="G42" s="18">
        <v>1621</v>
      </c>
      <c r="H42" s="18"/>
      <c r="I42" s="18"/>
      <c r="J42" s="18"/>
      <c r="K42" s="18"/>
      <c r="L42" s="18"/>
      <c r="M42" s="18"/>
      <c r="N42" s="18"/>
      <c r="O42" s="16">
        <f t="shared" si="14"/>
        <v>8105</v>
      </c>
    </row>
    <row r="43" spans="1:15" s="16" customFormat="1" x14ac:dyDescent="0.3">
      <c r="A43" s="17" t="s">
        <v>105</v>
      </c>
      <c r="B43" s="21">
        <f t="shared" si="13"/>
        <v>1034.3800000000001</v>
      </c>
      <c r="C43" s="18"/>
      <c r="D43" s="18">
        <v>1034.3800000000001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6">
        <f t="shared" si="14"/>
        <v>1034.3800000000001</v>
      </c>
    </row>
    <row r="44" spans="1:15" s="16" customFormat="1" x14ac:dyDescent="0.3">
      <c r="A44" s="17" t="s">
        <v>108</v>
      </c>
      <c r="B44" s="21">
        <f t="shared" si="13"/>
        <v>7820.5</v>
      </c>
      <c r="C44" s="21">
        <v>1564.1</v>
      </c>
      <c r="D44" s="21">
        <v>1564.1</v>
      </c>
      <c r="E44" s="21">
        <v>1564.1</v>
      </c>
      <c r="F44" s="21">
        <v>1564.1</v>
      </c>
      <c r="G44" s="21">
        <v>1564.1</v>
      </c>
      <c r="H44" s="21"/>
      <c r="I44" s="21"/>
      <c r="J44" s="21"/>
      <c r="K44" s="21"/>
      <c r="L44" s="21"/>
      <c r="M44" s="21"/>
      <c r="N44" s="21"/>
      <c r="O44" s="16">
        <f t="shared" si="14"/>
        <v>7820.5</v>
      </c>
    </row>
    <row r="45" spans="1:15" s="16" customFormat="1" x14ac:dyDescent="0.3">
      <c r="A45" s="17" t="s">
        <v>106</v>
      </c>
      <c r="B45" s="21">
        <f t="shared" si="13"/>
        <v>58395</v>
      </c>
      <c r="C45" s="22">
        <f>12500-C46</f>
        <v>10879</v>
      </c>
      <c r="D45" s="548">
        <f>13500-D46</f>
        <v>11879</v>
      </c>
      <c r="E45" s="21">
        <f>13500-E46</f>
        <v>11879</v>
      </c>
      <c r="F45" s="21">
        <f>13500-F46</f>
        <v>11879</v>
      </c>
      <c r="G45" s="21">
        <f>13500-G46</f>
        <v>11879</v>
      </c>
      <c r="H45" s="21"/>
      <c r="I45" s="21"/>
      <c r="J45" s="21"/>
      <c r="K45" s="21"/>
      <c r="L45" s="21"/>
      <c r="M45" s="22"/>
      <c r="N45" s="22"/>
      <c r="O45" s="16">
        <f t="shared" si="14"/>
        <v>58395</v>
      </c>
    </row>
    <row r="46" spans="1:15" s="16" customFormat="1" x14ac:dyDescent="0.3">
      <c r="A46" s="17" t="s">
        <v>107</v>
      </c>
      <c r="B46" s="21">
        <f t="shared" si="13"/>
        <v>8105</v>
      </c>
      <c r="C46" s="18">
        <v>1621</v>
      </c>
      <c r="D46" s="18">
        <v>1621</v>
      </c>
      <c r="E46" s="18">
        <v>1621</v>
      </c>
      <c r="F46" s="18">
        <v>1621</v>
      </c>
      <c r="G46" s="18">
        <v>1621</v>
      </c>
      <c r="H46" s="18"/>
      <c r="I46" s="18"/>
      <c r="J46" s="18"/>
      <c r="K46" s="18"/>
      <c r="L46" s="18"/>
      <c r="M46" s="21"/>
      <c r="N46" s="18"/>
      <c r="O46" s="16">
        <f t="shared" si="14"/>
        <v>8105</v>
      </c>
    </row>
    <row r="47" spans="1:15" s="16" customFormat="1" x14ac:dyDescent="0.3">
      <c r="A47" s="17" t="s">
        <v>109</v>
      </c>
      <c r="B47" s="21">
        <f t="shared" si="13"/>
        <v>1000</v>
      </c>
      <c r="C47" s="18"/>
      <c r="D47" s="18">
        <v>1000</v>
      </c>
      <c r="E47" s="19"/>
      <c r="F47" s="19"/>
      <c r="G47" s="19"/>
      <c r="H47" s="19"/>
      <c r="I47" s="19"/>
      <c r="J47" s="19"/>
      <c r="K47" s="19"/>
      <c r="L47" s="19"/>
      <c r="M47" s="21"/>
      <c r="N47" s="19"/>
      <c r="O47" s="16">
        <f t="shared" si="14"/>
        <v>1000</v>
      </c>
    </row>
    <row r="48" spans="1:15" s="16" customFormat="1" x14ac:dyDescent="0.3">
      <c r="A48" s="17" t="s">
        <v>100</v>
      </c>
      <c r="B48" s="21">
        <f t="shared" si="13"/>
        <v>12630.45</v>
      </c>
      <c r="C48" s="18">
        <v>2526.09</v>
      </c>
      <c r="D48" s="18">
        <v>2526.09</v>
      </c>
      <c r="E48" s="18">
        <v>2526.09</v>
      </c>
      <c r="F48" s="18">
        <v>2526.09</v>
      </c>
      <c r="G48" s="18">
        <v>2526.09</v>
      </c>
      <c r="H48" s="18"/>
      <c r="I48" s="18"/>
      <c r="J48" s="18"/>
      <c r="K48" s="18"/>
      <c r="L48" s="18"/>
      <c r="M48" s="21"/>
      <c r="N48" s="21"/>
      <c r="O48" s="16">
        <f t="shared" si="14"/>
        <v>12630.45</v>
      </c>
    </row>
    <row r="49" spans="1:15" s="16" customFormat="1" x14ac:dyDescent="0.3">
      <c r="A49" s="17" t="s">
        <v>98</v>
      </c>
      <c r="B49" s="21">
        <f t="shared" si="13"/>
        <v>116895</v>
      </c>
      <c r="C49" s="18">
        <f>25000-C50</f>
        <v>23379</v>
      </c>
      <c r="D49" s="18">
        <f>25000-D50</f>
        <v>23379</v>
      </c>
      <c r="E49" s="18">
        <f>25000-E50</f>
        <v>23379</v>
      </c>
      <c r="F49" s="18">
        <f>25000-F50</f>
        <v>23379</v>
      </c>
      <c r="G49" s="18">
        <f>25000-G50</f>
        <v>23379</v>
      </c>
      <c r="H49" s="18"/>
      <c r="I49" s="18"/>
      <c r="J49" s="18"/>
      <c r="K49" s="18"/>
      <c r="L49" s="18"/>
      <c r="M49" s="18"/>
      <c r="N49" s="18"/>
      <c r="O49" s="16">
        <f t="shared" si="14"/>
        <v>116895</v>
      </c>
    </row>
    <row r="50" spans="1:15" s="16" customFormat="1" x14ac:dyDescent="0.3">
      <c r="A50" s="17" t="s">
        <v>99</v>
      </c>
      <c r="B50" s="21">
        <f t="shared" si="13"/>
        <v>8105</v>
      </c>
      <c r="C50" s="18">
        <v>1621</v>
      </c>
      <c r="D50" s="18">
        <v>1621</v>
      </c>
      <c r="E50" s="18">
        <v>1621</v>
      </c>
      <c r="F50" s="18">
        <v>1621</v>
      </c>
      <c r="G50" s="18">
        <v>1621</v>
      </c>
      <c r="H50" s="18"/>
      <c r="I50" s="18"/>
      <c r="J50" s="18"/>
      <c r="K50" s="18"/>
      <c r="L50" s="18"/>
      <c r="M50" s="18"/>
      <c r="N50" s="18"/>
      <c r="O50" s="16">
        <f t="shared" si="14"/>
        <v>8105</v>
      </c>
    </row>
    <row r="51" spans="1:15" s="16" customFormat="1" x14ac:dyDescent="0.3">
      <c r="A51" s="17" t="s">
        <v>265</v>
      </c>
      <c r="B51" s="21">
        <f t="shared" si="13"/>
        <v>1409.09</v>
      </c>
      <c r="C51" s="503">
        <v>1409.09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6">
        <f t="shared" si="14"/>
        <v>1409.09</v>
      </c>
    </row>
    <row r="52" spans="1:15" x14ac:dyDescent="0.3">
      <c r="A52" s="17" t="s">
        <v>266</v>
      </c>
      <c r="B52" s="21">
        <f t="shared" si="13"/>
        <v>5426</v>
      </c>
      <c r="C52" s="18"/>
      <c r="D52" s="18"/>
      <c r="E52" s="19">
        <v>1026</v>
      </c>
      <c r="F52" s="19">
        <v>2200</v>
      </c>
      <c r="G52" s="19">
        <v>2200</v>
      </c>
      <c r="H52" s="19"/>
      <c r="I52" s="19"/>
      <c r="J52" s="19"/>
      <c r="K52" s="19"/>
      <c r="L52" s="19"/>
      <c r="M52" s="21"/>
      <c r="N52" s="19"/>
      <c r="O52" s="16">
        <f t="shared" si="14"/>
        <v>5426</v>
      </c>
    </row>
    <row r="53" spans="1:15" x14ac:dyDescent="0.3">
      <c r="A53" s="17" t="s">
        <v>267</v>
      </c>
      <c r="B53" s="21">
        <f t="shared" si="13"/>
        <v>0</v>
      </c>
      <c r="C53" s="18"/>
      <c r="D53" s="18"/>
      <c r="E53" s="19"/>
      <c r="F53" s="19"/>
      <c r="G53" s="19"/>
      <c r="H53" s="19"/>
      <c r="I53" s="19"/>
      <c r="J53" s="19"/>
      <c r="K53" s="19"/>
      <c r="L53" s="19"/>
      <c r="M53" s="21"/>
      <c r="N53" s="19"/>
      <c r="O53" s="16">
        <f t="shared" si="14"/>
        <v>0</v>
      </c>
    </row>
    <row r="54" spans="1:15" s="16" customFormat="1" x14ac:dyDescent="0.3">
      <c r="A54" s="17" t="s">
        <v>268</v>
      </c>
      <c r="B54" s="21">
        <f t="shared" ref="B54:B59" si="17">SUM(C54:N54)</f>
        <v>4130.4400000000005</v>
      </c>
      <c r="C54" s="18">
        <f>382.16*5+191.08</f>
        <v>2101.88</v>
      </c>
      <c r="D54" s="18"/>
      <c r="E54" s="19"/>
      <c r="F54" s="18">
        <f>507.14*4</f>
        <v>2028.56</v>
      </c>
      <c r="G54" s="19"/>
      <c r="H54" s="19"/>
      <c r="I54" s="19"/>
      <c r="J54" s="19"/>
      <c r="K54" s="19"/>
      <c r="L54" s="19"/>
      <c r="M54" s="19"/>
      <c r="N54" s="19"/>
      <c r="O54" s="16">
        <f t="shared" si="10"/>
        <v>4130.4400000000005</v>
      </c>
    </row>
    <row r="55" spans="1:15" s="16" customFormat="1" x14ac:dyDescent="0.3">
      <c r="A55" s="17" t="s">
        <v>269</v>
      </c>
      <c r="B55" s="21">
        <f t="shared" si="17"/>
        <v>92.45</v>
      </c>
      <c r="C55" s="18"/>
      <c r="D55" s="18"/>
      <c r="E55" s="19">
        <v>92.45</v>
      </c>
      <c r="F55" s="19"/>
      <c r="G55" s="19"/>
      <c r="H55" s="19"/>
      <c r="I55" s="19"/>
      <c r="J55" s="19"/>
      <c r="K55" s="19"/>
      <c r="L55" s="19"/>
      <c r="M55" s="19"/>
      <c r="N55" s="19"/>
      <c r="O55" s="16">
        <f t="shared" si="10"/>
        <v>92.45</v>
      </c>
    </row>
    <row r="56" spans="1:15" s="16" customFormat="1" x14ac:dyDescent="0.3">
      <c r="A56" s="17" t="s">
        <v>96</v>
      </c>
      <c r="B56" s="21">
        <f t="shared" si="17"/>
        <v>0</v>
      </c>
      <c r="C56" s="18"/>
      <c r="D56" s="1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6">
        <f t="shared" si="10"/>
        <v>0</v>
      </c>
    </row>
    <row r="57" spans="1:15" s="16" customFormat="1" x14ac:dyDescent="0.3">
      <c r="A57" s="17" t="s">
        <v>113</v>
      </c>
      <c r="B57" s="21">
        <f t="shared" si="17"/>
        <v>0</v>
      </c>
      <c r="C57" s="18"/>
      <c r="D57" s="1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6">
        <f t="shared" ref="O57:O86" si="18">C57+D57+E57+F57+G57+H57+I57+J57+K57+L57+M57+N57</f>
        <v>0</v>
      </c>
    </row>
    <row r="58" spans="1:15" s="38" customFormat="1" x14ac:dyDescent="0.3">
      <c r="A58" s="39" t="s">
        <v>270</v>
      </c>
      <c r="B58" s="40">
        <f t="shared" si="17"/>
        <v>3628.06</v>
      </c>
      <c r="C58" s="40"/>
      <c r="D58" s="40">
        <v>1500</v>
      </c>
      <c r="E58" s="41"/>
      <c r="F58" s="41"/>
      <c r="G58" s="41">
        <v>2128.06</v>
      </c>
      <c r="H58" s="41"/>
      <c r="I58" s="41"/>
      <c r="J58" s="41"/>
      <c r="K58" s="41"/>
      <c r="L58" s="41"/>
      <c r="M58" s="41"/>
      <c r="N58" s="41"/>
      <c r="O58" s="16">
        <f t="shared" si="18"/>
        <v>3628.06</v>
      </c>
    </row>
    <row r="59" spans="1:15" s="38" customFormat="1" x14ac:dyDescent="0.3">
      <c r="A59" s="39" t="s">
        <v>271</v>
      </c>
      <c r="B59" s="40">
        <f t="shared" si="17"/>
        <v>0</v>
      </c>
      <c r="C59" s="40"/>
      <c r="D59" s="40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16">
        <f t="shared" si="18"/>
        <v>0</v>
      </c>
    </row>
    <row r="60" spans="1:15" s="448" customFormat="1" x14ac:dyDescent="0.3">
      <c r="A60" s="446" t="s">
        <v>53</v>
      </c>
      <c r="B60" s="449">
        <f t="shared" ref="B60:B73" si="19">SUM(C60:N60)</f>
        <v>282414.08000000002</v>
      </c>
      <c r="C60" s="450">
        <f t="shared" ref="C60:M60" si="20">SUM(C61:C79)</f>
        <v>62013.17</v>
      </c>
      <c r="D60" s="450">
        <f>SUM(D61:D79)</f>
        <v>61794.340000000004</v>
      </c>
      <c r="E60" s="450">
        <f>SUM(E61:E79)</f>
        <v>49183.94</v>
      </c>
      <c r="F60" s="450">
        <f t="shared" si="20"/>
        <v>55038.69</v>
      </c>
      <c r="G60" s="450">
        <f t="shared" si="20"/>
        <v>54383.94</v>
      </c>
      <c r="H60" s="450">
        <f t="shared" si="20"/>
        <v>0</v>
      </c>
      <c r="I60" s="450">
        <f t="shared" si="20"/>
        <v>0</v>
      </c>
      <c r="J60" s="450">
        <f t="shared" si="20"/>
        <v>0</v>
      </c>
      <c r="K60" s="450">
        <f t="shared" si="20"/>
        <v>0</v>
      </c>
      <c r="L60" s="450">
        <f t="shared" si="20"/>
        <v>0</v>
      </c>
      <c r="M60" s="450">
        <f t="shared" si="20"/>
        <v>0</v>
      </c>
      <c r="N60" s="450">
        <f>SUM(N61:N81)</f>
        <v>0</v>
      </c>
      <c r="O60" s="448">
        <f t="shared" si="18"/>
        <v>282414.08000000002</v>
      </c>
    </row>
    <row r="61" spans="1:15" x14ac:dyDescent="0.3">
      <c r="A61" s="17" t="s">
        <v>272</v>
      </c>
      <c r="B61" s="21">
        <f t="shared" si="19"/>
        <v>0</v>
      </c>
      <c r="C61" s="21"/>
      <c r="D61" s="21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16"/>
    </row>
    <row r="62" spans="1:15" x14ac:dyDescent="0.3">
      <c r="A62" s="17" t="s">
        <v>273</v>
      </c>
      <c r="B62" s="21">
        <f t="shared" si="19"/>
        <v>6346.84</v>
      </c>
      <c r="C62" s="21">
        <v>1269</v>
      </c>
      <c r="D62" s="21">
        <v>1269.46</v>
      </c>
      <c r="E62" s="21">
        <v>1269.46</v>
      </c>
      <c r="F62" s="21">
        <v>1269.46</v>
      </c>
      <c r="G62" s="21">
        <v>1269.46</v>
      </c>
      <c r="H62" s="22"/>
      <c r="I62" s="22"/>
      <c r="J62" s="22"/>
      <c r="K62" s="22"/>
      <c r="L62" s="22"/>
      <c r="M62" s="22"/>
      <c r="N62" s="22"/>
      <c r="O62" s="16"/>
    </row>
    <row r="63" spans="1:15" x14ac:dyDescent="0.3">
      <c r="A63" s="17" t="s">
        <v>274</v>
      </c>
      <c r="B63" s="21">
        <f t="shared" si="19"/>
        <v>23495</v>
      </c>
      <c r="C63" s="21">
        <f>6320-C64</f>
        <v>4699</v>
      </c>
      <c r="D63" s="21">
        <f>6320-D64</f>
        <v>4699</v>
      </c>
      <c r="E63" s="21">
        <f>6320-E64</f>
        <v>4699</v>
      </c>
      <c r="F63" s="21">
        <f>6320-F64</f>
        <v>4699</v>
      </c>
      <c r="G63" s="21">
        <f>6320-G64</f>
        <v>4699</v>
      </c>
      <c r="H63" s="22"/>
      <c r="I63" s="22"/>
      <c r="J63" s="22"/>
      <c r="K63" s="22"/>
      <c r="L63" s="22"/>
      <c r="M63" s="22"/>
      <c r="N63" s="22"/>
      <c r="O63" s="16"/>
    </row>
    <row r="64" spans="1:15" x14ac:dyDescent="0.3">
      <c r="A64" s="17" t="s">
        <v>275</v>
      </c>
      <c r="B64" s="21">
        <f t="shared" si="19"/>
        <v>8105</v>
      </c>
      <c r="C64" s="21">
        <v>1621</v>
      </c>
      <c r="D64" s="21">
        <v>1621</v>
      </c>
      <c r="E64" s="21">
        <v>1621</v>
      </c>
      <c r="F64" s="18">
        <v>1621</v>
      </c>
      <c r="G64" s="18">
        <v>1621</v>
      </c>
      <c r="H64" s="22"/>
      <c r="I64" s="22"/>
      <c r="J64" s="22"/>
      <c r="K64" s="22"/>
      <c r="L64" s="22"/>
      <c r="M64" s="22"/>
      <c r="N64" s="22"/>
      <c r="O64" s="16"/>
    </row>
    <row r="65" spans="1:15" x14ac:dyDescent="0.3">
      <c r="A65" s="17" t="s">
        <v>119</v>
      </c>
      <c r="B65" s="21">
        <f t="shared" si="19"/>
        <v>7820.4</v>
      </c>
      <c r="C65" s="21">
        <v>1564.08</v>
      </c>
      <c r="D65" s="21">
        <v>1564.08</v>
      </c>
      <c r="E65" s="21">
        <v>1564.08</v>
      </c>
      <c r="F65" s="21">
        <v>1564.08</v>
      </c>
      <c r="G65" s="21">
        <v>1564.08</v>
      </c>
      <c r="H65" s="21"/>
      <c r="I65" s="21"/>
      <c r="J65" s="21"/>
      <c r="K65" s="21"/>
      <c r="L65" s="21"/>
      <c r="M65" s="21"/>
      <c r="N65" s="21"/>
      <c r="O65" s="16">
        <f>C65+D65+E65+F65+G65+H65+I65+J65+K65+L65+M65+N65</f>
        <v>7820.4</v>
      </c>
    </row>
    <row r="66" spans="1:15" x14ac:dyDescent="0.3">
      <c r="A66" s="17" t="s">
        <v>117</v>
      </c>
      <c r="B66" s="21">
        <f t="shared" si="19"/>
        <v>65436.600000000006</v>
      </c>
      <c r="C66" s="21">
        <f t="shared" ref="C66" si="21">13420-C67</f>
        <v>11799</v>
      </c>
      <c r="D66" s="21">
        <f>15030.4-D67</f>
        <v>13409.4</v>
      </c>
      <c r="E66" s="21">
        <f>15030.4-E67</f>
        <v>13409.4</v>
      </c>
      <c r="F66" s="21">
        <f>15030.4-F67</f>
        <v>13409.4</v>
      </c>
      <c r="G66" s="21">
        <f>15030.4-G67</f>
        <v>13409.4</v>
      </c>
      <c r="H66" s="21"/>
      <c r="I66" s="21"/>
      <c r="J66" s="21"/>
      <c r="K66" s="21"/>
      <c r="L66" s="21"/>
      <c r="M66" s="21"/>
      <c r="N66" s="21"/>
      <c r="O66" s="16">
        <f>C66+D66+E66+F66+G66+H66+I66+J66+K66+L66+M66+N66</f>
        <v>65436.600000000006</v>
      </c>
    </row>
    <row r="67" spans="1:15" x14ac:dyDescent="0.3">
      <c r="A67" s="17" t="s">
        <v>118</v>
      </c>
      <c r="B67" s="21">
        <f t="shared" si="19"/>
        <v>8105</v>
      </c>
      <c r="C67" s="21">
        <v>1621</v>
      </c>
      <c r="D67" s="21">
        <v>1621</v>
      </c>
      <c r="E67" s="21">
        <v>1621</v>
      </c>
      <c r="F67" s="18">
        <v>1621</v>
      </c>
      <c r="G67" s="18">
        <v>1621</v>
      </c>
      <c r="H67" s="21"/>
      <c r="I67" s="21"/>
      <c r="J67" s="21"/>
      <c r="K67" s="21"/>
      <c r="L67" s="21"/>
      <c r="M67" s="21"/>
      <c r="N67" s="21"/>
      <c r="O67" s="16">
        <f>C67+D67+E67+F67+G67+H67+I67+J67+K67+L67+M67+N67</f>
        <v>8105</v>
      </c>
    </row>
    <row r="68" spans="1:15" x14ac:dyDescent="0.3">
      <c r="A68" s="17" t="s">
        <v>120</v>
      </c>
      <c r="B68" s="21">
        <f t="shared" si="19"/>
        <v>1610.4</v>
      </c>
      <c r="C68" s="21"/>
      <c r="D68" s="21">
        <v>1610.4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16">
        <f>C68+D68+E68+F68+G68+H68+I68+J68+K68+L68+M68+N68</f>
        <v>1610.4</v>
      </c>
    </row>
    <row r="69" spans="1:15" x14ac:dyDescent="0.3">
      <c r="A69" s="17" t="s">
        <v>276</v>
      </c>
      <c r="B69" s="21">
        <f t="shared" si="19"/>
        <v>1911.45</v>
      </c>
      <c r="C69" s="21">
        <v>1911.45</v>
      </c>
      <c r="D69" s="21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16"/>
    </row>
    <row r="70" spans="1:15" x14ac:dyDescent="0.3">
      <c r="A70" s="17" t="s">
        <v>277</v>
      </c>
      <c r="B70" s="21">
        <f t="shared" si="19"/>
        <v>18758</v>
      </c>
      <c r="C70" s="21">
        <f>11000-C71</f>
        <v>9379</v>
      </c>
      <c r="D70" s="21">
        <f>11000-D71</f>
        <v>9379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16"/>
    </row>
    <row r="71" spans="1:15" x14ac:dyDescent="0.3">
      <c r="A71" s="17" t="s">
        <v>278</v>
      </c>
      <c r="B71" s="21">
        <f t="shared" si="19"/>
        <v>3242</v>
      </c>
      <c r="C71" s="21">
        <v>1621</v>
      </c>
      <c r="D71" s="21">
        <v>1621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16"/>
    </row>
    <row r="72" spans="1:15" x14ac:dyDescent="0.3">
      <c r="A72" s="17" t="s">
        <v>115</v>
      </c>
      <c r="B72" s="21">
        <f t="shared" si="19"/>
        <v>116895</v>
      </c>
      <c r="C72" s="18">
        <f>25000-C73</f>
        <v>23379</v>
      </c>
      <c r="D72" s="18">
        <f>25000-D73</f>
        <v>23379</v>
      </c>
      <c r="E72" s="18">
        <f>25000-E73</f>
        <v>23379</v>
      </c>
      <c r="F72" s="18">
        <f>25000-F73</f>
        <v>23379</v>
      </c>
      <c r="G72" s="18">
        <f>25000-G73</f>
        <v>23379</v>
      </c>
      <c r="H72" s="18"/>
      <c r="I72" s="18"/>
      <c r="J72" s="18"/>
      <c r="K72" s="18"/>
      <c r="L72" s="18"/>
      <c r="M72" s="18"/>
      <c r="N72" s="18"/>
      <c r="O72" s="16">
        <f>C72+D72+E72+F72+G72+H72+I72+J72+K72+L72+M72+N72</f>
        <v>116895</v>
      </c>
    </row>
    <row r="73" spans="1:15" x14ac:dyDescent="0.3">
      <c r="A73" s="17" t="s">
        <v>116</v>
      </c>
      <c r="B73" s="21">
        <f t="shared" si="19"/>
        <v>8105</v>
      </c>
      <c r="C73" s="18">
        <v>1621</v>
      </c>
      <c r="D73" s="18">
        <v>1621</v>
      </c>
      <c r="E73" s="18">
        <v>1621</v>
      </c>
      <c r="F73" s="18">
        <v>1621</v>
      </c>
      <c r="G73" s="18">
        <v>1621</v>
      </c>
      <c r="H73" s="18"/>
      <c r="I73" s="18"/>
      <c r="J73" s="18"/>
      <c r="K73" s="18"/>
      <c r="L73" s="18"/>
      <c r="M73" s="18"/>
      <c r="N73" s="18"/>
      <c r="O73" s="16">
        <f>C73+D73+E73+F73+G73+H73+I73+J73+K73+L73+M73+N73</f>
        <v>8105</v>
      </c>
    </row>
    <row r="74" spans="1:15" x14ac:dyDescent="0.3">
      <c r="A74" s="17" t="s">
        <v>279</v>
      </c>
      <c r="B74" s="21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6"/>
    </row>
    <row r="75" spans="1:15" x14ac:dyDescent="0.3">
      <c r="A75" s="17" t="s">
        <v>280</v>
      </c>
      <c r="B75" s="21"/>
      <c r="C75" s="18"/>
      <c r="D75" s="18"/>
      <c r="E75" s="18"/>
      <c r="F75" s="18">
        <v>4333.33</v>
      </c>
      <c r="G75" s="18">
        <v>5200</v>
      </c>
      <c r="H75" s="18"/>
      <c r="I75" s="18"/>
      <c r="J75" s="18"/>
      <c r="K75" s="18"/>
      <c r="L75" s="18"/>
      <c r="M75" s="18"/>
      <c r="N75" s="18"/>
      <c r="O75" s="16"/>
    </row>
    <row r="76" spans="1:15" x14ac:dyDescent="0.3">
      <c r="A76" s="17" t="s">
        <v>281</v>
      </c>
      <c r="B76" s="21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6"/>
    </row>
    <row r="77" spans="1:15" x14ac:dyDescent="0.3">
      <c r="A77" s="17" t="s">
        <v>269</v>
      </c>
      <c r="B77" s="21">
        <f t="shared" ref="B77:B81" si="22">SUM(C77:N77)</f>
        <v>0</v>
      </c>
      <c r="C77" s="18"/>
      <c r="D77" s="1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6">
        <f t="shared" si="18"/>
        <v>0</v>
      </c>
    </row>
    <row r="78" spans="1:15" x14ac:dyDescent="0.3">
      <c r="A78" s="17" t="s">
        <v>96</v>
      </c>
      <c r="B78" s="21">
        <f t="shared" si="22"/>
        <v>0</v>
      </c>
      <c r="C78" s="18"/>
      <c r="D78" s="1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6">
        <f t="shared" si="18"/>
        <v>0</v>
      </c>
    </row>
    <row r="79" spans="1:15" s="16" customFormat="1" x14ac:dyDescent="0.3">
      <c r="A79" s="17" t="s">
        <v>94</v>
      </c>
      <c r="B79" s="21">
        <f t="shared" si="22"/>
        <v>3050.0600000000004</v>
      </c>
      <c r="C79" s="18">
        <f>382.16*4</f>
        <v>1528.64</v>
      </c>
      <c r="D79" s="18"/>
      <c r="E79" s="19"/>
      <c r="F79" s="18">
        <f>507.14*3</f>
        <v>1521.42</v>
      </c>
      <c r="G79" s="19"/>
      <c r="H79" s="19"/>
      <c r="I79" s="19"/>
      <c r="J79" s="19"/>
      <c r="K79" s="19"/>
      <c r="L79" s="19"/>
      <c r="M79" s="19"/>
      <c r="N79" s="19"/>
      <c r="O79" s="16">
        <f t="shared" si="18"/>
        <v>3050.0600000000004</v>
      </c>
    </row>
    <row r="80" spans="1:15" s="47" customFormat="1" x14ac:dyDescent="0.3">
      <c r="A80" s="44" t="s">
        <v>282</v>
      </c>
      <c r="B80" s="45">
        <f t="shared" si="22"/>
        <v>0</v>
      </c>
      <c r="C80" s="45"/>
      <c r="D80" s="45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16">
        <f t="shared" si="18"/>
        <v>0</v>
      </c>
    </row>
    <row r="81" spans="1:15" s="47" customFormat="1" x14ac:dyDescent="0.3">
      <c r="A81" s="44" t="s">
        <v>283</v>
      </c>
      <c r="B81" s="45">
        <f t="shared" si="22"/>
        <v>0</v>
      </c>
      <c r="C81" s="45"/>
      <c r="D81" s="45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16">
        <f t="shared" si="18"/>
        <v>0</v>
      </c>
    </row>
    <row r="82" spans="1:15" s="448" customFormat="1" x14ac:dyDescent="0.3">
      <c r="A82" s="446" t="s">
        <v>124</v>
      </c>
      <c r="B82" s="449">
        <f>SUM(C82:N82)</f>
        <v>10923.3</v>
      </c>
      <c r="C82" s="450">
        <f>SUM(C83:C84)</f>
        <v>8549.81</v>
      </c>
      <c r="D82" s="450">
        <f t="shared" ref="D82:M82" si="23">SUM(D83:D84)</f>
        <v>1212.73</v>
      </c>
      <c r="E82" s="450">
        <f t="shared" si="23"/>
        <v>0</v>
      </c>
      <c r="F82" s="450">
        <f t="shared" si="23"/>
        <v>1105.1599999999999</v>
      </c>
      <c r="G82" s="450">
        <f t="shared" si="23"/>
        <v>55.6</v>
      </c>
      <c r="H82" s="450">
        <f t="shared" si="23"/>
        <v>0</v>
      </c>
      <c r="I82" s="450">
        <f t="shared" si="23"/>
        <v>0</v>
      </c>
      <c r="J82" s="450">
        <f t="shared" si="23"/>
        <v>0</v>
      </c>
      <c r="K82" s="450">
        <f t="shared" si="23"/>
        <v>0</v>
      </c>
      <c r="L82" s="450">
        <f t="shared" si="23"/>
        <v>0</v>
      </c>
      <c r="M82" s="450">
        <f t="shared" si="23"/>
        <v>0</v>
      </c>
      <c r="N82" s="450">
        <f>SUM(N83:N84)</f>
        <v>0</v>
      </c>
      <c r="O82" s="448">
        <f t="shared" si="18"/>
        <v>10923.3</v>
      </c>
    </row>
    <row r="83" spans="1:15" s="16" customFormat="1" x14ac:dyDescent="0.3">
      <c r="A83" s="17" t="s">
        <v>125</v>
      </c>
      <c r="B83" s="21">
        <f>SUM(C83:N83)</f>
        <v>1029.08</v>
      </c>
      <c r="C83" s="18"/>
      <c r="D83" s="18"/>
      <c r="E83" s="19"/>
      <c r="F83" s="19">
        <f>111.06+115.26+691.56+55.6</f>
        <v>973.4799999999999</v>
      </c>
      <c r="G83" s="19">
        <v>55.6</v>
      </c>
      <c r="H83" s="19"/>
      <c r="I83" s="19"/>
      <c r="J83" s="19"/>
      <c r="K83" s="19"/>
      <c r="L83" s="19"/>
      <c r="M83" s="19"/>
      <c r="N83" s="19"/>
      <c r="O83" s="16">
        <f t="shared" si="18"/>
        <v>1029.08</v>
      </c>
    </row>
    <row r="84" spans="1:15" s="16" customFormat="1" x14ac:dyDescent="0.3">
      <c r="A84" s="17" t="s">
        <v>126</v>
      </c>
      <c r="B84" s="21">
        <f>SUM(C84:N84)</f>
        <v>9894.2199999999993</v>
      </c>
      <c r="C84" s="18">
        <f>86.06+3916.04+250.06+3947.65+350</f>
        <v>8549.81</v>
      </c>
      <c r="D84" s="18">
        <f>374.31+800+38.42</f>
        <v>1212.73</v>
      </c>
      <c r="E84" s="19"/>
      <c r="F84" s="19">
        <v>131.68</v>
      </c>
      <c r="G84" s="19"/>
      <c r="H84" s="19"/>
      <c r="I84" s="19"/>
      <c r="J84" s="19"/>
      <c r="K84" s="19"/>
      <c r="L84" s="19"/>
      <c r="M84" s="19"/>
      <c r="N84" s="19"/>
      <c r="O84" s="16">
        <f t="shared" si="18"/>
        <v>9894.2199999999993</v>
      </c>
    </row>
    <row r="85" spans="1:15" s="448" customFormat="1" x14ac:dyDescent="0.3">
      <c r="A85" s="446" t="s">
        <v>55</v>
      </c>
      <c r="B85" s="449">
        <f>SUM(C85:N85)</f>
        <v>172052.00999999998</v>
      </c>
      <c r="C85" s="450">
        <f>SUM(C86:C91)</f>
        <v>27660.199999999997</v>
      </c>
      <c r="D85" s="450">
        <f t="shared" ref="D85:M85" si="24">SUM(D86:D91)</f>
        <v>34729.909999999996</v>
      </c>
      <c r="E85" s="450">
        <f t="shared" si="24"/>
        <v>36273.049999999996</v>
      </c>
      <c r="F85" s="450">
        <f>SUM(F86:F91)</f>
        <v>36198.980000000003</v>
      </c>
      <c r="G85" s="450">
        <f>SUM(G86:G91)</f>
        <v>37189.869999999995</v>
      </c>
      <c r="H85" s="450">
        <f t="shared" si="24"/>
        <v>0</v>
      </c>
      <c r="I85" s="450">
        <f t="shared" si="24"/>
        <v>0</v>
      </c>
      <c r="J85" s="450">
        <f t="shared" si="24"/>
        <v>0</v>
      </c>
      <c r="K85" s="450">
        <f t="shared" si="24"/>
        <v>0</v>
      </c>
      <c r="L85" s="450">
        <f t="shared" si="24"/>
        <v>0</v>
      </c>
      <c r="M85" s="450">
        <f t="shared" si="24"/>
        <v>0</v>
      </c>
      <c r="N85" s="450">
        <f>SUM(N86:N91)</f>
        <v>0</v>
      </c>
      <c r="O85" s="448">
        <f t="shared" si="18"/>
        <v>172052.00999999998</v>
      </c>
    </row>
    <row r="86" spans="1:15" x14ac:dyDescent="0.3">
      <c r="A86" s="17" t="s">
        <v>127</v>
      </c>
      <c r="B86" s="21">
        <f>SUM(C86:N86)</f>
        <v>114050.44999999998</v>
      </c>
      <c r="C86" s="18">
        <f>26384.63-4676.85</f>
        <v>21707.78</v>
      </c>
      <c r="D86" s="18">
        <f>26384.63-4676.85</f>
        <v>21707.78</v>
      </c>
      <c r="E86" s="18">
        <f>26384.63-3117.9</f>
        <v>23266.73</v>
      </c>
      <c r="F86" s="18">
        <f>26384.63-3247.07</f>
        <v>23137.56</v>
      </c>
      <c r="G86" s="18">
        <f>27477.67-3247.07</f>
        <v>24230.6</v>
      </c>
      <c r="H86" s="18"/>
      <c r="I86" s="18"/>
      <c r="J86" s="18"/>
      <c r="K86" s="18"/>
      <c r="L86" s="18"/>
      <c r="M86" s="18"/>
      <c r="N86" s="18"/>
      <c r="O86" s="16">
        <f t="shared" si="18"/>
        <v>114050.44999999998</v>
      </c>
    </row>
    <row r="87" spans="1:15" x14ac:dyDescent="0.3">
      <c r="A87" s="17" t="s">
        <v>128</v>
      </c>
      <c r="B87" s="21">
        <f t="shared" ref="B87:B91" si="25">SUM(C87:N87)</f>
        <v>24980</v>
      </c>
      <c r="C87" s="18">
        <v>4996</v>
      </c>
      <c r="D87" s="18">
        <v>4996</v>
      </c>
      <c r="E87" s="19">
        <v>4996</v>
      </c>
      <c r="F87" s="19">
        <v>4996</v>
      </c>
      <c r="G87" s="19">
        <v>4996</v>
      </c>
      <c r="H87" s="19"/>
      <c r="I87" s="19"/>
      <c r="J87" s="19"/>
      <c r="K87" s="19"/>
      <c r="L87" s="19"/>
      <c r="M87" s="19"/>
      <c r="N87" s="19"/>
      <c r="O87" s="16">
        <f t="shared" ref="O87:O116" si="26">C87+D87+E87+F87+G87+H87+I87+J87+K87+L87+M87+N87</f>
        <v>24980</v>
      </c>
    </row>
    <row r="88" spans="1:15" x14ac:dyDescent="0.3">
      <c r="A88" s="17" t="s">
        <v>284</v>
      </c>
      <c r="B88" s="21">
        <f t="shared" ref="B88" si="27">SUM(C88:N88)</f>
        <v>0</v>
      </c>
      <c r="C88" s="18"/>
      <c r="D88" s="1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6">
        <f t="shared" ref="O88" si="28">C88+D88+E88+F88+G88+H88+I88+J88+K88+L88+M88+N88</f>
        <v>0</v>
      </c>
    </row>
    <row r="89" spans="1:15" x14ac:dyDescent="0.3">
      <c r="A89" s="17" t="s">
        <v>130</v>
      </c>
      <c r="B89" s="21">
        <f t="shared" si="25"/>
        <v>4439.84</v>
      </c>
      <c r="C89" s="18">
        <v>773.71</v>
      </c>
      <c r="D89" s="18">
        <v>926.16</v>
      </c>
      <c r="E89" s="19">
        <v>910.64</v>
      </c>
      <c r="F89" s="19">
        <v>965.74</v>
      </c>
      <c r="G89" s="19">
        <v>863.59</v>
      </c>
      <c r="H89" s="19"/>
      <c r="I89" s="19"/>
      <c r="J89" s="19"/>
      <c r="K89" s="19"/>
      <c r="L89" s="19"/>
      <c r="M89" s="19"/>
      <c r="N89" s="19"/>
      <c r="O89" s="16">
        <f t="shared" si="26"/>
        <v>4439.84</v>
      </c>
    </row>
    <row r="90" spans="1:15" s="16" customFormat="1" x14ac:dyDescent="0.3">
      <c r="A90" s="17" t="s">
        <v>131</v>
      </c>
      <c r="B90" s="21">
        <f t="shared" si="25"/>
        <v>27667.88</v>
      </c>
      <c r="C90" s="18"/>
      <c r="D90" s="18">
        <v>6916.97</v>
      </c>
      <c r="E90" s="18">
        <v>6916.97</v>
      </c>
      <c r="F90" s="18">
        <v>6916.97</v>
      </c>
      <c r="G90" s="18">
        <v>6916.97</v>
      </c>
      <c r="H90" s="18"/>
      <c r="I90" s="18"/>
      <c r="J90" s="18"/>
      <c r="K90" s="18"/>
      <c r="L90" s="18"/>
      <c r="M90" s="18"/>
      <c r="N90" s="18"/>
      <c r="O90" s="16">
        <f t="shared" si="26"/>
        <v>27667.88</v>
      </c>
    </row>
    <row r="91" spans="1:15" s="16" customFormat="1" x14ac:dyDescent="0.3">
      <c r="A91" s="17" t="s">
        <v>132</v>
      </c>
      <c r="B91" s="21">
        <f t="shared" si="25"/>
        <v>913.84000000000015</v>
      </c>
      <c r="C91" s="18">
        <v>182.71</v>
      </c>
      <c r="D91" s="18">
        <v>183</v>
      </c>
      <c r="E91" s="19">
        <v>182.71</v>
      </c>
      <c r="F91" s="19">
        <v>182.71</v>
      </c>
      <c r="G91" s="19">
        <v>182.71</v>
      </c>
      <c r="H91" s="19"/>
      <c r="I91" s="19"/>
      <c r="J91" s="19"/>
      <c r="K91" s="19"/>
      <c r="L91" s="19"/>
      <c r="M91" s="19"/>
      <c r="N91" s="19"/>
      <c r="O91" s="16">
        <f t="shared" si="26"/>
        <v>913.84000000000015</v>
      </c>
    </row>
    <row r="92" spans="1:15" s="448" customFormat="1" x14ac:dyDescent="0.3">
      <c r="A92" s="446" t="s">
        <v>56</v>
      </c>
      <c r="B92" s="449">
        <f t="shared" ref="B92:B125" si="29">SUM(C92:N92)</f>
        <v>4071.2999999999993</v>
      </c>
      <c r="C92" s="450">
        <f>SUM(C93:C94)</f>
        <v>807.15999999999985</v>
      </c>
      <c r="D92" s="450">
        <f t="shared" ref="D92:M92" si="30">SUM(D93:D94)</f>
        <v>807.15999999999985</v>
      </c>
      <c r="E92" s="450">
        <f t="shared" si="30"/>
        <v>807.16</v>
      </c>
      <c r="F92" s="450">
        <f>SUM(F93:F94)</f>
        <v>824.81</v>
      </c>
      <c r="G92" s="450">
        <f>SUM(G93:G94)</f>
        <v>825.00999999999988</v>
      </c>
      <c r="H92" s="450">
        <f t="shared" si="30"/>
        <v>0</v>
      </c>
      <c r="I92" s="450">
        <f t="shared" si="30"/>
        <v>0</v>
      </c>
      <c r="J92" s="450">
        <f t="shared" si="30"/>
        <v>0</v>
      </c>
      <c r="K92" s="450">
        <f t="shared" si="30"/>
        <v>0</v>
      </c>
      <c r="L92" s="450">
        <f t="shared" si="30"/>
        <v>0</v>
      </c>
      <c r="M92" s="450">
        <f t="shared" si="30"/>
        <v>0</v>
      </c>
      <c r="N92" s="450">
        <f>SUM(N93:N94)</f>
        <v>0</v>
      </c>
      <c r="O92" s="448">
        <f t="shared" si="26"/>
        <v>4071.2999999999993</v>
      </c>
    </row>
    <row r="93" spans="1:15" x14ac:dyDescent="0.3">
      <c r="A93" s="17" t="s">
        <v>133</v>
      </c>
      <c r="B93" s="21">
        <f t="shared" si="29"/>
        <v>3744.8499999999995</v>
      </c>
      <c r="C93" s="18">
        <f>399.9+184.92+157.05</f>
        <v>741.86999999999989</v>
      </c>
      <c r="D93" s="18">
        <f>399.9+184.92+157.05</f>
        <v>741.86999999999989</v>
      </c>
      <c r="E93" s="19">
        <f>399.9+157.05+184.92</f>
        <v>741.87</v>
      </c>
      <c r="F93" s="19">
        <f>399.9+184.92+174.7</f>
        <v>759.52</v>
      </c>
      <c r="G93" s="19">
        <f>399.9+184.92+174.9</f>
        <v>759.71999999999991</v>
      </c>
      <c r="H93" s="19"/>
      <c r="I93" s="19"/>
      <c r="J93" s="19"/>
      <c r="K93" s="19"/>
      <c r="L93" s="19"/>
      <c r="M93" s="19"/>
      <c r="N93" s="19"/>
      <c r="O93" s="16">
        <f t="shared" si="26"/>
        <v>3744.8499999999995</v>
      </c>
    </row>
    <row r="94" spans="1:15" x14ac:dyDescent="0.3">
      <c r="A94" s="17" t="s">
        <v>134</v>
      </c>
      <c r="B94" s="21">
        <f t="shared" si="29"/>
        <v>326.45000000000005</v>
      </c>
      <c r="C94" s="18">
        <v>65.290000000000006</v>
      </c>
      <c r="D94" s="18">
        <v>65.290000000000006</v>
      </c>
      <c r="E94" s="19">
        <v>65.290000000000006</v>
      </c>
      <c r="F94" s="19">
        <v>65.290000000000006</v>
      </c>
      <c r="G94" s="19">
        <v>65.290000000000006</v>
      </c>
      <c r="H94" s="19"/>
      <c r="I94" s="19"/>
      <c r="J94" s="19"/>
      <c r="K94" s="19"/>
      <c r="L94" s="19"/>
      <c r="M94" s="19"/>
      <c r="N94" s="19"/>
      <c r="O94" s="16">
        <f t="shared" si="26"/>
        <v>326.45000000000005</v>
      </c>
    </row>
    <row r="95" spans="1:15" s="448" customFormat="1" x14ac:dyDescent="0.3">
      <c r="A95" s="446" t="s">
        <v>57</v>
      </c>
      <c r="B95" s="449">
        <f t="shared" si="29"/>
        <v>30500.48</v>
      </c>
      <c r="C95" s="449">
        <f t="shared" ref="C95:N95" si="31">SUM(C96:C109)</f>
        <v>6773.44</v>
      </c>
      <c r="D95" s="449">
        <f t="shared" si="31"/>
        <v>5243.68</v>
      </c>
      <c r="E95" s="449">
        <f t="shared" si="31"/>
        <v>6492.79</v>
      </c>
      <c r="F95" s="449">
        <f t="shared" si="31"/>
        <v>5820.1799999999994</v>
      </c>
      <c r="G95" s="449">
        <f t="shared" si="31"/>
        <v>6170.3899999999985</v>
      </c>
      <c r="H95" s="449">
        <f t="shared" si="31"/>
        <v>0</v>
      </c>
      <c r="I95" s="449">
        <f t="shared" si="31"/>
        <v>0</v>
      </c>
      <c r="J95" s="449">
        <f t="shared" si="31"/>
        <v>0</v>
      </c>
      <c r="K95" s="449">
        <f t="shared" si="31"/>
        <v>0</v>
      </c>
      <c r="L95" s="449">
        <f t="shared" si="31"/>
        <v>0</v>
      </c>
      <c r="M95" s="449">
        <f t="shared" si="31"/>
        <v>0</v>
      </c>
      <c r="N95" s="449">
        <f t="shared" si="31"/>
        <v>0</v>
      </c>
      <c r="O95" s="448">
        <f t="shared" si="26"/>
        <v>30500.48</v>
      </c>
    </row>
    <row r="96" spans="1:15" x14ac:dyDescent="0.3">
      <c r="A96" s="17" t="s">
        <v>135</v>
      </c>
      <c r="B96" s="21">
        <f t="shared" si="29"/>
        <v>0</v>
      </c>
      <c r="C96" s="18"/>
      <c r="D96" s="18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6">
        <f t="shared" ref="O96:O107" si="32">C96+D96+E96+F96+G96+H96+I96+J96+K96+L96+M96+N96</f>
        <v>0</v>
      </c>
    </row>
    <row r="97" spans="1:15" x14ac:dyDescent="0.3">
      <c r="A97" s="17" t="s">
        <v>136</v>
      </c>
      <c r="B97" s="21">
        <f t="shared" si="29"/>
        <v>0</v>
      </c>
      <c r="C97" s="18"/>
      <c r="D97" s="18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6">
        <f t="shared" si="32"/>
        <v>0</v>
      </c>
    </row>
    <row r="98" spans="1:15" x14ac:dyDescent="0.3">
      <c r="A98" s="17" t="s">
        <v>137</v>
      </c>
      <c r="B98" s="21">
        <f t="shared" si="29"/>
        <v>0</v>
      </c>
      <c r="C98" s="18"/>
      <c r="D98" s="18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6">
        <f t="shared" si="32"/>
        <v>0</v>
      </c>
    </row>
    <row r="99" spans="1:15" x14ac:dyDescent="0.3">
      <c r="A99" s="17" t="s">
        <v>138</v>
      </c>
      <c r="B99" s="21">
        <f t="shared" si="29"/>
        <v>0</v>
      </c>
      <c r="C99" s="18"/>
      <c r="D99" s="18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6">
        <f t="shared" si="32"/>
        <v>0</v>
      </c>
    </row>
    <row r="100" spans="1:15" x14ac:dyDescent="0.3">
      <c r="A100" s="17" t="s">
        <v>139</v>
      </c>
      <c r="B100" s="21">
        <f t="shared" si="29"/>
        <v>0</v>
      </c>
      <c r="C100" s="18"/>
      <c r="D100" s="18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6">
        <f t="shared" si="32"/>
        <v>0</v>
      </c>
    </row>
    <row r="101" spans="1:15" x14ac:dyDescent="0.3">
      <c r="A101" s="17" t="s">
        <v>285</v>
      </c>
      <c r="B101" s="21">
        <f t="shared" si="29"/>
        <v>16138.5</v>
      </c>
      <c r="C101" s="18">
        <v>3049.23</v>
      </c>
      <c r="D101" s="18">
        <v>3049.23</v>
      </c>
      <c r="E101" s="19">
        <v>3346.68</v>
      </c>
      <c r="F101" s="19">
        <v>3346.68</v>
      </c>
      <c r="G101" s="19">
        <v>3346.68</v>
      </c>
      <c r="H101" s="19"/>
      <c r="I101" s="19"/>
      <c r="J101" s="19"/>
      <c r="K101" s="19"/>
      <c r="L101" s="19"/>
      <c r="M101" s="19"/>
      <c r="N101" s="19"/>
      <c r="O101" s="16">
        <f t="shared" si="32"/>
        <v>16138.5</v>
      </c>
    </row>
    <row r="102" spans="1:15" x14ac:dyDescent="0.3">
      <c r="A102" s="17" t="s">
        <v>142</v>
      </c>
      <c r="B102" s="21">
        <f t="shared" si="29"/>
        <v>4598.8</v>
      </c>
      <c r="C102" s="18">
        <v>919.76</v>
      </c>
      <c r="D102" s="18">
        <v>919.76</v>
      </c>
      <c r="E102" s="19">
        <v>919.76</v>
      </c>
      <c r="F102" s="19">
        <v>919.76</v>
      </c>
      <c r="G102" s="19">
        <v>919.76</v>
      </c>
      <c r="H102" s="19"/>
      <c r="I102" s="19"/>
      <c r="J102" s="19"/>
      <c r="K102" s="19"/>
      <c r="L102" s="19"/>
      <c r="M102" s="19"/>
      <c r="N102" s="19"/>
      <c r="O102" s="16">
        <f t="shared" si="32"/>
        <v>4598.8</v>
      </c>
    </row>
    <row r="103" spans="1:15" x14ac:dyDescent="0.3">
      <c r="A103" s="17" t="s">
        <v>143</v>
      </c>
      <c r="B103" s="21">
        <f t="shared" si="29"/>
        <v>50</v>
      </c>
      <c r="C103" s="18"/>
      <c r="D103" s="18">
        <v>50</v>
      </c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6">
        <f t="shared" si="32"/>
        <v>50</v>
      </c>
    </row>
    <row r="104" spans="1:15" x14ac:dyDescent="0.3">
      <c r="A104" s="17" t="s">
        <v>144</v>
      </c>
      <c r="B104" s="21">
        <f t="shared" si="29"/>
        <v>4664.5</v>
      </c>
      <c r="C104" s="18">
        <v>836</v>
      </c>
      <c r="D104" s="18">
        <v>919.6</v>
      </c>
      <c r="E104" s="18">
        <v>919.6</v>
      </c>
      <c r="F104" s="18">
        <v>994.65</v>
      </c>
      <c r="G104" s="18">
        <v>994.65</v>
      </c>
      <c r="H104" s="18"/>
      <c r="I104" s="18"/>
      <c r="J104" s="18"/>
      <c r="K104" s="18"/>
      <c r="L104" s="18"/>
      <c r="M104" s="18"/>
      <c r="N104" s="18"/>
      <c r="O104" s="16">
        <f t="shared" si="32"/>
        <v>4664.5</v>
      </c>
    </row>
    <row r="105" spans="1:15" x14ac:dyDescent="0.3">
      <c r="A105" s="17" t="s">
        <v>145</v>
      </c>
      <c r="B105" s="21">
        <f t="shared" si="29"/>
        <v>357.49999999999994</v>
      </c>
      <c r="C105" s="18"/>
      <c r="D105" s="18">
        <v>41.2</v>
      </c>
      <c r="E105" s="19">
        <f>21.9+294.4</f>
        <v>316.29999999999995</v>
      </c>
      <c r="F105" s="19"/>
      <c r="G105" s="19"/>
      <c r="H105" s="19"/>
      <c r="I105" s="19"/>
      <c r="J105" s="19"/>
      <c r="K105" s="19"/>
      <c r="L105" s="19"/>
      <c r="M105" s="19"/>
      <c r="N105" s="19"/>
      <c r="O105" s="16">
        <f t="shared" si="32"/>
        <v>357.49999999999994</v>
      </c>
    </row>
    <row r="106" spans="1:15" x14ac:dyDescent="0.3">
      <c r="A106" s="17" t="s">
        <v>286</v>
      </c>
      <c r="B106" s="21">
        <f t="shared" si="29"/>
        <v>3672.02</v>
      </c>
      <c r="C106" s="18">
        <f>216.9+443.9+142.95+191.74</f>
        <v>995.49</v>
      </c>
      <c r="D106" s="18">
        <f>67.3+196.59</f>
        <v>263.89</v>
      </c>
      <c r="E106" s="19">
        <f>620+370.45</f>
        <v>990.45</v>
      </c>
      <c r="F106" s="19">
        <f>273.11+132.72+129</f>
        <v>534.83000000000004</v>
      </c>
      <c r="G106" s="19">
        <f>630+257.36</f>
        <v>887.36</v>
      </c>
      <c r="H106" s="19"/>
      <c r="I106" s="19"/>
      <c r="J106" s="19"/>
      <c r="K106" s="19"/>
      <c r="L106" s="19"/>
      <c r="M106" s="19"/>
      <c r="N106" s="19"/>
      <c r="O106" s="16">
        <f t="shared" si="32"/>
        <v>3672.02</v>
      </c>
    </row>
    <row r="107" spans="1:15" x14ac:dyDescent="0.3">
      <c r="A107" s="17" t="s">
        <v>146</v>
      </c>
      <c r="B107" s="21">
        <f t="shared" si="29"/>
        <v>61.019999999999996</v>
      </c>
      <c r="C107" s="18">
        <v>36.76</v>
      </c>
      <c r="D107" s="18"/>
      <c r="E107" s="19"/>
      <c r="F107" s="19">
        <v>24.26</v>
      </c>
      <c r="G107" s="19"/>
      <c r="H107" s="19"/>
      <c r="I107" s="19"/>
      <c r="J107" s="19"/>
      <c r="K107" s="19"/>
      <c r="L107" s="19"/>
      <c r="M107" s="19"/>
      <c r="N107" s="19"/>
      <c r="O107" s="16">
        <f t="shared" si="32"/>
        <v>61.019999999999996</v>
      </c>
    </row>
    <row r="108" spans="1:15" x14ac:dyDescent="0.3">
      <c r="A108" s="17" t="s">
        <v>287</v>
      </c>
      <c r="B108" s="21">
        <f t="shared" si="29"/>
        <v>936.2</v>
      </c>
      <c r="C108" s="18">
        <v>936.2</v>
      </c>
      <c r="D108" s="18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6"/>
    </row>
    <row r="109" spans="1:15" x14ac:dyDescent="0.3">
      <c r="A109" s="17" t="s">
        <v>147</v>
      </c>
      <c r="B109" s="21">
        <f t="shared" si="29"/>
        <v>21.94</v>
      </c>
      <c r="C109" s="18"/>
      <c r="D109" s="18"/>
      <c r="E109" s="19"/>
      <c r="F109" s="19"/>
      <c r="G109" s="19">
        <v>21.94</v>
      </c>
      <c r="H109" s="19"/>
      <c r="I109" s="19"/>
      <c r="J109" s="19"/>
      <c r="K109" s="19"/>
      <c r="L109" s="19"/>
      <c r="M109" s="19"/>
      <c r="N109" s="19"/>
      <c r="O109" s="16">
        <f>C109+D109+E109+F109+G109+H109+I109+J109+K109+L109+M109+N109</f>
        <v>21.94</v>
      </c>
    </row>
    <row r="110" spans="1:15" s="448" customFormat="1" x14ac:dyDescent="0.3">
      <c r="A110" s="446" t="s">
        <v>58</v>
      </c>
      <c r="B110" s="449">
        <f t="shared" si="29"/>
        <v>120094.62</v>
      </c>
      <c r="C110" s="449">
        <f t="shared" ref="C110:M110" si="33">SUM(C111:C115)</f>
        <v>30035.14</v>
      </c>
      <c r="D110" s="449">
        <f t="shared" si="33"/>
        <v>22509.85</v>
      </c>
      <c r="E110" s="449">
        <f t="shared" si="33"/>
        <v>22457.809999999998</v>
      </c>
      <c r="F110" s="449">
        <f t="shared" si="33"/>
        <v>22343.079999999998</v>
      </c>
      <c r="G110" s="449">
        <f t="shared" si="33"/>
        <v>22748.739999999998</v>
      </c>
      <c r="H110" s="449">
        <f t="shared" si="33"/>
        <v>0</v>
      </c>
      <c r="I110" s="449">
        <f t="shared" si="33"/>
        <v>0</v>
      </c>
      <c r="J110" s="449">
        <f t="shared" si="33"/>
        <v>0</v>
      </c>
      <c r="K110" s="449">
        <f t="shared" si="33"/>
        <v>0</v>
      </c>
      <c r="L110" s="449">
        <f t="shared" si="33"/>
        <v>0</v>
      </c>
      <c r="M110" s="449">
        <f t="shared" si="33"/>
        <v>0</v>
      </c>
      <c r="N110" s="449">
        <f>SUM(N111:N115)</f>
        <v>0</v>
      </c>
      <c r="O110" s="448">
        <f t="shared" si="26"/>
        <v>120094.62</v>
      </c>
    </row>
    <row r="111" spans="1:15" x14ac:dyDescent="0.3">
      <c r="A111" s="17" t="s">
        <v>148</v>
      </c>
      <c r="B111" s="21">
        <f t="shared" si="29"/>
        <v>73529</v>
      </c>
      <c r="C111" s="18">
        <v>14705.8</v>
      </c>
      <c r="D111" s="18">
        <v>14705.8</v>
      </c>
      <c r="E111" s="19">
        <v>14705.8</v>
      </c>
      <c r="F111" s="19">
        <v>14705.8</v>
      </c>
      <c r="G111" s="19">
        <v>14705.8</v>
      </c>
      <c r="H111" s="19"/>
      <c r="I111" s="19"/>
      <c r="J111" s="19"/>
      <c r="K111" s="19"/>
      <c r="L111" s="19"/>
      <c r="M111" s="19"/>
      <c r="N111" s="19"/>
      <c r="O111" s="16">
        <f>C111+D111+E111+F111+G111+H111+I111+J111+K111+L111+M111+N111</f>
        <v>73529</v>
      </c>
    </row>
    <row r="112" spans="1:15" x14ac:dyDescent="0.3">
      <c r="A112" s="17" t="s">
        <v>152</v>
      </c>
      <c r="B112" s="21">
        <f t="shared" si="29"/>
        <v>6251.98</v>
      </c>
      <c r="C112" s="514">
        <v>6251.98</v>
      </c>
      <c r="D112" s="18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6">
        <f>C112+D112+E112+F112+G112+H112+I112+J112+K112+L112+M112+N112</f>
        <v>6251.98</v>
      </c>
    </row>
    <row r="113" spans="1:15" x14ac:dyDescent="0.3">
      <c r="A113" s="17" t="s">
        <v>288</v>
      </c>
      <c r="B113" s="21">
        <f t="shared" si="29"/>
        <v>40313.64</v>
      </c>
      <c r="C113" s="18">
        <v>9077.36</v>
      </c>
      <c r="D113" s="18">
        <v>7804.05</v>
      </c>
      <c r="E113" s="19">
        <v>7752.01</v>
      </c>
      <c r="F113" s="19">
        <v>7637.28</v>
      </c>
      <c r="G113" s="19">
        <v>8042.94</v>
      </c>
      <c r="H113" s="19"/>
      <c r="I113" s="19"/>
      <c r="J113" s="19"/>
      <c r="K113" s="19"/>
      <c r="L113" s="19"/>
      <c r="M113" s="19"/>
      <c r="N113" s="19"/>
      <c r="O113" s="16">
        <f>C113+D113+E113+F113+G113+H113+I113+J113+K113+L113+M113+N113</f>
        <v>40313.64</v>
      </c>
    </row>
    <row r="114" spans="1:15" x14ac:dyDescent="0.3">
      <c r="A114" s="17" t="s">
        <v>150</v>
      </c>
      <c r="B114" s="21">
        <f t="shared" si="29"/>
        <v>0</v>
      </c>
      <c r="C114" s="18"/>
      <c r="D114" s="18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6">
        <f>C114+D114+E114+F114+G114+H114+I114+J114+K114+L114+M114+N114</f>
        <v>0</v>
      </c>
    </row>
    <row r="115" spans="1:15" x14ac:dyDescent="0.3">
      <c r="A115" s="17" t="s">
        <v>151</v>
      </c>
      <c r="B115" s="21">
        <f t="shared" si="29"/>
        <v>0</v>
      </c>
      <c r="C115" s="18"/>
      <c r="D115" s="18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6">
        <f>C115+D115+E115+F115+G115+H115+I115+J115+K115+L115+M115+N115</f>
        <v>0</v>
      </c>
    </row>
    <row r="116" spans="1:15" s="448" customFormat="1" x14ac:dyDescent="0.3">
      <c r="A116" s="446" t="s">
        <v>59</v>
      </c>
      <c r="B116" s="449">
        <f t="shared" si="29"/>
        <v>43770.759999999995</v>
      </c>
      <c r="C116" s="449">
        <f t="shared" ref="C116:N116" si="34">SUM(C117:C123)</f>
        <v>6408.59</v>
      </c>
      <c r="D116" s="449">
        <f t="shared" si="34"/>
        <v>6076.76</v>
      </c>
      <c r="E116" s="449">
        <f t="shared" si="34"/>
        <v>9751.1799999999985</v>
      </c>
      <c r="F116" s="449">
        <f t="shared" si="34"/>
        <v>9189.32</v>
      </c>
      <c r="G116" s="449">
        <f t="shared" si="34"/>
        <v>12344.91</v>
      </c>
      <c r="H116" s="449">
        <f t="shared" si="34"/>
        <v>0</v>
      </c>
      <c r="I116" s="449">
        <f t="shared" si="34"/>
        <v>0</v>
      </c>
      <c r="J116" s="449">
        <f t="shared" si="34"/>
        <v>0</v>
      </c>
      <c r="K116" s="449">
        <f t="shared" si="34"/>
        <v>0</v>
      </c>
      <c r="L116" s="449">
        <f t="shared" si="34"/>
        <v>0</v>
      </c>
      <c r="M116" s="449">
        <f t="shared" si="34"/>
        <v>0</v>
      </c>
      <c r="N116" s="449">
        <f t="shared" si="34"/>
        <v>0</v>
      </c>
      <c r="O116" s="448">
        <f t="shared" si="26"/>
        <v>43770.759999999995</v>
      </c>
    </row>
    <row r="117" spans="1:15" x14ac:dyDescent="0.3">
      <c r="A117" s="425" t="s">
        <v>154</v>
      </c>
      <c r="B117" s="21">
        <f t="shared" si="29"/>
        <v>0</v>
      </c>
      <c r="C117" s="18"/>
      <c r="D117" s="18"/>
      <c r="E117" s="18"/>
      <c r="F117" s="18"/>
      <c r="G117" s="18"/>
      <c r="H117" s="18"/>
      <c r="I117" s="18"/>
      <c r="J117" s="19"/>
      <c r="K117" s="19"/>
      <c r="L117" s="19"/>
      <c r="M117" s="19"/>
      <c r="N117" s="19"/>
      <c r="O117" s="16">
        <f>C117+D117+E117+F117+G117+H117+I117+J117+K117+L117+M117+N117</f>
        <v>0</v>
      </c>
    </row>
    <row r="118" spans="1:15" x14ac:dyDescent="0.3">
      <c r="A118" s="425" t="s">
        <v>155</v>
      </c>
      <c r="B118" s="21">
        <f t="shared" si="29"/>
        <v>6347.3</v>
      </c>
      <c r="C118" s="19">
        <v>1269.46</v>
      </c>
      <c r="D118" s="19">
        <v>1269.46</v>
      </c>
      <c r="E118" s="19">
        <v>1269.46</v>
      </c>
      <c r="F118" s="19">
        <v>1269.46</v>
      </c>
      <c r="G118" s="19">
        <v>1269.46</v>
      </c>
      <c r="H118" s="19"/>
      <c r="I118" s="19"/>
      <c r="J118" s="19"/>
      <c r="K118" s="19"/>
      <c r="L118" s="19"/>
      <c r="M118" s="19"/>
      <c r="N118" s="19"/>
      <c r="O118" s="16">
        <f>C118+D118+E118+F118+G118+H118+I118+J118+K118+L118+M118+N118</f>
        <v>6347.3</v>
      </c>
    </row>
    <row r="119" spans="1:15" s="23" customFormat="1" x14ac:dyDescent="0.3">
      <c r="A119" s="425" t="s">
        <v>156</v>
      </c>
      <c r="B119" s="21">
        <f t="shared" si="29"/>
        <v>0</v>
      </c>
      <c r="C119" s="18"/>
      <c r="D119" s="18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6">
        <f>C119+D119+E119+F119+G119+H119+I119+J119+K119+L119+M119+N119</f>
        <v>0</v>
      </c>
    </row>
    <row r="120" spans="1:15" x14ac:dyDescent="0.3">
      <c r="A120" s="425" t="s">
        <v>289</v>
      </c>
      <c r="B120" s="21">
        <f t="shared" si="29"/>
        <v>5578.1200000000008</v>
      </c>
      <c r="C120" s="18">
        <v>2328.11</v>
      </c>
      <c r="D120" s="18"/>
      <c r="E120" s="19"/>
      <c r="F120" s="19"/>
      <c r="G120" s="19">
        <v>3250.01</v>
      </c>
      <c r="H120" s="19"/>
      <c r="I120" s="19"/>
      <c r="J120" s="19"/>
      <c r="K120" s="19"/>
      <c r="L120" s="19"/>
      <c r="M120" s="19"/>
      <c r="N120" s="19"/>
      <c r="O120" s="16"/>
    </row>
    <row r="121" spans="1:15" x14ac:dyDescent="0.3">
      <c r="A121" s="425" t="s">
        <v>153</v>
      </c>
      <c r="B121" s="21">
        <f t="shared" si="29"/>
        <v>18633.98</v>
      </c>
      <c r="C121" s="18">
        <v>1683.06</v>
      </c>
      <c r="D121" s="18">
        <v>3455.42</v>
      </c>
      <c r="E121" s="19">
        <v>4498.5</v>
      </c>
      <c r="F121" s="19">
        <v>4498.5</v>
      </c>
      <c r="G121" s="19">
        <v>4498.5</v>
      </c>
      <c r="H121" s="19"/>
      <c r="I121" s="19"/>
      <c r="J121" s="19"/>
      <c r="K121" s="19"/>
      <c r="L121" s="19"/>
      <c r="M121" s="19"/>
      <c r="N121" s="19"/>
      <c r="O121" s="16">
        <f>C121+D121+E121+F121+G121+H121+I121+J121+K121+L121+M121+N121</f>
        <v>18633.98</v>
      </c>
    </row>
    <row r="122" spans="1:15" x14ac:dyDescent="0.3">
      <c r="A122" s="425" t="s">
        <v>158</v>
      </c>
      <c r="B122" s="21">
        <f t="shared" si="29"/>
        <v>10095.9</v>
      </c>
      <c r="C122" s="18">
        <v>829.8</v>
      </c>
      <c r="D122" s="18">
        <v>1014.2</v>
      </c>
      <c r="E122" s="525">
        <v>2766</v>
      </c>
      <c r="F122" s="19">
        <v>2766</v>
      </c>
      <c r="G122" s="19">
        <v>2719.9</v>
      </c>
      <c r="H122" s="19"/>
      <c r="I122" s="19"/>
      <c r="J122" s="19"/>
      <c r="K122" s="19"/>
      <c r="L122" s="19"/>
      <c r="M122" s="19"/>
      <c r="N122" s="19"/>
      <c r="O122" s="16">
        <f>C122+D122+E122+F122+G122+H122+I122+J122+K122+L122+M122+N122</f>
        <v>10095.9</v>
      </c>
    </row>
    <row r="123" spans="1:15" x14ac:dyDescent="0.3">
      <c r="A123" s="425" t="s">
        <v>113</v>
      </c>
      <c r="B123" s="21">
        <f t="shared" si="29"/>
        <v>3115.46</v>
      </c>
      <c r="C123" s="18">
        <f>35.52+262.64</f>
        <v>298.15999999999997</v>
      </c>
      <c r="D123" s="18">
        <v>337.68</v>
      </c>
      <c r="E123" s="525">
        <f>543.22+674</f>
        <v>1217.22</v>
      </c>
      <c r="F123" s="19">
        <v>655.36</v>
      </c>
      <c r="G123" s="19">
        <v>607.04</v>
      </c>
      <c r="H123" s="19"/>
      <c r="I123" s="19"/>
      <c r="J123" s="19"/>
      <c r="K123" s="19"/>
      <c r="L123" s="19"/>
      <c r="M123" s="19"/>
      <c r="N123" s="19"/>
      <c r="O123" s="16">
        <f>C123+D123+E123+F123+G123+H123+I123+J123+K123+L123+M123+N123</f>
        <v>3115.46</v>
      </c>
    </row>
    <row r="124" spans="1:15" s="448" customFormat="1" x14ac:dyDescent="0.3">
      <c r="A124" s="446" t="s">
        <v>60</v>
      </c>
      <c r="B124" s="449">
        <f t="shared" si="29"/>
        <v>28428.880000000001</v>
      </c>
      <c r="C124" s="449">
        <f t="shared" ref="C124:E124" si="35">SUM(C125:C133)</f>
        <v>4300.0300000000007</v>
      </c>
      <c r="D124" s="449">
        <f t="shared" si="35"/>
        <v>6892.3300000000008</v>
      </c>
      <c r="E124" s="449">
        <f t="shared" si="35"/>
        <v>7109.7300000000005</v>
      </c>
      <c r="F124" s="449">
        <f t="shared" ref="F124:N124" si="36">SUM(F125:F133)</f>
        <v>7304.7300000000005</v>
      </c>
      <c r="G124" s="449">
        <f t="shared" si="36"/>
        <v>2822.0600000000004</v>
      </c>
      <c r="H124" s="449">
        <f t="shared" si="36"/>
        <v>0</v>
      </c>
      <c r="I124" s="449">
        <f t="shared" si="36"/>
        <v>0</v>
      </c>
      <c r="J124" s="449">
        <f t="shared" si="36"/>
        <v>0</v>
      </c>
      <c r="K124" s="449">
        <f t="shared" si="36"/>
        <v>0</v>
      </c>
      <c r="L124" s="449">
        <f t="shared" si="36"/>
        <v>0</v>
      </c>
      <c r="M124" s="449">
        <f t="shared" si="36"/>
        <v>0</v>
      </c>
      <c r="N124" s="449">
        <f t="shared" si="36"/>
        <v>0</v>
      </c>
      <c r="O124" s="448">
        <f t="shared" ref="O124:O133" si="37">C124+D124+E124+F124+G124+H124+I124+J124+K124+L124+M124+N124</f>
        <v>28428.880000000001</v>
      </c>
    </row>
    <row r="125" spans="1:15" s="36" customFormat="1" x14ac:dyDescent="0.3">
      <c r="A125" s="431" t="s">
        <v>159</v>
      </c>
      <c r="B125" s="34">
        <f t="shared" si="29"/>
        <v>445</v>
      </c>
      <c r="C125" s="34">
        <v>360</v>
      </c>
      <c r="D125" s="34"/>
      <c r="E125" s="35"/>
      <c r="F125" s="35">
        <v>85</v>
      </c>
      <c r="G125" s="35"/>
      <c r="H125" s="35"/>
      <c r="I125" s="35"/>
      <c r="J125" s="35"/>
      <c r="K125" s="35"/>
      <c r="L125" s="35"/>
      <c r="M125" s="35"/>
      <c r="N125" s="35"/>
      <c r="O125" s="16">
        <f t="shared" si="37"/>
        <v>445</v>
      </c>
    </row>
    <row r="126" spans="1:15" s="42" customFormat="1" x14ac:dyDescent="0.3">
      <c r="A126" s="444" t="s">
        <v>160</v>
      </c>
      <c r="B126" s="40">
        <f t="shared" ref="B126:B133" si="38">SUM(C126:N126)</f>
        <v>0</v>
      </c>
      <c r="C126" s="40"/>
      <c r="D126" s="40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16">
        <f t="shared" si="37"/>
        <v>0</v>
      </c>
    </row>
    <row r="127" spans="1:15" s="47" customFormat="1" x14ac:dyDescent="0.3">
      <c r="A127" s="445" t="s">
        <v>161</v>
      </c>
      <c r="B127" s="45">
        <f t="shared" si="38"/>
        <v>0</v>
      </c>
      <c r="C127" s="45"/>
      <c r="D127" s="45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16">
        <f t="shared" si="37"/>
        <v>0</v>
      </c>
    </row>
    <row r="128" spans="1:15" x14ac:dyDescent="0.3">
      <c r="A128" s="439" t="s">
        <v>162</v>
      </c>
      <c r="B128" s="18">
        <f t="shared" si="38"/>
        <v>110</v>
      </c>
      <c r="C128" s="18"/>
      <c r="D128" s="18"/>
      <c r="E128" s="19"/>
      <c r="F128" s="19">
        <v>110</v>
      </c>
      <c r="G128" s="19"/>
      <c r="H128" s="19"/>
      <c r="I128" s="19"/>
      <c r="J128" s="19"/>
      <c r="K128" s="19"/>
      <c r="L128" s="19"/>
      <c r="M128" s="19"/>
      <c r="N128" s="19"/>
      <c r="O128" s="16">
        <f t="shared" si="37"/>
        <v>110</v>
      </c>
    </row>
    <row r="129" spans="1:15" s="36" customFormat="1" x14ac:dyDescent="0.3">
      <c r="A129" s="431" t="s">
        <v>290</v>
      </c>
      <c r="B129" s="34">
        <f t="shared" si="38"/>
        <v>8440.345000000003</v>
      </c>
      <c r="C129" s="34">
        <f>1400.19/2</f>
        <v>700.09500000000003</v>
      </c>
      <c r="D129" s="34">
        <f>(1400.19/2)+(4287.67/3)</f>
        <v>2129.3183333333336</v>
      </c>
      <c r="E129" s="35">
        <f>(4287.67/3)+(1400.19/2)+217.4</f>
        <v>2346.7183333333337</v>
      </c>
      <c r="F129" s="35">
        <f>(4287.67/3)+(1400.19/2)+217.4</f>
        <v>2346.7183333333337</v>
      </c>
      <c r="G129" s="35">
        <f>(1400.19/2)+217.4</f>
        <v>917.495</v>
      </c>
      <c r="H129" s="35"/>
      <c r="I129" s="35"/>
      <c r="J129" s="35"/>
      <c r="K129" s="35"/>
      <c r="L129" s="35"/>
      <c r="M129" s="35"/>
      <c r="N129" s="35"/>
      <c r="O129" s="16">
        <f t="shared" si="37"/>
        <v>8440.345000000003</v>
      </c>
    </row>
    <row r="130" spans="1:15" s="42" customFormat="1" x14ac:dyDescent="0.3">
      <c r="A130" s="444" t="s">
        <v>291</v>
      </c>
      <c r="B130" s="40">
        <f t="shared" si="38"/>
        <v>7788.1450000000013</v>
      </c>
      <c r="C130" s="40">
        <f>1400.19/2</f>
        <v>700.09500000000003</v>
      </c>
      <c r="D130" s="40">
        <f>1400.19/2+(4287.67/3)</f>
        <v>2129.3183333333336</v>
      </c>
      <c r="E130" s="41">
        <f>(4287.67/3)+(1400.19/2)</f>
        <v>2129.3183333333336</v>
      </c>
      <c r="F130" s="41">
        <f>(4287.67/3)+(1400.19/2)</f>
        <v>2129.3183333333336</v>
      </c>
      <c r="G130" s="41">
        <f>(1400.19/2)</f>
        <v>700.09500000000003</v>
      </c>
      <c r="H130" s="40"/>
      <c r="I130" s="40"/>
      <c r="J130" s="40"/>
      <c r="K130" s="40"/>
      <c r="L130" s="40"/>
      <c r="M130" s="40"/>
      <c r="N130" s="40"/>
      <c r="O130" s="16">
        <f t="shared" si="37"/>
        <v>7788.1450000000013</v>
      </c>
    </row>
    <row r="131" spans="1:15" s="47" customFormat="1" x14ac:dyDescent="0.3">
      <c r="A131" s="445" t="s">
        <v>292</v>
      </c>
      <c r="B131" s="45">
        <f t="shared" si="38"/>
        <v>9105.5500000000011</v>
      </c>
      <c r="C131" s="45"/>
      <c r="D131" s="45">
        <f>+(4287.67/3)+1204.47</f>
        <v>2633.6933333333336</v>
      </c>
      <c r="E131" s="45">
        <f>+(4287.67/3)+1204.47</f>
        <v>2633.6933333333336</v>
      </c>
      <c r="F131" s="45">
        <f>+(4287.67/3)+1204.47</f>
        <v>2633.6933333333336</v>
      </c>
      <c r="G131" s="46">
        <f>1204.47</f>
        <v>1204.47</v>
      </c>
      <c r="H131" s="46"/>
      <c r="I131" s="46"/>
      <c r="J131" s="46"/>
      <c r="K131" s="46"/>
      <c r="L131" s="46"/>
      <c r="M131" s="46"/>
      <c r="N131" s="46"/>
      <c r="O131" s="16">
        <f t="shared" si="37"/>
        <v>9105.5500000000011</v>
      </c>
    </row>
    <row r="132" spans="1:15" x14ac:dyDescent="0.3">
      <c r="A132" s="425" t="s">
        <v>166</v>
      </c>
      <c r="B132" s="18">
        <f t="shared" si="38"/>
        <v>0</v>
      </c>
      <c r="C132" s="18"/>
      <c r="D132" s="18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6">
        <f t="shared" si="37"/>
        <v>0</v>
      </c>
    </row>
    <row r="133" spans="1:15" s="16" customFormat="1" x14ac:dyDescent="0.3">
      <c r="A133" s="17" t="s">
        <v>293</v>
      </c>
      <c r="B133" s="18">
        <f t="shared" si="38"/>
        <v>2539.84</v>
      </c>
      <c r="C133" s="503">
        <v>2539.84</v>
      </c>
      <c r="D133" s="18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6">
        <f t="shared" si="37"/>
        <v>2539.84</v>
      </c>
    </row>
    <row r="134" spans="1:15" s="455" customFormat="1" x14ac:dyDescent="0.3">
      <c r="A134" s="451" t="s">
        <v>61</v>
      </c>
      <c r="B134" s="452">
        <f t="shared" ref="B134:B136" si="39">SUM(D134:O134)</f>
        <v>0</v>
      </c>
      <c r="C134" s="453"/>
      <c r="D134" s="453">
        <f>SUM(D135:D136)</f>
        <v>0</v>
      </c>
      <c r="E134" s="454">
        <f>SUM(E135:E136)</f>
        <v>0</v>
      </c>
      <c r="F134" s="454">
        <f t="shared" ref="F134:O134" si="40">SUM(F135:F136)</f>
        <v>0</v>
      </c>
      <c r="G134" s="454">
        <f t="shared" si="40"/>
        <v>0</v>
      </c>
      <c r="H134" s="454">
        <f t="shared" si="40"/>
        <v>0</v>
      </c>
      <c r="I134" s="454">
        <f t="shared" si="40"/>
        <v>0</v>
      </c>
      <c r="J134" s="454">
        <f t="shared" si="40"/>
        <v>0</v>
      </c>
      <c r="K134" s="454">
        <f t="shared" si="40"/>
        <v>0</v>
      </c>
      <c r="L134" s="454">
        <f t="shared" si="40"/>
        <v>0</v>
      </c>
      <c r="M134" s="454">
        <f t="shared" si="40"/>
        <v>0</v>
      </c>
      <c r="N134" s="454">
        <f t="shared" si="40"/>
        <v>0</v>
      </c>
      <c r="O134" s="454">
        <f t="shared" si="40"/>
        <v>0</v>
      </c>
    </row>
    <row r="135" spans="1:15" s="437" customFormat="1" x14ac:dyDescent="0.3">
      <c r="A135" s="425" t="s">
        <v>168</v>
      </c>
      <c r="B135" s="432">
        <f t="shared" si="39"/>
        <v>0</v>
      </c>
      <c r="C135" s="432"/>
      <c r="D135" s="432"/>
      <c r="E135" s="434"/>
      <c r="F135" s="434"/>
      <c r="G135" s="434"/>
      <c r="H135" s="435"/>
      <c r="I135" s="435"/>
      <c r="J135" s="435"/>
      <c r="K135" s="435"/>
      <c r="L135" s="435"/>
      <c r="M135" s="435"/>
      <c r="N135" s="435"/>
      <c r="O135" s="435"/>
    </row>
    <row r="136" spans="1:15" s="424" customFormat="1" x14ac:dyDescent="0.3">
      <c r="A136" s="425" t="s">
        <v>169</v>
      </c>
      <c r="B136" s="432">
        <f t="shared" si="39"/>
        <v>0</v>
      </c>
      <c r="C136" s="432"/>
      <c r="D136" s="432"/>
      <c r="E136" s="434"/>
      <c r="F136" s="434"/>
      <c r="G136" s="434"/>
      <c r="H136" s="435"/>
      <c r="I136" s="435"/>
      <c r="J136" s="435"/>
      <c r="K136" s="435"/>
      <c r="L136" s="435"/>
      <c r="M136" s="435"/>
      <c r="N136" s="435"/>
      <c r="O136" s="435"/>
    </row>
    <row r="137" spans="1:15" s="448" customFormat="1" x14ac:dyDescent="0.3">
      <c r="A137" s="446" t="s">
        <v>62</v>
      </c>
      <c r="B137" s="449">
        <f>SUM(B138:B157)</f>
        <v>6548.8200000000006</v>
      </c>
      <c r="C137" s="456">
        <f>SUM(C138:C157)</f>
        <v>1317.71</v>
      </c>
      <c r="D137" s="456">
        <f>SUM(D138:D157)</f>
        <v>1166.75</v>
      </c>
      <c r="E137" s="456">
        <f t="shared" ref="E137:N137" si="41">SUM(E138:E157)</f>
        <v>811.14</v>
      </c>
      <c r="F137" s="456">
        <f t="shared" si="41"/>
        <v>1826.5</v>
      </c>
      <c r="G137" s="456">
        <f t="shared" si="41"/>
        <v>1426.72</v>
      </c>
      <c r="H137" s="456">
        <f t="shared" si="41"/>
        <v>0</v>
      </c>
      <c r="I137" s="456">
        <f t="shared" si="41"/>
        <v>0</v>
      </c>
      <c r="J137" s="456">
        <f t="shared" si="41"/>
        <v>0</v>
      </c>
      <c r="K137" s="456">
        <f t="shared" si="41"/>
        <v>0</v>
      </c>
      <c r="L137" s="456">
        <f t="shared" si="41"/>
        <v>0</v>
      </c>
      <c r="M137" s="456">
        <f t="shared" si="41"/>
        <v>0</v>
      </c>
      <c r="N137" s="456">
        <f t="shared" si="41"/>
        <v>0</v>
      </c>
      <c r="O137" s="448">
        <f t="shared" ref="O137:O160" si="42">C137+D137+E137+F137+G137+H137+I137+J137+K137+L137+M137+N137</f>
        <v>6548.8200000000006</v>
      </c>
    </row>
    <row r="138" spans="1:15" x14ac:dyDescent="0.3">
      <c r="A138" s="44" t="s">
        <v>179</v>
      </c>
      <c r="B138" s="45">
        <f t="shared" ref="B138:B158" si="43">SUM(C138:N138)</f>
        <v>0</v>
      </c>
      <c r="C138" s="45"/>
      <c r="D138" s="45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16">
        <f t="shared" ref="O138:O157" si="44">C138+D138+E138+F138+G138+H138+I138+J138+K138+L138+M138+N138</f>
        <v>0</v>
      </c>
    </row>
    <row r="139" spans="1:15" s="47" customFormat="1" x14ac:dyDescent="0.3">
      <c r="A139" s="32" t="s">
        <v>180</v>
      </c>
      <c r="B139" s="34">
        <f t="shared" si="43"/>
        <v>146</v>
      </c>
      <c r="C139" s="34">
        <v>146</v>
      </c>
      <c r="D139" s="34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16">
        <f t="shared" si="44"/>
        <v>146</v>
      </c>
    </row>
    <row r="140" spans="1:15" s="36" customFormat="1" x14ac:dyDescent="0.3">
      <c r="A140" s="39" t="s">
        <v>181</v>
      </c>
      <c r="B140" s="40">
        <f t="shared" si="43"/>
        <v>200</v>
      </c>
      <c r="C140" s="40"/>
      <c r="D140" s="40"/>
      <c r="E140" s="41"/>
      <c r="F140" s="41">
        <v>200</v>
      </c>
      <c r="G140" s="41"/>
      <c r="H140" s="41"/>
      <c r="I140" s="41"/>
      <c r="J140" s="41"/>
      <c r="K140" s="41"/>
      <c r="L140" s="41"/>
      <c r="M140" s="41"/>
      <c r="N140" s="41"/>
      <c r="O140" s="16">
        <f t="shared" si="44"/>
        <v>200</v>
      </c>
    </row>
    <row r="141" spans="1:15" s="39" customFormat="1" x14ac:dyDescent="0.3">
      <c r="A141" s="17" t="s">
        <v>178</v>
      </c>
      <c r="B141" s="18">
        <f t="shared" si="43"/>
        <v>2338.46</v>
      </c>
      <c r="C141" s="18">
        <f>1109.73+61.98</f>
        <v>1171.71</v>
      </c>
      <c r="D141" s="18">
        <f>1109.77+56.98</f>
        <v>1166.75</v>
      </c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6">
        <f t="shared" si="44"/>
        <v>2338.46</v>
      </c>
    </row>
    <row r="142" spans="1:15" s="24" customFormat="1" x14ac:dyDescent="0.3">
      <c r="A142" s="44" t="s">
        <v>183</v>
      </c>
      <c r="B142" s="45">
        <f t="shared" si="43"/>
        <v>0</v>
      </c>
      <c r="C142" s="45"/>
      <c r="D142" s="45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16">
        <f t="shared" si="44"/>
        <v>0</v>
      </c>
    </row>
    <row r="143" spans="1:15" s="44" customFormat="1" x14ac:dyDescent="0.3">
      <c r="A143" s="32" t="s">
        <v>184</v>
      </c>
      <c r="B143" s="34">
        <f t="shared" si="43"/>
        <v>0</v>
      </c>
      <c r="C143" s="34"/>
      <c r="D143" s="34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16">
        <f t="shared" si="44"/>
        <v>0</v>
      </c>
    </row>
    <row r="144" spans="1:15" s="32" customFormat="1" x14ac:dyDescent="0.3">
      <c r="A144" s="39" t="s">
        <v>185</v>
      </c>
      <c r="B144" s="40">
        <f t="shared" si="43"/>
        <v>0</v>
      </c>
      <c r="C144" s="40"/>
      <c r="D144" s="40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16">
        <f t="shared" si="44"/>
        <v>0</v>
      </c>
    </row>
    <row r="145" spans="1:15" s="39" customFormat="1" x14ac:dyDescent="0.3">
      <c r="A145" s="17" t="s">
        <v>182</v>
      </c>
      <c r="B145" s="18">
        <f t="shared" si="43"/>
        <v>0</v>
      </c>
      <c r="C145" s="18"/>
      <c r="D145" s="1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6">
        <f t="shared" si="44"/>
        <v>0</v>
      </c>
    </row>
    <row r="146" spans="1:15" s="24" customFormat="1" x14ac:dyDescent="0.3">
      <c r="A146" s="44" t="s">
        <v>175</v>
      </c>
      <c r="B146" s="45">
        <f t="shared" si="43"/>
        <v>0</v>
      </c>
      <c r="C146" s="45"/>
      <c r="D146" s="45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16">
        <f t="shared" si="44"/>
        <v>0</v>
      </c>
    </row>
    <row r="147" spans="1:15" s="44" customFormat="1" x14ac:dyDescent="0.3">
      <c r="A147" s="32" t="s">
        <v>176</v>
      </c>
      <c r="B147" s="34">
        <f t="shared" si="43"/>
        <v>0</v>
      </c>
      <c r="C147" s="34"/>
      <c r="D147" s="34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16">
        <f t="shared" si="44"/>
        <v>0</v>
      </c>
    </row>
    <row r="148" spans="1:15" s="32" customFormat="1" x14ac:dyDescent="0.3">
      <c r="A148" s="39" t="s">
        <v>177</v>
      </c>
      <c r="B148" s="40">
        <f t="shared" si="43"/>
        <v>0</v>
      </c>
      <c r="C148" s="40"/>
      <c r="D148" s="40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16">
        <f t="shared" si="44"/>
        <v>0</v>
      </c>
    </row>
    <row r="149" spans="1:15" s="39" customFormat="1" x14ac:dyDescent="0.3">
      <c r="A149" s="17" t="s">
        <v>174</v>
      </c>
      <c r="B149" s="18">
        <f t="shared" si="43"/>
        <v>0</v>
      </c>
      <c r="C149" s="18"/>
      <c r="D149" s="1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6">
        <f t="shared" si="44"/>
        <v>0</v>
      </c>
    </row>
    <row r="150" spans="1:15" s="24" customFormat="1" x14ac:dyDescent="0.3">
      <c r="A150" s="44" t="s">
        <v>171</v>
      </c>
      <c r="B150" s="45">
        <f t="shared" si="43"/>
        <v>1646.88</v>
      </c>
      <c r="C150" s="45"/>
      <c r="D150" s="45"/>
      <c r="E150" s="46">
        <v>811.14</v>
      </c>
      <c r="F150" s="46">
        <f>236.74+599</f>
        <v>835.74</v>
      </c>
      <c r="G150" s="46"/>
      <c r="H150" s="46"/>
      <c r="I150" s="46"/>
      <c r="J150" s="46"/>
      <c r="K150" s="46"/>
      <c r="L150" s="46"/>
      <c r="M150" s="46"/>
      <c r="N150" s="46"/>
      <c r="O150" s="16">
        <f t="shared" si="44"/>
        <v>1646.88</v>
      </c>
    </row>
    <row r="151" spans="1:15" s="44" customFormat="1" x14ac:dyDescent="0.3">
      <c r="A151" s="32" t="s">
        <v>172</v>
      </c>
      <c r="B151" s="34">
        <f t="shared" si="43"/>
        <v>0</v>
      </c>
      <c r="C151" s="34"/>
      <c r="D151" s="34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16">
        <f t="shared" si="44"/>
        <v>0</v>
      </c>
    </row>
    <row r="152" spans="1:15" s="32" customFormat="1" x14ac:dyDescent="0.3">
      <c r="A152" s="39" t="s">
        <v>173</v>
      </c>
      <c r="B152" s="40">
        <f t="shared" si="43"/>
        <v>102.2</v>
      </c>
      <c r="C152" s="40"/>
      <c r="D152" s="40"/>
      <c r="E152" s="41"/>
      <c r="F152" s="41">
        <f>102.2</f>
        <v>102.2</v>
      </c>
      <c r="G152" s="41"/>
      <c r="H152" s="41"/>
      <c r="I152" s="41"/>
      <c r="J152" s="41"/>
      <c r="K152" s="41"/>
      <c r="L152" s="41"/>
      <c r="M152" s="41"/>
      <c r="N152" s="41"/>
      <c r="O152" s="16">
        <f t="shared" si="44"/>
        <v>102.2</v>
      </c>
    </row>
    <row r="153" spans="1:15" s="39" customFormat="1" x14ac:dyDescent="0.3">
      <c r="A153" s="17" t="s">
        <v>170</v>
      </c>
      <c r="B153" s="18">
        <f t="shared" si="43"/>
        <v>0</v>
      </c>
      <c r="C153" s="18"/>
      <c r="D153" s="18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6">
        <f t="shared" si="44"/>
        <v>0</v>
      </c>
    </row>
    <row r="154" spans="1:15" s="24" customFormat="1" x14ac:dyDescent="0.3">
      <c r="A154" s="44" t="s">
        <v>187</v>
      </c>
      <c r="B154" s="45">
        <f t="shared" si="43"/>
        <v>756.56</v>
      </c>
      <c r="C154" s="45"/>
      <c r="D154" s="45"/>
      <c r="E154" s="524"/>
      <c r="F154" s="45">
        <v>688.56</v>
      </c>
      <c r="G154" s="45">
        <v>68</v>
      </c>
      <c r="H154" s="45"/>
      <c r="I154" s="45"/>
      <c r="J154" s="45"/>
      <c r="K154" s="45"/>
      <c r="L154" s="45"/>
      <c r="M154" s="45"/>
      <c r="N154" s="45"/>
      <c r="O154" s="16">
        <f t="shared" si="44"/>
        <v>756.56</v>
      </c>
    </row>
    <row r="155" spans="1:15" s="44" customFormat="1" x14ac:dyDescent="0.3">
      <c r="A155" s="32" t="s">
        <v>188</v>
      </c>
      <c r="B155" s="34">
        <f t="shared" si="43"/>
        <v>0</v>
      </c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16">
        <f t="shared" si="44"/>
        <v>0</v>
      </c>
    </row>
    <row r="156" spans="1:15" s="32" customFormat="1" x14ac:dyDescent="0.3">
      <c r="A156" s="39" t="s">
        <v>189</v>
      </c>
      <c r="B156" s="40">
        <f t="shared" si="43"/>
        <v>1358.72</v>
      </c>
      <c r="C156" s="40"/>
      <c r="D156" s="40"/>
      <c r="E156" s="40"/>
      <c r="F156" s="40"/>
      <c r="G156" s="40">
        <v>1358.72</v>
      </c>
      <c r="H156" s="40"/>
      <c r="I156" s="40"/>
      <c r="J156" s="40"/>
      <c r="K156" s="40"/>
      <c r="L156" s="40"/>
      <c r="M156" s="40"/>
      <c r="N156" s="40"/>
      <c r="O156" s="16">
        <f t="shared" si="44"/>
        <v>1358.72</v>
      </c>
    </row>
    <row r="157" spans="1:15" s="42" customFormat="1" x14ac:dyDescent="0.3">
      <c r="A157" s="17" t="s">
        <v>186</v>
      </c>
      <c r="B157" s="18">
        <f t="shared" si="43"/>
        <v>0</v>
      </c>
      <c r="C157" s="18"/>
      <c r="D157" s="18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6">
        <f t="shared" si="44"/>
        <v>0</v>
      </c>
    </row>
    <row r="158" spans="1:15" s="448" customFormat="1" x14ac:dyDescent="0.3">
      <c r="A158" s="446" t="s">
        <v>190</v>
      </c>
      <c r="B158" s="449">
        <f t="shared" si="43"/>
        <v>4836.8600000000006</v>
      </c>
      <c r="C158" s="449">
        <f t="shared" ref="C158:N158" si="45">SUM(C159:C163)</f>
        <v>692.37</v>
      </c>
      <c r="D158" s="449">
        <f t="shared" si="45"/>
        <v>0</v>
      </c>
      <c r="E158" s="449">
        <f t="shared" si="45"/>
        <v>1094.49</v>
      </c>
      <c r="F158" s="449">
        <f t="shared" si="45"/>
        <v>1450</v>
      </c>
      <c r="G158" s="449">
        <f t="shared" si="45"/>
        <v>1600</v>
      </c>
      <c r="H158" s="449">
        <f t="shared" si="45"/>
        <v>0</v>
      </c>
      <c r="I158" s="449">
        <f t="shared" si="45"/>
        <v>0</v>
      </c>
      <c r="J158" s="449">
        <f t="shared" si="45"/>
        <v>0</v>
      </c>
      <c r="K158" s="449">
        <f t="shared" si="45"/>
        <v>0</v>
      </c>
      <c r="L158" s="449">
        <f t="shared" si="45"/>
        <v>0</v>
      </c>
      <c r="M158" s="449">
        <f t="shared" si="45"/>
        <v>0</v>
      </c>
      <c r="N158" s="449">
        <f t="shared" si="45"/>
        <v>0</v>
      </c>
      <c r="O158" s="448">
        <f t="shared" si="42"/>
        <v>4836.8600000000006</v>
      </c>
    </row>
    <row r="159" spans="1:15" s="47" customFormat="1" x14ac:dyDescent="0.3">
      <c r="A159" s="44" t="s">
        <v>191</v>
      </c>
      <c r="B159" s="45">
        <f t="shared" ref="B159:B163" si="46">SUM(C159:N159)</f>
        <v>1094.49</v>
      </c>
      <c r="C159" s="45"/>
      <c r="D159" s="45"/>
      <c r="E159" s="46">
        <f>279+815.49</f>
        <v>1094.49</v>
      </c>
      <c r="F159" s="46"/>
      <c r="G159" s="46"/>
      <c r="H159" s="46"/>
      <c r="I159" s="46"/>
      <c r="J159" s="46"/>
      <c r="K159" s="46"/>
      <c r="L159" s="46"/>
      <c r="M159" s="46"/>
      <c r="N159" s="46"/>
      <c r="O159" s="16">
        <f t="shared" si="42"/>
        <v>1094.49</v>
      </c>
    </row>
    <row r="160" spans="1:15" s="36" customFormat="1" x14ac:dyDescent="0.3">
      <c r="A160" s="32" t="s">
        <v>192</v>
      </c>
      <c r="B160" s="34">
        <f t="shared" si="46"/>
        <v>1450</v>
      </c>
      <c r="C160" s="34"/>
      <c r="D160" s="34"/>
      <c r="E160" s="35"/>
      <c r="F160" s="35">
        <v>1450</v>
      </c>
      <c r="G160" s="35"/>
      <c r="H160" s="35"/>
      <c r="I160" s="35"/>
      <c r="J160" s="35"/>
      <c r="K160" s="35"/>
      <c r="L160" s="35"/>
      <c r="M160" s="35"/>
      <c r="N160" s="35"/>
      <c r="O160" s="16">
        <f t="shared" si="42"/>
        <v>1450</v>
      </c>
    </row>
    <row r="161" spans="1:15" s="42" customFormat="1" x14ac:dyDescent="0.3">
      <c r="A161" s="39" t="s">
        <v>193</v>
      </c>
      <c r="B161" s="40">
        <f t="shared" si="46"/>
        <v>1600</v>
      </c>
      <c r="C161" s="40"/>
      <c r="D161" s="40"/>
      <c r="E161" s="41"/>
      <c r="F161" s="41"/>
      <c r="G161" s="41">
        <v>1600</v>
      </c>
      <c r="H161" s="41"/>
      <c r="I161" s="41"/>
      <c r="J161" s="41"/>
      <c r="K161" s="41"/>
      <c r="L161" s="41"/>
      <c r="M161" s="41"/>
      <c r="N161" s="41"/>
      <c r="O161" s="16">
        <f t="shared" ref="O161:O188" si="47">C161+D161+E161+F161+G161+H161+I161+J161+K161+L161+M161+N161</f>
        <v>1600</v>
      </c>
    </row>
    <row r="162" spans="1:15" x14ac:dyDescent="0.3">
      <c r="A162" s="24" t="s">
        <v>194</v>
      </c>
      <c r="B162" s="315">
        <f t="shared" si="46"/>
        <v>0</v>
      </c>
      <c r="C162" s="315"/>
      <c r="D162" s="316"/>
      <c r="E162" s="317"/>
      <c r="F162" s="317"/>
      <c r="G162" s="317"/>
      <c r="H162" s="317"/>
      <c r="I162" s="317"/>
      <c r="J162" s="317"/>
      <c r="K162" s="317"/>
      <c r="L162" s="317"/>
      <c r="M162" s="317"/>
      <c r="N162" s="317"/>
      <c r="O162" s="16">
        <f t="shared" si="47"/>
        <v>0</v>
      </c>
    </row>
    <row r="163" spans="1:15" s="55" customFormat="1" x14ac:dyDescent="0.3">
      <c r="A163" s="53" t="s">
        <v>294</v>
      </c>
      <c r="B163" s="51">
        <f t="shared" si="46"/>
        <v>692.37</v>
      </c>
      <c r="C163" s="522">
        <v>692.37</v>
      </c>
      <c r="D163" s="54"/>
      <c r="E163" s="52" t="s">
        <v>295</v>
      </c>
      <c r="F163" s="52"/>
      <c r="G163" s="52"/>
      <c r="H163" s="52"/>
      <c r="I163" s="52"/>
      <c r="J163" s="52"/>
      <c r="K163" s="52"/>
      <c r="L163" s="52"/>
      <c r="M163" s="52"/>
      <c r="N163" s="52"/>
      <c r="O163" s="16" t="e">
        <f t="shared" si="47"/>
        <v>#VALUE!</v>
      </c>
    </row>
    <row r="164" spans="1:15" s="448" customFormat="1" x14ac:dyDescent="0.3">
      <c r="A164" s="446" t="s">
        <v>63</v>
      </c>
      <c r="B164" s="449">
        <f>SUM(C164:N164)</f>
        <v>547.94000000000005</v>
      </c>
      <c r="C164" s="449">
        <f t="shared" ref="C164:N164" si="48">SUM(C165:C167)</f>
        <v>0</v>
      </c>
      <c r="D164" s="449">
        <f t="shared" si="48"/>
        <v>0</v>
      </c>
      <c r="E164" s="449">
        <f t="shared" si="48"/>
        <v>64.98</v>
      </c>
      <c r="F164" s="449">
        <f>SUM(F165:F167)</f>
        <v>61.98</v>
      </c>
      <c r="G164" s="449">
        <f>SUM(G165:G167)</f>
        <v>420.98</v>
      </c>
      <c r="H164" s="449">
        <f t="shared" si="48"/>
        <v>0</v>
      </c>
      <c r="I164" s="449">
        <f t="shared" si="48"/>
        <v>0</v>
      </c>
      <c r="J164" s="449">
        <f t="shared" si="48"/>
        <v>0</v>
      </c>
      <c r="K164" s="449">
        <f t="shared" si="48"/>
        <v>0</v>
      </c>
      <c r="L164" s="449">
        <f t="shared" si="48"/>
        <v>0</v>
      </c>
      <c r="M164" s="449">
        <f t="shared" si="48"/>
        <v>0</v>
      </c>
      <c r="N164" s="449">
        <f t="shared" si="48"/>
        <v>0</v>
      </c>
      <c r="O164" s="448">
        <f t="shared" si="47"/>
        <v>547.94000000000005</v>
      </c>
    </row>
    <row r="165" spans="1:15" x14ac:dyDescent="0.3">
      <c r="A165" s="17" t="s">
        <v>196</v>
      </c>
      <c r="B165" s="21">
        <f>SUM(C165:N165)</f>
        <v>0</v>
      </c>
      <c r="C165" s="18"/>
      <c r="D165" s="18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6">
        <f t="shared" si="47"/>
        <v>0</v>
      </c>
    </row>
    <row r="166" spans="1:15" x14ac:dyDescent="0.3">
      <c r="A166" s="17" t="s">
        <v>197</v>
      </c>
      <c r="B166" s="21">
        <f t="shared" ref="B166:B167" si="49">SUM(C166:N166)</f>
        <v>332.94</v>
      </c>
      <c r="C166" s="18"/>
      <c r="D166" s="18"/>
      <c r="E166" s="19">
        <v>64.98</v>
      </c>
      <c r="F166" s="19">
        <v>61.98</v>
      </c>
      <c r="G166" s="19">
        <f>59.98+146</f>
        <v>205.98</v>
      </c>
      <c r="H166" s="19"/>
      <c r="I166" s="19"/>
      <c r="J166" s="19"/>
      <c r="K166" s="19"/>
      <c r="L166" s="19"/>
      <c r="M166" s="19"/>
      <c r="N166" s="19"/>
      <c r="O166" s="16">
        <f t="shared" si="47"/>
        <v>332.94</v>
      </c>
    </row>
    <row r="167" spans="1:15" s="16" customFormat="1" x14ac:dyDescent="0.3">
      <c r="A167" s="17" t="s">
        <v>198</v>
      </c>
      <c r="B167" s="21">
        <f t="shared" si="49"/>
        <v>215</v>
      </c>
      <c r="C167" s="18"/>
      <c r="D167" s="18"/>
      <c r="E167" s="19"/>
      <c r="F167" s="19"/>
      <c r="G167" s="19">
        <v>215</v>
      </c>
      <c r="H167" s="19"/>
      <c r="I167" s="19"/>
      <c r="J167" s="19"/>
      <c r="K167" s="19"/>
      <c r="L167" s="19"/>
      <c r="M167" s="19"/>
      <c r="N167" s="19"/>
      <c r="O167" s="16">
        <f t="shared" si="47"/>
        <v>215</v>
      </c>
    </row>
    <row r="168" spans="1:15" s="448" customFormat="1" x14ac:dyDescent="0.3">
      <c r="A168" s="446" t="s">
        <v>199</v>
      </c>
      <c r="B168" s="449">
        <f t="shared" ref="B168:B181" si="50">SUM(C168:N168)</f>
        <v>348066.73</v>
      </c>
      <c r="C168" s="449">
        <f t="shared" ref="C168:N168" si="51">SUM(C169:C179)</f>
        <v>175692.06</v>
      </c>
      <c r="D168" s="449">
        <f t="shared" si="51"/>
        <v>9285.1200000000008</v>
      </c>
      <c r="E168" s="449">
        <f t="shared" si="51"/>
        <v>11561.390000000003</v>
      </c>
      <c r="F168" s="449">
        <f t="shared" si="51"/>
        <v>143553.10999999999</v>
      </c>
      <c r="G168" s="449">
        <f t="shared" si="51"/>
        <v>7975.0499999999993</v>
      </c>
      <c r="H168" s="449">
        <f t="shared" si="51"/>
        <v>0</v>
      </c>
      <c r="I168" s="449">
        <f t="shared" si="51"/>
        <v>0</v>
      </c>
      <c r="J168" s="449">
        <f t="shared" si="51"/>
        <v>0</v>
      </c>
      <c r="K168" s="449">
        <f t="shared" si="51"/>
        <v>0</v>
      </c>
      <c r="L168" s="449">
        <f t="shared" si="51"/>
        <v>0</v>
      </c>
      <c r="M168" s="449">
        <f t="shared" si="51"/>
        <v>0</v>
      </c>
      <c r="N168" s="449">
        <f t="shared" si="51"/>
        <v>0</v>
      </c>
      <c r="O168" s="448">
        <f t="shared" si="47"/>
        <v>348066.73</v>
      </c>
    </row>
    <row r="169" spans="1:15" ht="15.75" customHeight="1" x14ac:dyDescent="0.3">
      <c r="A169" s="425" t="s">
        <v>200</v>
      </c>
      <c r="B169" s="21">
        <f t="shared" si="50"/>
        <v>5652.96</v>
      </c>
      <c r="C169" s="18">
        <v>185.68</v>
      </c>
      <c r="D169" s="18">
        <v>226.54</v>
      </c>
      <c r="E169" s="19">
        <v>3258.44</v>
      </c>
      <c r="F169" s="19">
        <v>1717.96</v>
      </c>
      <c r="G169" s="525">
        <v>264.33999999999997</v>
      </c>
      <c r="H169" s="19"/>
      <c r="I169" s="19"/>
      <c r="J169" s="19"/>
      <c r="K169" s="19"/>
      <c r="L169" s="19"/>
      <c r="M169" s="19"/>
      <c r="N169" s="19"/>
      <c r="O169" s="16">
        <f>C169+D169+E169+F169+G169+H169+I169+J169+K169+L169+M169+N169</f>
        <v>5652.96</v>
      </c>
    </row>
    <row r="170" spans="1:15" x14ac:dyDescent="0.3">
      <c r="A170" s="425" t="s">
        <v>296</v>
      </c>
      <c r="B170" s="21">
        <f t="shared" si="50"/>
        <v>78458</v>
      </c>
      <c r="C170" s="18">
        <v>43297.07</v>
      </c>
      <c r="D170" s="18"/>
      <c r="E170" s="19"/>
      <c r="F170" s="19">
        <v>35160.93</v>
      </c>
      <c r="G170" s="19"/>
      <c r="H170" s="19"/>
      <c r="I170" s="19"/>
      <c r="J170" s="19"/>
      <c r="K170" s="19"/>
      <c r="L170" s="19"/>
      <c r="M170" s="19"/>
      <c r="N170" s="19"/>
      <c r="O170" s="16"/>
    </row>
    <row r="171" spans="1:15" x14ac:dyDescent="0.3">
      <c r="A171" s="425" t="s">
        <v>204</v>
      </c>
      <c r="B171" s="21">
        <f t="shared" si="50"/>
        <v>1032.3499999999999</v>
      </c>
      <c r="C171" s="18"/>
      <c r="D171" s="18">
        <v>1032.3499999999999</v>
      </c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6">
        <f>C171+D171+E171+F171+G171+H171+I171+J171+K171+L171+M171+N171</f>
        <v>1032.3499999999999</v>
      </c>
    </row>
    <row r="172" spans="1:15" s="16" customFormat="1" x14ac:dyDescent="0.3">
      <c r="A172" s="425" t="s">
        <v>157</v>
      </c>
      <c r="B172" s="21">
        <f t="shared" si="50"/>
        <v>1939.3</v>
      </c>
      <c r="C172" s="18">
        <v>480.64</v>
      </c>
      <c r="D172" s="18">
        <v>354.66</v>
      </c>
      <c r="E172" s="19">
        <v>304</v>
      </c>
      <c r="F172" s="19">
        <v>400</v>
      </c>
      <c r="G172" s="19">
        <v>400</v>
      </c>
      <c r="H172" s="19"/>
      <c r="I172" s="19"/>
      <c r="J172" s="19"/>
      <c r="K172" s="19"/>
      <c r="L172" s="19"/>
      <c r="M172" s="19"/>
      <c r="N172" s="19"/>
    </row>
    <row r="173" spans="1:15" s="16" customFormat="1" x14ac:dyDescent="0.3">
      <c r="A173" s="425" t="s">
        <v>297</v>
      </c>
      <c r="B173" s="21">
        <f t="shared" si="50"/>
        <v>10044.289999999999</v>
      </c>
      <c r="C173" s="18">
        <f>12.28+36.67+2332.12</f>
        <v>2381.0699999999997</v>
      </c>
      <c r="D173" s="18">
        <v>2159.37</v>
      </c>
      <c r="E173" s="523">
        <f>1747.79+12.28+36.67+11</f>
        <v>1807.74</v>
      </c>
      <c r="F173" s="19">
        <f>12.32+36.79+453.03+11+1566.94</f>
        <v>2080.08</v>
      </c>
      <c r="G173" s="19">
        <f>12.32+36.79+14.67+1114+438.25</f>
        <v>1616.03</v>
      </c>
      <c r="H173" s="19"/>
      <c r="I173" s="19"/>
      <c r="J173" s="19"/>
      <c r="K173" s="19"/>
      <c r="L173" s="19"/>
      <c r="M173" s="19"/>
      <c r="N173" s="19"/>
    </row>
    <row r="174" spans="1:15" s="16" customFormat="1" x14ac:dyDescent="0.3">
      <c r="A174" s="425" t="s">
        <v>298</v>
      </c>
      <c r="B174" s="21">
        <f t="shared" si="50"/>
        <v>26713.640000000003</v>
      </c>
      <c r="C174" s="18">
        <f>7618.2-2138.72</f>
        <v>5479.48</v>
      </c>
      <c r="D174" s="18">
        <f>7374.1-2139.72</f>
        <v>5234.380000000001</v>
      </c>
      <c r="E174" s="19">
        <f>7374.1-2139.72</f>
        <v>5234.380000000001</v>
      </c>
      <c r="F174" s="19">
        <f>7344.11-1961.41</f>
        <v>5382.7</v>
      </c>
      <c r="G174" s="19">
        <f>7344.11-1961.41</f>
        <v>5382.7</v>
      </c>
      <c r="H174" s="19"/>
      <c r="I174" s="19"/>
      <c r="J174" s="19"/>
      <c r="K174" s="19"/>
      <c r="L174" s="19"/>
      <c r="M174" s="19"/>
      <c r="N174" s="19"/>
    </row>
    <row r="175" spans="1:15" s="16" customFormat="1" x14ac:dyDescent="0.3">
      <c r="A175" s="425" t="s">
        <v>299</v>
      </c>
      <c r="B175" s="21">
        <f t="shared" si="50"/>
        <v>169.52</v>
      </c>
      <c r="C175" s="18">
        <v>169.52</v>
      </c>
      <c r="D175" s="18"/>
      <c r="E175" s="19"/>
      <c r="F175" s="19"/>
      <c r="G175" s="19"/>
      <c r="H175" s="19"/>
      <c r="I175" s="19"/>
      <c r="J175" s="19"/>
      <c r="K175" s="19"/>
      <c r="L175" s="19"/>
      <c r="M175" s="19"/>
      <c r="N175" s="19"/>
    </row>
    <row r="176" spans="1:15" s="16" customFormat="1" x14ac:dyDescent="0.3">
      <c r="A176" s="425" t="s">
        <v>300</v>
      </c>
      <c r="B176" s="21">
        <f t="shared" si="50"/>
        <v>221515.88</v>
      </c>
      <c r="C176" s="18">
        <v>123429.61</v>
      </c>
      <c r="D176" s="18"/>
      <c r="E176" s="19"/>
      <c r="F176" s="19">
        <v>98086.27</v>
      </c>
      <c r="G176" s="19"/>
      <c r="H176" s="19"/>
      <c r="I176" s="19"/>
      <c r="J176" s="19"/>
      <c r="K176" s="19"/>
      <c r="L176" s="19"/>
      <c r="M176" s="19"/>
      <c r="N176" s="19"/>
    </row>
    <row r="177" spans="1:15" s="16" customFormat="1" x14ac:dyDescent="0.3">
      <c r="A177" s="425" t="s">
        <v>301</v>
      </c>
      <c r="B177" s="21">
        <f t="shared" si="50"/>
        <v>1217.6500000000001</v>
      </c>
      <c r="C177" s="18">
        <v>228.69</v>
      </c>
      <c r="D177" s="18">
        <v>228.69</v>
      </c>
      <c r="E177" s="19">
        <v>250.79</v>
      </c>
      <c r="F177" s="19">
        <v>254.74</v>
      </c>
      <c r="G177" s="19">
        <v>254.74</v>
      </c>
      <c r="H177" s="19"/>
      <c r="I177" s="19"/>
      <c r="J177" s="19"/>
      <c r="K177" s="19"/>
      <c r="L177" s="19"/>
      <c r="M177" s="19"/>
      <c r="N177" s="19"/>
      <c r="O177" s="16">
        <f>C177+D177+E177+F177+G177+H177+I177+J177+K177+L177+M177+N177</f>
        <v>1217.6500000000001</v>
      </c>
    </row>
    <row r="178" spans="1:15" s="16" customFormat="1" x14ac:dyDescent="0.3">
      <c r="A178" s="425" t="s">
        <v>202</v>
      </c>
      <c r="B178" s="21">
        <f t="shared" si="50"/>
        <v>1323.14</v>
      </c>
      <c r="C178" s="18">
        <v>40.299999999999997</v>
      </c>
      <c r="D178" s="18">
        <v>49.13</v>
      </c>
      <c r="E178" s="19">
        <v>706.04</v>
      </c>
      <c r="F178" s="19">
        <f>372.29+98.14</f>
        <v>470.43</v>
      </c>
      <c r="G178" s="525">
        <v>57.24</v>
      </c>
      <c r="H178" s="19"/>
      <c r="I178" s="19"/>
      <c r="J178" s="19"/>
      <c r="K178" s="19"/>
      <c r="L178" s="19"/>
      <c r="M178" s="19"/>
      <c r="N178" s="19"/>
      <c r="O178" s="16">
        <f>C178+D178+E178+F178+G178+H178+I178+J178+K178+L178+M178+N178</f>
        <v>1323.14</v>
      </c>
    </row>
    <row r="179" spans="1:15" s="16" customFormat="1" x14ac:dyDescent="0.3">
      <c r="A179" s="425" t="s">
        <v>203</v>
      </c>
      <c r="B179" s="21">
        <f t="shared" si="50"/>
        <v>0</v>
      </c>
      <c r="C179" s="18"/>
      <c r="D179" s="18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6">
        <f>C179+D179+E179+F179+G179+H179+I179+J179+K179+L179+M179+N179</f>
        <v>0</v>
      </c>
    </row>
    <row r="180" spans="1:15" s="448" customFormat="1" x14ac:dyDescent="0.3">
      <c r="A180" s="446" t="s">
        <v>64</v>
      </c>
      <c r="B180" s="449">
        <f t="shared" si="50"/>
        <v>102013.57</v>
      </c>
      <c r="C180" s="449">
        <f t="shared" ref="C180:N180" si="52">SUM(C181:C190)</f>
        <v>22186.77</v>
      </c>
      <c r="D180" s="449">
        <f t="shared" si="52"/>
        <v>17620.95</v>
      </c>
      <c r="E180" s="449">
        <f t="shared" si="52"/>
        <v>17106.57</v>
      </c>
      <c r="F180" s="449">
        <f t="shared" si="52"/>
        <v>25136.53</v>
      </c>
      <c r="G180" s="449">
        <f t="shared" si="52"/>
        <v>19962.75</v>
      </c>
      <c r="H180" s="449">
        <f t="shared" si="52"/>
        <v>0</v>
      </c>
      <c r="I180" s="449">
        <f t="shared" si="52"/>
        <v>0</v>
      </c>
      <c r="J180" s="449">
        <f t="shared" si="52"/>
        <v>0</v>
      </c>
      <c r="K180" s="449">
        <f t="shared" si="52"/>
        <v>0</v>
      </c>
      <c r="L180" s="449">
        <f t="shared" si="52"/>
        <v>0</v>
      </c>
      <c r="M180" s="449">
        <f t="shared" si="52"/>
        <v>0</v>
      </c>
      <c r="N180" s="449">
        <f t="shared" si="52"/>
        <v>0</v>
      </c>
      <c r="O180" s="448">
        <f t="shared" si="47"/>
        <v>102013.57</v>
      </c>
    </row>
    <row r="181" spans="1:15" s="16" customFormat="1" x14ac:dyDescent="0.3">
      <c r="A181" s="17" t="s">
        <v>205</v>
      </c>
      <c r="B181" s="21">
        <f t="shared" si="50"/>
        <v>0</v>
      </c>
      <c r="C181" s="18"/>
      <c r="D181" s="18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6">
        <f t="shared" si="47"/>
        <v>0</v>
      </c>
    </row>
    <row r="182" spans="1:15" s="16" customFormat="1" x14ac:dyDescent="0.3">
      <c r="A182" s="17" t="s">
        <v>206</v>
      </c>
      <c r="B182" s="21">
        <f t="shared" ref="B182:B190" si="53">SUM(C182:N182)</f>
        <v>14957.32</v>
      </c>
      <c r="C182" s="18">
        <v>7478.66</v>
      </c>
      <c r="D182" s="18"/>
      <c r="E182" s="19"/>
      <c r="F182" s="19">
        <v>7478.66</v>
      </c>
      <c r="G182" s="19"/>
      <c r="H182" s="19"/>
      <c r="I182" s="19"/>
      <c r="J182" s="19"/>
      <c r="K182" s="19"/>
      <c r="L182" s="19"/>
      <c r="M182" s="19"/>
      <c r="N182" s="19"/>
      <c r="O182" s="16">
        <f t="shared" si="47"/>
        <v>14957.32</v>
      </c>
    </row>
    <row r="183" spans="1:15" s="16" customFormat="1" x14ac:dyDescent="0.3">
      <c r="A183" s="17" t="s">
        <v>208</v>
      </c>
      <c r="B183" s="21">
        <f t="shared" si="53"/>
        <v>399.99</v>
      </c>
      <c r="C183" s="18"/>
      <c r="D183" s="18"/>
      <c r="E183" s="19"/>
      <c r="F183" s="19"/>
      <c r="G183" s="19">
        <v>399.99</v>
      </c>
      <c r="H183" s="19"/>
      <c r="I183" s="19"/>
      <c r="J183" s="19"/>
      <c r="K183" s="19"/>
      <c r="L183" s="19"/>
      <c r="M183" s="19"/>
      <c r="N183" s="19"/>
      <c r="O183" s="16">
        <f t="shared" si="47"/>
        <v>399.99</v>
      </c>
    </row>
    <row r="184" spans="1:15" s="16" customFormat="1" x14ac:dyDescent="0.3">
      <c r="A184" s="17" t="s">
        <v>209</v>
      </c>
      <c r="B184" s="21">
        <f t="shared" si="53"/>
        <v>0</v>
      </c>
      <c r="C184" s="18"/>
      <c r="D184" s="1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6">
        <f t="shared" si="47"/>
        <v>0</v>
      </c>
    </row>
    <row r="185" spans="1:15" s="16" customFormat="1" x14ac:dyDescent="0.3">
      <c r="A185" s="17" t="s">
        <v>302</v>
      </c>
      <c r="B185" s="21">
        <f t="shared" si="53"/>
        <v>59362.61</v>
      </c>
      <c r="C185" s="18">
        <f>2357.38+1494.48+1933.48+3699.19+192.08+110</f>
        <v>9786.61</v>
      </c>
      <c r="D185" s="18">
        <f>2357.38+790.3+1949.17+1508.19+1461.39+3824.97+192.08+110</f>
        <v>12193.480000000001</v>
      </c>
      <c r="E185" s="19">
        <f>2781.61+1658.27+2205.35+906.81+192.08+110+4294.68</f>
        <v>12148.8</v>
      </c>
      <c r="F185" s="19">
        <f>192.08+4294.68+906.81+2781.61+1456.6+1901.63</f>
        <v>11533.41</v>
      </c>
      <c r="G185" s="19">
        <f>4294.68+906.81+2781.61+1809.72+1438.88+192.08+110+2166.53</f>
        <v>13700.310000000001</v>
      </c>
      <c r="H185" s="19"/>
      <c r="I185" s="19"/>
      <c r="J185" s="19"/>
      <c r="K185" s="19"/>
      <c r="L185" s="19"/>
      <c r="M185" s="19"/>
      <c r="N185" s="19"/>
      <c r="O185" s="16">
        <f t="shared" si="47"/>
        <v>59362.61</v>
      </c>
    </row>
    <row r="186" spans="1:15" s="16" customFormat="1" x14ac:dyDescent="0.3">
      <c r="A186" s="17" t="s">
        <v>211</v>
      </c>
      <c r="B186" s="21">
        <f t="shared" si="53"/>
        <v>0</v>
      </c>
      <c r="C186" s="18"/>
      <c r="D186" s="1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6">
        <f t="shared" si="47"/>
        <v>0</v>
      </c>
    </row>
    <row r="187" spans="1:15" x14ac:dyDescent="0.3">
      <c r="A187" s="17" t="s">
        <v>303</v>
      </c>
      <c r="B187" s="21">
        <f t="shared" si="53"/>
        <v>0</v>
      </c>
      <c r="C187" s="18"/>
      <c r="D187" s="18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6">
        <f t="shared" si="47"/>
        <v>0</v>
      </c>
    </row>
    <row r="188" spans="1:15" x14ac:dyDescent="0.3">
      <c r="A188" s="17" t="s">
        <v>212</v>
      </c>
      <c r="B188" s="21">
        <f t="shared" si="53"/>
        <v>10163.73</v>
      </c>
      <c r="C188" s="18">
        <f>2003.73</f>
        <v>2003.73</v>
      </c>
      <c r="D188" s="18">
        <f>2040</f>
        <v>2040</v>
      </c>
      <c r="E188" s="19">
        <f>2040</f>
        <v>2040</v>
      </c>
      <c r="F188" s="19">
        <v>2040</v>
      </c>
      <c r="G188" s="19">
        <v>2040</v>
      </c>
      <c r="H188" s="19"/>
      <c r="I188" s="19"/>
      <c r="J188" s="19"/>
      <c r="K188" s="19"/>
      <c r="L188" s="19"/>
      <c r="M188" s="19"/>
      <c r="N188" s="19"/>
      <c r="O188" s="16">
        <f t="shared" si="47"/>
        <v>10163.73</v>
      </c>
    </row>
    <row r="189" spans="1:15" s="16" customFormat="1" x14ac:dyDescent="0.3">
      <c r="A189" s="17" t="s">
        <v>304</v>
      </c>
      <c r="B189" s="21">
        <f t="shared" si="53"/>
        <v>15058.550000000001</v>
      </c>
      <c r="C189" s="18">
        <f>2917.77</f>
        <v>2917.77</v>
      </c>
      <c r="D189" s="18">
        <f>469.7+2917.77</f>
        <v>3387.47</v>
      </c>
      <c r="E189" s="19">
        <f>2917.77</f>
        <v>2917.77</v>
      </c>
      <c r="F189" s="19">
        <v>2917.77</v>
      </c>
      <c r="G189" s="19">
        <v>2917.77</v>
      </c>
      <c r="H189" s="19"/>
      <c r="I189" s="19"/>
      <c r="J189" s="19"/>
      <c r="K189" s="19"/>
      <c r="L189" s="19"/>
      <c r="M189" s="19"/>
      <c r="N189" s="19"/>
      <c r="O189" s="16">
        <f t="shared" ref="O189:O196" si="54">C189+D189+E189+F189+G189+H189+I189+J189+K189+L189+M189+N189</f>
        <v>15058.550000000001</v>
      </c>
    </row>
    <row r="190" spans="1:15" s="16" customFormat="1" x14ac:dyDescent="0.3">
      <c r="A190" s="17" t="s">
        <v>215</v>
      </c>
      <c r="B190" s="21">
        <f t="shared" si="53"/>
        <v>2071.37</v>
      </c>
      <c r="C190" s="18"/>
      <c r="D190" s="18"/>
      <c r="E190" s="19"/>
      <c r="F190" s="19">
        <f>904.68+262.01</f>
        <v>1166.69</v>
      </c>
      <c r="G190" s="19">
        <v>904.68</v>
      </c>
      <c r="H190" s="19"/>
      <c r="I190" s="19"/>
      <c r="J190" s="19"/>
      <c r="K190" s="19"/>
      <c r="L190" s="19"/>
      <c r="M190" s="19"/>
      <c r="N190" s="19"/>
      <c r="O190" s="16">
        <f t="shared" si="54"/>
        <v>2071.37</v>
      </c>
    </row>
    <row r="191" spans="1:15" s="448" customFormat="1" x14ac:dyDescent="0.3">
      <c r="A191" s="446" t="s">
        <v>216</v>
      </c>
      <c r="B191" s="449">
        <f>SUM(C191:N191)</f>
        <v>272810.18</v>
      </c>
      <c r="C191" s="450">
        <f>SUM(C192:C195)</f>
        <v>164477.34</v>
      </c>
      <c r="D191" s="450">
        <f t="shared" ref="D191:N191" si="55">SUM(D192:D195)</f>
        <v>101705.84</v>
      </c>
      <c r="E191" s="450">
        <f t="shared" si="55"/>
        <v>6627</v>
      </c>
      <c r="F191" s="450">
        <f>SUM(F192:F195)</f>
        <v>0</v>
      </c>
      <c r="G191" s="450">
        <f>SUM(G192:G195)</f>
        <v>0</v>
      </c>
      <c r="H191" s="450">
        <f t="shared" si="55"/>
        <v>0</v>
      </c>
      <c r="I191" s="450">
        <f t="shared" si="55"/>
        <v>0</v>
      </c>
      <c r="J191" s="450">
        <f t="shared" si="55"/>
        <v>0</v>
      </c>
      <c r="K191" s="450">
        <f t="shared" si="55"/>
        <v>0</v>
      </c>
      <c r="L191" s="450">
        <f t="shared" si="55"/>
        <v>0</v>
      </c>
      <c r="M191" s="450">
        <f t="shared" si="55"/>
        <v>0</v>
      </c>
      <c r="N191" s="450">
        <f t="shared" si="55"/>
        <v>0</v>
      </c>
      <c r="O191" s="448">
        <f t="shared" si="54"/>
        <v>272810.18</v>
      </c>
    </row>
    <row r="192" spans="1:15" x14ac:dyDescent="0.3">
      <c r="A192" s="17" t="s">
        <v>217</v>
      </c>
      <c r="B192" s="21">
        <f>SUM(C192:N192)</f>
        <v>101705.84</v>
      </c>
      <c r="C192" s="18"/>
      <c r="D192" s="18">
        <f>94696+7009.84</f>
        <v>101705.84</v>
      </c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6">
        <f t="shared" si="54"/>
        <v>101705.84</v>
      </c>
    </row>
    <row r="193" spans="1:15" s="16" customFormat="1" x14ac:dyDescent="0.3">
      <c r="A193" s="17" t="s">
        <v>218</v>
      </c>
      <c r="B193" s="21">
        <f t="shared" ref="B193:B195" si="56">SUM(C193:N193)</f>
        <v>164477.34</v>
      </c>
      <c r="C193" s="18">
        <f>70790.94+46843.2+46843.2</f>
        <v>164477.34</v>
      </c>
      <c r="D193" s="18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6">
        <f t="shared" si="54"/>
        <v>164477.34</v>
      </c>
    </row>
    <row r="194" spans="1:15" s="16" customFormat="1" x14ac:dyDescent="0.3">
      <c r="A194" s="17" t="s">
        <v>220</v>
      </c>
      <c r="B194" s="21">
        <f t="shared" si="56"/>
        <v>6627</v>
      </c>
      <c r="C194" s="18"/>
      <c r="D194" s="18"/>
      <c r="E194" s="19">
        <v>6627</v>
      </c>
      <c r="F194" s="19"/>
      <c r="G194" s="19"/>
      <c r="H194" s="19"/>
      <c r="I194" s="19"/>
      <c r="J194" s="19"/>
      <c r="K194" s="19"/>
      <c r="L194" s="19"/>
      <c r="M194" s="19"/>
      <c r="N194" s="19"/>
      <c r="O194" s="16">
        <f t="shared" si="54"/>
        <v>6627</v>
      </c>
    </row>
    <row r="195" spans="1:15" s="16" customFormat="1" x14ac:dyDescent="0.3">
      <c r="A195" s="17" t="s">
        <v>221</v>
      </c>
      <c r="B195" s="21">
        <f t="shared" si="56"/>
        <v>0</v>
      </c>
      <c r="C195" s="18"/>
      <c r="D195" s="18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6">
        <f t="shared" si="54"/>
        <v>0</v>
      </c>
    </row>
    <row r="196" spans="1:15" s="16" customFormat="1" x14ac:dyDescent="0.3">
      <c r="A196" s="15" t="s">
        <v>222</v>
      </c>
      <c r="B196" s="20">
        <f>B5+B30+B60+B85+B92+B95+B110+B116+B124+B137+B158+B164+B180+B58+B59+B80+B81+B28+B29</f>
        <v>1560303.3600000003</v>
      </c>
      <c r="C196" s="20">
        <f t="shared" ref="C196:N196" si="57">C5+C30+C60+C85+C92+C95+C110+C116+C124+C137+C158+C164+C180+C28+C29+C58+C59+C80+C81</f>
        <v>311424.09000000008</v>
      </c>
      <c r="D196" s="20">
        <f t="shared" si="57"/>
        <v>313501.13</v>
      </c>
      <c r="E196" s="20">
        <f t="shared" si="57"/>
        <v>300048.30999999994</v>
      </c>
      <c r="F196" s="20">
        <f t="shared" si="57"/>
        <v>319728.93999999994</v>
      </c>
      <c r="G196" s="20">
        <f t="shared" si="57"/>
        <v>315600.8899999999</v>
      </c>
      <c r="H196" s="20">
        <f t="shared" si="57"/>
        <v>0</v>
      </c>
      <c r="I196" s="20">
        <f t="shared" si="57"/>
        <v>0</v>
      </c>
      <c r="J196" s="20">
        <f t="shared" si="57"/>
        <v>0</v>
      </c>
      <c r="K196" s="20">
        <f t="shared" si="57"/>
        <v>0</v>
      </c>
      <c r="L196" s="20">
        <f t="shared" si="57"/>
        <v>0</v>
      </c>
      <c r="M196" s="20">
        <f t="shared" si="57"/>
        <v>0</v>
      </c>
      <c r="N196" s="20">
        <f t="shared" si="57"/>
        <v>0</v>
      </c>
      <c r="O196" s="16">
        <f t="shared" si="54"/>
        <v>1560303.3599999999</v>
      </c>
    </row>
    <row r="197" spans="1:15" x14ac:dyDescent="0.3">
      <c r="A197" s="25"/>
      <c r="B197" s="429">
        <f>B5+B30+B60+B82+B85+B92+B95+B110+B116+B124+B134+B137+B164+B180+B28+B29+B58+B59+B80+B81</f>
        <v>1566389.8</v>
      </c>
      <c r="C197" s="26"/>
      <c r="D197" s="26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16">
        <f>C197+D197+E197+F197+G197+H197+I197+J197+K197+L197+M197</f>
        <v>0</v>
      </c>
    </row>
    <row r="198" spans="1:15" x14ac:dyDescent="0.3">
      <c r="A198" s="2" t="s">
        <v>223</v>
      </c>
      <c r="B198" s="2"/>
      <c r="C198" s="26">
        <f>C85+C92+C95+C110+C116+C124+C137+C158+C164+C180</f>
        <v>100181.41</v>
      </c>
      <c r="D198" s="26">
        <f>D85+D92+D95+D110+D116+D124+D137+D158+D164+D180</f>
        <v>95047.389999999985</v>
      </c>
      <c r="E198" s="26">
        <f t="shared" ref="E198:N198" si="58">E85+E92+E95+E110+E116+E124+E137+E158+E164+E180</f>
        <v>101968.9</v>
      </c>
      <c r="F198" s="26">
        <f t="shared" si="58"/>
        <v>110156.10999999999</v>
      </c>
      <c r="G198" s="26">
        <f t="shared" si="58"/>
        <v>105511.43</v>
      </c>
      <c r="H198" s="26">
        <f t="shared" si="58"/>
        <v>0</v>
      </c>
      <c r="I198" s="26">
        <f t="shared" si="58"/>
        <v>0</v>
      </c>
      <c r="J198" s="26">
        <f t="shared" si="58"/>
        <v>0</v>
      </c>
      <c r="K198" s="26">
        <f t="shared" si="58"/>
        <v>0</v>
      </c>
      <c r="L198" s="26">
        <f t="shared" si="58"/>
        <v>0</v>
      </c>
      <c r="M198" s="26">
        <f t="shared" si="58"/>
        <v>0</v>
      </c>
      <c r="N198" s="26">
        <f t="shared" si="58"/>
        <v>0</v>
      </c>
      <c r="O198" s="16">
        <f>C198+D198+E198+F198+G198+H198+I198+J198+K198+L198+M198+N198</f>
        <v>512865.23999999993</v>
      </c>
    </row>
    <row r="199" spans="1:15" x14ac:dyDescent="0.3">
      <c r="A199" s="2" t="s">
        <v>224</v>
      </c>
      <c r="B199" s="2"/>
      <c r="C199" s="26"/>
      <c r="D199" s="26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16">
        <f>C199+D199+E199+F199+G199+H199+I199+J199+K199+L199+M199</f>
        <v>0</v>
      </c>
    </row>
    <row r="200" spans="1:15" x14ac:dyDescent="0.3">
      <c r="A200" s="2" t="s">
        <v>225</v>
      </c>
      <c r="B200" s="2"/>
      <c r="C200" s="26">
        <f t="shared" ref="C200:H200" si="59">+C168</f>
        <v>175692.06</v>
      </c>
      <c r="D200" s="26">
        <f t="shared" si="59"/>
        <v>9285.1200000000008</v>
      </c>
      <c r="E200" s="26">
        <f t="shared" si="59"/>
        <v>11561.390000000003</v>
      </c>
      <c r="F200" s="26">
        <f t="shared" si="59"/>
        <v>143553.10999999999</v>
      </c>
      <c r="G200" s="26">
        <f t="shared" si="59"/>
        <v>7975.0499999999993</v>
      </c>
      <c r="H200" s="26">
        <f t="shared" si="59"/>
        <v>0</v>
      </c>
      <c r="I200" s="26"/>
      <c r="J200" s="26"/>
      <c r="K200" s="26"/>
      <c r="L200" s="26"/>
      <c r="M200" s="26"/>
      <c r="N200" s="26"/>
      <c r="O200" s="16">
        <f>C200+D200+E200+F200+G200+H200+I200+J200+K200+L200+M200</f>
        <v>348066.73</v>
      </c>
    </row>
    <row r="201" spans="1:15" x14ac:dyDescent="0.3">
      <c r="A201" s="2" t="s">
        <v>226</v>
      </c>
      <c r="B201" s="2"/>
      <c r="C201" s="26"/>
      <c r="D201" s="26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16">
        <f>C201+D201+E201+F201+G201+H201+I201+J201+K201+L201+M201</f>
        <v>0</v>
      </c>
    </row>
    <row r="202" spans="1:15" x14ac:dyDescent="0.3">
      <c r="O202" s="16">
        <f>C202+D202+E202+F202+G202+H202+I202+J202+K202+L202+M202</f>
        <v>0</v>
      </c>
    </row>
    <row r="203" spans="1:15" x14ac:dyDescent="0.3">
      <c r="A203" s="28" t="s">
        <v>227</v>
      </c>
      <c r="B203" s="28" t="s">
        <v>228</v>
      </c>
      <c r="C203" s="27">
        <f t="shared" ref="C203:N203" si="60">C204+C205+C206</f>
        <v>3077.9</v>
      </c>
      <c r="D203" s="27">
        <f t="shared" si="60"/>
        <v>8059.0800000000008</v>
      </c>
      <c r="E203" s="27">
        <f t="shared" si="60"/>
        <v>8204.2200000000012</v>
      </c>
      <c r="F203" s="27">
        <f t="shared" si="60"/>
        <v>8946.93</v>
      </c>
      <c r="G203" s="27">
        <f t="shared" si="60"/>
        <v>5780.7800000000007</v>
      </c>
      <c r="H203" s="27">
        <f t="shared" si="60"/>
        <v>0</v>
      </c>
      <c r="I203" s="27">
        <f t="shared" si="60"/>
        <v>0</v>
      </c>
      <c r="J203" s="27">
        <f t="shared" si="60"/>
        <v>0</v>
      </c>
      <c r="K203" s="27">
        <f t="shared" si="60"/>
        <v>0</v>
      </c>
      <c r="L203" s="27">
        <f t="shared" si="60"/>
        <v>0</v>
      </c>
      <c r="M203" s="27">
        <f t="shared" si="60"/>
        <v>0</v>
      </c>
      <c r="N203" s="27">
        <f t="shared" si="60"/>
        <v>0</v>
      </c>
      <c r="O203" s="16">
        <f t="shared" ref="O203:O208" si="61">C203+D203+E203+F203+G203+H203+I203+J203+K203+L203+M203+N203</f>
        <v>34068.910000000003</v>
      </c>
    </row>
    <row r="204" spans="1:15" x14ac:dyDescent="0.3">
      <c r="A204" s="37" t="s">
        <v>229</v>
      </c>
      <c r="B204" s="37">
        <f>SUM(C204:N204)</f>
        <v>11996.265000000001</v>
      </c>
      <c r="C204" s="37">
        <f>C125+C129+C140+C144+C148+C152+C156+C160</f>
        <v>1060.095</v>
      </c>
      <c r="D204" s="37">
        <f t="shared" ref="D204:N204" si="62">D125+D129+D140+D144+D148+D152+D156+D160</f>
        <v>2129.3183333333336</v>
      </c>
      <c r="E204" s="37">
        <f t="shared" si="62"/>
        <v>2346.7183333333337</v>
      </c>
      <c r="F204" s="37">
        <f t="shared" si="62"/>
        <v>4183.9183333333331</v>
      </c>
      <c r="G204" s="37">
        <f t="shared" si="62"/>
        <v>2276.2150000000001</v>
      </c>
      <c r="H204" s="37">
        <f t="shared" si="62"/>
        <v>0</v>
      </c>
      <c r="I204" s="37">
        <f t="shared" si="62"/>
        <v>0</v>
      </c>
      <c r="J204" s="37">
        <f t="shared" si="62"/>
        <v>0</v>
      </c>
      <c r="K204" s="37">
        <f t="shared" si="62"/>
        <v>0</v>
      </c>
      <c r="L204" s="37">
        <f t="shared" si="62"/>
        <v>0</v>
      </c>
      <c r="M204" s="37">
        <f t="shared" si="62"/>
        <v>0</v>
      </c>
      <c r="N204" s="37">
        <f t="shared" si="62"/>
        <v>0</v>
      </c>
      <c r="O204" s="16">
        <f t="shared" si="61"/>
        <v>11996.265000000001</v>
      </c>
    </row>
    <row r="205" spans="1:15" x14ac:dyDescent="0.3">
      <c r="A205" s="38" t="s">
        <v>230</v>
      </c>
      <c r="B205" s="37">
        <f t="shared" ref="B205:B206" si="63">SUM(C205:N205)</f>
        <v>11726.605000000003</v>
      </c>
      <c r="C205" s="38">
        <f t="shared" ref="C205:N205" si="64">C126+C130+C141+C145+C149+C153++C157++C161</f>
        <v>1871.8050000000001</v>
      </c>
      <c r="D205" s="38">
        <f t="shared" si="64"/>
        <v>3296.0683333333336</v>
      </c>
      <c r="E205" s="38">
        <f t="shared" si="64"/>
        <v>2129.3183333333336</v>
      </c>
      <c r="F205" s="38">
        <f t="shared" si="64"/>
        <v>2129.3183333333336</v>
      </c>
      <c r="G205" s="38">
        <f t="shared" si="64"/>
        <v>2300.0950000000003</v>
      </c>
      <c r="H205" s="38">
        <f t="shared" si="64"/>
        <v>0</v>
      </c>
      <c r="I205" s="38">
        <f t="shared" si="64"/>
        <v>0</v>
      </c>
      <c r="J205" s="38">
        <f t="shared" si="64"/>
        <v>0</v>
      </c>
      <c r="K205" s="38">
        <f t="shared" si="64"/>
        <v>0</v>
      </c>
      <c r="L205" s="38">
        <f t="shared" si="64"/>
        <v>0</v>
      </c>
      <c r="M205" s="38">
        <f t="shared" si="64"/>
        <v>0</v>
      </c>
      <c r="N205" s="38">
        <f t="shared" si="64"/>
        <v>0</v>
      </c>
      <c r="O205" s="16">
        <f t="shared" si="61"/>
        <v>11726.605000000003</v>
      </c>
    </row>
    <row r="206" spans="1:15" x14ac:dyDescent="0.3">
      <c r="A206" s="43" t="s">
        <v>231</v>
      </c>
      <c r="B206" s="37">
        <f t="shared" si="63"/>
        <v>10346.039999999999</v>
      </c>
      <c r="C206" s="43">
        <f t="shared" ref="C206:N206" si="65">C127+C131+C139+C143+C147+C151+C155+C159</f>
        <v>146</v>
      </c>
      <c r="D206" s="43">
        <f t="shared" si="65"/>
        <v>2633.6933333333336</v>
      </c>
      <c r="E206" s="43">
        <f t="shared" si="65"/>
        <v>3728.1833333333334</v>
      </c>
      <c r="F206" s="43">
        <f t="shared" si="65"/>
        <v>2633.6933333333336</v>
      </c>
      <c r="G206" s="43">
        <f>G127+G131+G139+G143+G147+G151+G155+G159</f>
        <v>1204.47</v>
      </c>
      <c r="H206" s="43">
        <f t="shared" si="65"/>
        <v>0</v>
      </c>
      <c r="I206" s="43">
        <f t="shared" si="65"/>
        <v>0</v>
      </c>
      <c r="J206" s="43">
        <f t="shared" si="65"/>
        <v>0</v>
      </c>
      <c r="K206" s="43">
        <f t="shared" si="65"/>
        <v>0</v>
      </c>
      <c r="L206" s="43">
        <f t="shared" si="65"/>
        <v>0</v>
      </c>
      <c r="M206" s="43">
        <f t="shared" si="65"/>
        <v>0</v>
      </c>
      <c r="N206" s="43">
        <f t="shared" si="65"/>
        <v>0</v>
      </c>
      <c r="O206" s="16">
        <f t="shared" si="61"/>
        <v>10346.039999999999</v>
      </c>
    </row>
    <row r="207" spans="1:15" s="520" customFormat="1" x14ac:dyDescent="0.3">
      <c r="A207" s="519" t="s">
        <v>232</v>
      </c>
      <c r="B207" s="519"/>
      <c r="C207" s="519">
        <f>C198-C203</f>
        <v>97103.510000000009</v>
      </c>
      <c r="D207" s="519">
        <f>D198-D203</f>
        <v>86988.309999999983</v>
      </c>
      <c r="E207" s="519">
        <f t="shared" ref="E207:N207" si="66">E198-E203</f>
        <v>93764.68</v>
      </c>
      <c r="F207" s="519">
        <f t="shared" si="66"/>
        <v>101209.18</v>
      </c>
      <c r="G207" s="519">
        <f t="shared" si="66"/>
        <v>99730.65</v>
      </c>
      <c r="H207" s="519">
        <f t="shared" si="66"/>
        <v>0</v>
      </c>
      <c r="I207" s="519">
        <f t="shared" si="66"/>
        <v>0</v>
      </c>
      <c r="J207" s="519">
        <f t="shared" si="66"/>
        <v>0</v>
      </c>
      <c r="K207" s="519">
        <f t="shared" si="66"/>
        <v>0</v>
      </c>
      <c r="L207" s="519">
        <f t="shared" si="66"/>
        <v>0</v>
      </c>
      <c r="M207" s="519">
        <f t="shared" si="66"/>
        <v>0</v>
      </c>
      <c r="N207" s="519">
        <f t="shared" si="66"/>
        <v>0</v>
      </c>
      <c r="O207" s="519">
        <f t="shared" si="61"/>
        <v>478796.32999999996</v>
      </c>
    </row>
    <row r="208" spans="1:15" x14ac:dyDescent="0.3">
      <c r="A208" s="28" t="s">
        <v>245</v>
      </c>
      <c r="B208" s="28"/>
      <c r="C208" s="26"/>
      <c r="D208" s="26"/>
      <c r="E208" s="27"/>
      <c r="F208" s="27"/>
      <c r="G208" s="27"/>
      <c r="H208" s="27"/>
      <c r="I208" s="27">
        <f t="shared" ref="I208:N208" si="67">I198-I204-I205-I206</f>
        <v>0</v>
      </c>
      <c r="J208" s="27">
        <f t="shared" si="67"/>
        <v>0</v>
      </c>
      <c r="K208" s="27">
        <f t="shared" si="67"/>
        <v>0</v>
      </c>
      <c r="L208" s="27">
        <f t="shared" si="67"/>
        <v>0</v>
      </c>
      <c r="M208" s="27">
        <f t="shared" si="67"/>
        <v>0</v>
      </c>
      <c r="N208" s="27">
        <f t="shared" si="67"/>
        <v>0</v>
      </c>
      <c r="O208" s="16">
        <f t="shared" si="61"/>
        <v>0</v>
      </c>
    </row>
    <row r="209" spans="1:15" x14ac:dyDescent="0.3">
      <c r="A209" s="16" t="s">
        <v>229</v>
      </c>
      <c r="B209" s="16"/>
      <c r="C209" s="26">
        <f>C5</f>
        <v>73576.315000000002</v>
      </c>
      <c r="D209" s="26">
        <f>D5</f>
        <v>76342.345000000001</v>
      </c>
      <c r="E209" s="26">
        <f>E5</f>
        <v>72845.494999999995</v>
      </c>
      <c r="F209" s="26">
        <f>F5</f>
        <v>75374.054999999993</v>
      </c>
      <c r="G209" s="27"/>
      <c r="H209" s="27"/>
      <c r="I209" s="27"/>
      <c r="J209" s="27"/>
      <c r="K209" s="27"/>
      <c r="L209" s="27"/>
      <c r="M209" s="27"/>
      <c r="N209" s="27"/>
      <c r="O209" s="16">
        <f t="shared" ref="O209:O240" si="68">C209+D209+E209+F209+G209+H209+I209+J209+K209+L209+M209</f>
        <v>298138.20999999996</v>
      </c>
    </row>
    <row r="210" spans="1:15" x14ac:dyDescent="0.3">
      <c r="A210" s="16" t="s">
        <v>230</v>
      </c>
      <c r="B210" s="16"/>
      <c r="C210" s="26">
        <f>C30</f>
        <v>75653.194999999992</v>
      </c>
      <c r="D210" s="26">
        <f>D30</f>
        <v>78817.054999999993</v>
      </c>
      <c r="E210" s="26">
        <f>E30</f>
        <v>76049.974999999991</v>
      </c>
      <c r="F210" s="26">
        <f>F30</f>
        <v>79160.084999999992</v>
      </c>
      <c r="G210" s="27"/>
      <c r="H210" s="27"/>
      <c r="I210" s="27"/>
      <c r="J210" s="27"/>
      <c r="K210" s="27"/>
      <c r="L210" s="27"/>
      <c r="M210" s="27"/>
      <c r="N210" s="27"/>
      <c r="O210" s="16">
        <f t="shared" si="68"/>
        <v>309680.30999999994</v>
      </c>
    </row>
    <row r="211" spans="1:15" x14ac:dyDescent="0.3">
      <c r="A211" s="16" t="s">
        <v>231</v>
      </c>
      <c r="B211" s="16"/>
      <c r="C211" s="26">
        <f>C60</f>
        <v>62013.17</v>
      </c>
      <c r="D211" s="26">
        <f>D60</f>
        <v>61794.340000000004</v>
      </c>
      <c r="E211" s="26">
        <f>E60</f>
        <v>49183.94</v>
      </c>
      <c r="F211" s="26">
        <f>F60</f>
        <v>55038.69</v>
      </c>
      <c r="G211" s="27"/>
      <c r="H211" s="27"/>
      <c r="I211" s="27"/>
      <c r="J211" s="27"/>
      <c r="K211" s="27"/>
      <c r="L211" s="27"/>
      <c r="M211" s="27"/>
      <c r="N211" s="27"/>
      <c r="O211" s="16">
        <f t="shared" si="68"/>
        <v>228030.14</v>
      </c>
    </row>
    <row r="212" spans="1:15" x14ac:dyDescent="0.3">
      <c r="C212" s="26">
        <f>SUM(C209:C211)</f>
        <v>211242.68</v>
      </c>
      <c r="D212" s="26">
        <f>SUM(D209:D211)</f>
        <v>216953.74</v>
      </c>
      <c r="E212" s="26">
        <f>SUM(E209:E211)</f>
        <v>198079.40999999997</v>
      </c>
      <c r="F212" s="26">
        <f>SUM(F209:F211)</f>
        <v>209572.83</v>
      </c>
      <c r="G212" s="27"/>
      <c r="H212" s="27"/>
      <c r="I212" s="27"/>
      <c r="J212" s="27"/>
      <c r="K212" s="27"/>
      <c r="L212" s="27"/>
      <c r="M212" s="27"/>
      <c r="N212" s="27"/>
      <c r="O212" s="16">
        <f t="shared" si="68"/>
        <v>835848.65999999992</v>
      </c>
    </row>
    <row r="213" spans="1:15" x14ac:dyDescent="0.3">
      <c r="A213" s="16" t="s">
        <v>305</v>
      </c>
      <c r="C213" s="26">
        <f>C28+C29+C58+C59+C80+C81</f>
        <v>0</v>
      </c>
      <c r="D213" s="26">
        <f>D28+D29+D58+D59+D80+D81</f>
        <v>1500</v>
      </c>
      <c r="E213" s="26">
        <f>E28+E29+E58+E59+E80+E81</f>
        <v>0</v>
      </c>
      <c r="F213" s="26">
        <f>F28+F29+F58+F59+F80+F81</f>
        <v>0</v>
      </c>
      <c r="G213" s="27"/>
      <c r="H213" s="27"/>
      <c r="I213" s="27"/>
      <c r="J213" s="27"/>
      <c r="K213" s="27"/>
      <c r="L213" s="27"/>
      <c r="M213" s="27"/>
      <c r="N213" s="27"/>
      <c r="O213" s="16">
        <f t="shared" si="68"/>
        <v>1500</v>
      </c>
    </row>
    <row r="214" spans="1:15" x14ac:dyDescent="0.3">
      <c r="A214" s="515" t="s">
        <v>306</v>
      </c>
      <c r="B214" s="516"/>
      <c r="C214" s="517">
        <f>C198+C212+C213</f>
        <v>311424.08999999997</v>
      </c>
      <c r="D214" s="517">
        <f>D198+D212+D213</f>
        <v>313501.13</v>
      </c>
      <c r="E214" s="517">
        <f>E198+E212+E213</f>
        <v>300048.30999999994</v>
      </c>
      <c r="F214" s="517">
        <f>F198+F212+F213</f>
        <v>319728.93999999994</v>
      </c>
      <c r="G214" s="27"/>
      <c r="H214" s="27"/>
      <c r="I214" s="27"/>
      <c r="J214" s="27"/>
      <c r="K214" s="27"/>
      <c r="L214" s="27"/>
      <c r="M214" s="27"/>
      <c r="N214" s="27"/>
      <c r="O214" s="16">
        <f t="shared" si="68"/>
        <v>1244702.4699999997</v>
      </c>
    </row>
    <row r="215" spans="1:15" x14ac:dyDescent="0.3">
      <c r="A215" s="516"/>
      <c r="B215" s="516"/>
      <c r="C215" s="517">
        <f>C196-C214</f>
        <v>0</v>
      </c>
      <c r="D215" s="517">
        <f>D196-D214</f>
        <v>0</v>
      </c>
      <c r="E215" s="517">
        <f>E196-E214</f>
        <v>0</v>
      </c>
      <c r="F215" s="517">
        <f>F196-F214</f>
        <v>0</v>
      </c>
      <c r="G215" s="26">
        <f>G196+G168+G204+G205+G206+G82</f>
        <v>329412.31999999983</v>
      </c>
      <c r="H215" s="26"/>
      <c r="I215" s="26"/>
      <c r="J215" s="26"/>
      <c r="K215" s="26"/>
      <c r="L215" s="26"/>
      <c r="M215" s="26"/>
      <c r="N215" s="26"/>
      <c r="O215" s="16">
        <f t="shared" si="68"/>
        <v>329412.31999999983</v>
      </c>
    </row>
    <row r="216" spans="1:15" x14ac:dyDescent="0.3">
      <c r="O216" s="16">
        <f t="shared" si="68"/>
        <v>0</v>
      </c>
    </row>
    <row r="217" spans="1:15" x14ac:dyDescent="0.3">
      <c r="O217" s="16">
        <f t="shared" si="68"/>
        <v>0</v>
      </c>
    </row>
    <row r="218" spans="1:15" customFormat="1" x14ac:dyDescent="0.3">
      <c r="O218" s="16">
        <f t="shared" si="68"/>
        <v>0</v>
      </c>
    </row>
    <row r="219" spans="1:15" customFormat="1" x14ac:dyDescent="0.3">
      <c r="O219" s="16">
        <f t="shared" si="68"/>
        <v>0</v>
      </c>
    </row>
    <row r="220" spans="1:15" customFormat="1" x14ac:dyDescent="0.3">
      <c r="O220" s="16">
        <f t="shared" si="68"/>
        <v>0</v>
      </c>
    </row>
    <row r="221" spans="1:15" customFormat="1" x14ac:dyDescent="0.3">
      <c r="O221" s="16">
        <f t="shared" si="68"/>
        <v>0</v>
      </c>
    </row>
    <row r="222" spans="1:15" customFormat="1" x14ac:dyDescent="0.3">
      <c r="O222" s="16">
        <f t="shared" si="68"/>
        <v>0</v>
      </c>
    </row>
    <row r="223" spans="1:15" customFormat="1" x14ac:dyDescent="0.3">
      <c r="O223" s="16">
        <f t="shared" si="68"/>
        <v>0</v>
      </c>
    </row>
    <row r="224" spans="1:15" customFormat="1" x14ac:dyDescent="0.3">
      <c r="O224" s="16">
        <f t="shared" si="68"/>
        <v>0</v>
      </c>
    </row>
    <row r="225" spans="15:15" customFormat="1" x14ac:dyDescent="0.3">
      <c r="O225" s="16">
        <f t="shared" si="68"/>
        <v>0</v>
      </c>
    </row>
    <row r="226" spans="15:15" customFormat="1" x14ac:dyDescent="0.3">
      <c r="O226" s="16">
        <f t="shared" si="68"/>
        <v>0</v>
      </c>
    </row>
    <row r="227" spans="15:15" customFormat="1" x14ac:dyDescent="0.3">
      <c r="O227" s="16">
        <f t="shared" si="68"/>
        <v>0</v>
      </c>
    </row>
    <row r="228" spans="15:15" customFormat="1" x14ac:dyDescent="0.3">
      <c r="O228" s="16">
        <f t="shared" si="68"/>
        <v>0</v>
      </c>
    </row>
    <row r="229" spans="15:15" customFormat="1" x14ac:dyDescent="0.3">
      <c r="O229" s="16">
        <f t="shared" si="68"/>
        <v>0</v>
      </c>
    </row>
    <row r="230" spans="15:15" customFormat="1" x14ac:dyDescent="0.3">
      <c r="O230" s="16">
        <f t="shared" si="68"/>
        <v>0</v>
      </c>
    </row>
    <row r="231" spans="15:15" customFormat="1" x14ac:dyDescent="0.3">
      <c r="O231" s="16">
        <f t="shared" si="68"/>
        <v>0</v>
      </c>
    </row>
    <row r="232" spans="15:15" customFormat="1" x14ac:dyDescent="0.3">
      <c r="O232" s="16">
        <f t="shared" si="68"/>
        <v>0</v>
      </c>
    </row>
    <row r="233" spans="15:15" customFormat="1" x14ac:dyDescent="0.3">
      <c r="O233" s="16">
        <f t="shared" si="68"/>
        <v>0</v>
      </c>
    </row>
    <row r="234" spans="15:15" customFormat="1" x14ac:dyDescent="0.3">
      <c r="O234" s="16">
        <f t="shared" si="68"/>
        <v>0</v>
      </c>
    </row>
    <row r="235" spans="15:15" customFormat="1" x14ac:dyDescent="0.3">
      <c r="O235" s="16">
        <f t="shared" si="68"/>
        <v>0</v>
      </c>
    </row>
    <row r="236" spans="15:15" customFormat="1" x14ac:dyDescent="0.3">
      <c r="O236" s="16">
        <f t="shared" si="68"/>
        <v>0</v>
      </c>
    </row>
    <row r="237" spans="15:15" customFormat="1" x14ac:dyDescent="0.3">
      <c r="O237" s="16">
        <f t="shared" si="68"/>
        <v>0</v>
      </c>
    </row>
    <row r="238" spans="15:15" customFormat="1" x14ac:dyDescent="0.3">
      <c r="O238" s="16">
        <f t="shared" si="68"/>
        <v>0</v>
      </c>
    </row>
    <row r="239" spans="15:15" customFormat="1" x14ac:dyDescent="0.3">
      <c r="O239" s="16">
        <f t="shared" si="68"/>
        <v>0</v>
      </c>
    </row>
    <row r="240" spans="15:15" customFormat="1" x14ac:dyDescent="0.3">
      <c r="O240" s="16">
        <f t="shared" si="68"/>
        <v>0</v>
      </c>
    </row>
    <row r="241" spans="15:15" customFormat="1" x14ac:dyDescent="0.3">
      <c r="O241" s="16">
        <f t="shared" ref="O241:O272" si="69">C241+D241+E241+F241+G241+H241+I241+J241+K241+L241+M241</f>
        <v>0</v>
      </c>
    </row>
    <row r="242" spans="15:15" customFormat="1" x14ac:dyDescent="0.3">
      <c r="O242" s="16">
        <f t="shared" si="69"/>
        <v>0</v>
      </c>
    </row>
    <row r="243" spans="15:15" customFormat="1" x14ac:dyDescent="0.3">
      <c r="O243" s="16">
        <f t="shared" si="69"/>
        <v>0</v>
      </c>
    </row>
    <row r="244" spans="15:15" customFormat="1" x14ac:dyDescent="0.3">
      <c r="O244" s="16">
        <f t="shared" si="69"/>
        <v>0</v>
      </c>
    </row>
    <row r="245" spans="15:15" customFormat="1" x14ac:dyDescent="0.3">
      <c r="O245" s="16">
        <f t="shared" si="69"/>
        <v>0</v>
      </c>
    </row>
    <row r="246" spans="15:15" customFormat="1" x14ac:dyDescent="0.3">
      <c r="O246" s="16">
        <f t="shared" si="69"/>
        <v>0</v>
      </c>
    </row>
    <row r="247" spans="15:15" customFormat="1" x14ac:dyDescent="0.3">
      <c r="O247" s="16">
        <f t="shared" si="69"/>
        <v>0</v>
      </c>
    </row>
    <row r="248" spans="15:15" customFormat="1" x14ac:dyDescent="0.3">
      <c r="O248" s="16">
        <f t="shared" si="69"/>
        <v>0</v>
      </c>
    </row>
    <row r="249" spans="15:15" customFormat="1" x14ac:dyDescent="0.3">
      <c r="O249" s="16">
        <f t="shared" si="69"/>
        <v>0</v>
      </c>
    </row>
    <row r="250" spans="15:15" customFormat="1" x14ac:dyDescent="0.3">
      <c r="O250" s="16">
        <f t="shared" si="69"/>
        <v>0</v>
      </c>
    </row>
    <row r="251" spans="15:15" customFormat="1" x14ac:dyDescent="0.3">
      <c r="O251" s="16">
        <f t="shared" si="69"/>
        <v>0</v>
      </c>
    </row>
    <row r="252" spans="15:15" customFormat="1" x14ac:dyDescent="0.3">
      <c r="O252" s="16">
        <f t="shared" si="69"/>
        <v>0</v>
      </c>
    </row>
    <row r="253" spans="15:15" customFormat="1" x14ac:dyDescent="0.3">
      <c r="O253" s="16">
        <f t="shared" si="69"/>
        <v>0</v>
      </c>
    </row>
    <row r="254" spans="15:15" customFormat="1" x14ac:dyDescent="0.3">
      <c r="O254" s="16">
        <f t="shared" si="69"/>
        <v>0</v>
      </c>
    </row>
    <row r="255" spans="15:15" customFormat="1" x14ac:dyDescent="0.3">
      <c r="O255" s="16">
        <f t="shared" si="69"/>
        <v>0</v>
      </c>
    </row>
    <row r="256" spans="15:15" customFormat="1" x14ac:dyDescent="0.3">
      <c r="O256" s="16">
        <f t="shared" si="69"/>
        <v>0</v>
      </c>
    </row>
    <row r="257" spans="15:15" customFormat="1" x14ac:dyDescent="0.3">
      <c r="O257" s="16">
        <f t="shared" si="69"/>
        <v>0</v>
      </c>
    </row>
    <row r="258" spans="15:15" customFormat="1" x14ac:dyDescent="0.3">
      <c r="O258" s="16">
        <f t="shared" si="69"/>
        <v>0</v>
      </c>
    </row>
    <row r="259" spans="15:15" customFormat="1" x14ac:dyDescent="0.3">
      <c r="O259" s="16">
        <f t="shared" si="69"/>
        <v>0</v>
      </c>
    </row>
    <row r="260" spans="15:15" customFormat="1" x14ac:dyDescent="0.3">
      <c r="O260" s="16">
        <f t="shared" si="69"/>
        <v>0</v>
      </c>
    </row>
    <row r="261" spans="15:15" customFormat="1" x14ac:dyDescent="0.3">
      <c r="O261" s="16">
        <f t="shared" si="69"/>
        <v>0</v>
      </c>
    </row>
    <row r="262" spans="15:15" customFormat="1" x14ac:dyDescent="0.3">
      <c r="O262" s="16">
        <f t="shared" si="69"/>
        <v>0</v>
      </c>
    </row>
    <row r="263" spans="15:15" customFormat="1" x14ac:dyDescent="0.3">
      <c r="O263" s="16">
        <f t="shared" si="69"/>
        <v>0</v>
      </c>
    </row>
    <row r="264" spans="15:15" customFormat="1" x14ac:dyDescent="0.3">
      <c r="O264" s="16">
        <f t="shared" si="69"/>
        <v>0</v>
      </c>
    </row>
    <row r="265" spans="15:15" customFormat="1" x14ac:dyDescent="0.3">
      <c r="O265" s="16">
        <f t="shared" si="69"/>
        <v>0</v>
      </c>
    </row>
    <row r="266" spans="15:15" customFormat="1" x14ac:dyDescent="0.3">
      <c r="O266" s="16">
        <f t="shared" si="69"/>
        <v>0</v>
      </c>
    </row>
    <row r="267" spans="15:15" customFormat="1" x14ac:dyDescent="0.3">
      <c r="O267" s="16">
        <f t="shared" si="69"/>
        <v>0</v>
      </c>
    </row>
    <row r="268" spans="15:15" customFormat="1" x14ac:dyDescent="0.3">
      <c r="O268" s="16">
        <f t="shared" si="69"/>
        <v>0</v>
      </c>
    </row>
    <row r="269" spans="15:15" customFormat="1" x14ac:dyDescent="0.3">
      <c r="O269" s="16">
        <f t="shared" si="69"/>
        <v>0</v>
      </c>
    </row>
    <row r="270" spans="15:15" customFormat="1" x14ac:dyDescent="0.3">
      <c r="O270" s="16">
        <f t="shared" si="69"/>
        <v>0</v>
      </c>
    </row>
    <row r="271" spans="15:15" customFormat="1" x14ac:dyDescent="0.3">
      <c r="O271" s="16">
        <f t="shared" si="69"/>
        <v>0</v>
      </c>
    </row>
    <row r="272" spans="15:15" customFormat="1" x14ac:dyDescent="0.3">
      <c r="O272" s="16">
        <f t="shared" si="69"/>
        <v>0</v>
      </c>
    </row>
    <row r="273" spans="15:15" customFormat="1" x14ac:dyDescent="0.3">
      <c r="O273" s="16">
        <f t="shared" ref="O273:O299" si="70">C273+D273+E273+F273+G273+H273+I273+J273+K273+L273+M273</f>
        <v>0</v>
      </c>
    </row>
    <row r="274" spans="15:15" customFormat="1" x14ac:dyDescent="0.3">
      <c r="O274" s="16">
        <f t="shared" si="70"/>
        <v>0</v>
      </c>
    </row>
    <row r="275" spans="15:15" customFormat="1" x14ac:dyDescent="0.3">
      <c r="O275" s="16">
        <f t="shared" si="70"/>
        <v>0</v>
      </c>
    </row>
    <row r="276" spans="15:15" customFormat="1" x14ac:dyDescent="0.3">
      <c r="O276" s="16">
        <f t="shared" si="70"/>
        <v>0</v>
      </c>
    </row>
    <row r="277" spans="15:15" customFormat="1" x14ac:dyDescent="0.3">
      <c r="O277" s="16">
        <f t="shared" si="70"/>
        <v>0</v>
      </c>
    </row>
    <row r="278" spans="15:15" customFormat="1" x14ac:dyDescent="0.3">
      <c r="O278" s="16">
        <f t="shared" si="70"/>
        <v>0</v>
      </c>
    </row>
    <row r="279" spans="15:15" customFormat="1" x14ac:dyDescent="0.3">
      <c r="O279" s="16">
        <f t="shared" si="70"/>
        <v>0</v>
      </c>
    </row>
    <row r="280" spans="15:15" customFormat="1" x14ac:dyDescent="0.3">
      <c r="O280" s="16">
        <f t="shared" si="70"/>
        <v>0</v>
      </c>
    </row>
    <row r="281" spans="15:15" customFormat="1" x14ac:dyDescent="0.3">
      <c r="O281" s="16">
        <f t="shared" si="70"/>
        <v>0</v>
      </c>
    </row>
    <row r="282" spans="15:15" customFormat="1" x14ac:dyDescent="0.3">
      <c r="O282" s="16">
        <f t="shared" si="70"/>
        <v>0</v>
      </c>
    </row>
    <row r="283" spans="15:15" customFormat="1" x14ac:dyDescent="0.3">
      <c r="O283" s="16">
        <f t="shared" si="70"/>
        <v>0</v>
      </c>
    </row>
    <row r="284" spans="15:15" customFormat="1" x14ac:dyDescent="0.3">
      <c r="O284" s="16">
        <f t="shared" si="70"/>
        <v>0</v>
      </c>
    </row>
    <row r="285" spans="15:15" customFormat="1" x14ac:dyDescent="0.3">
      <c r="O285" s="16">
        <f t="shared" si="70"/>
        <v>0</v>
      </c>
    </row>
    <row r="286" spans="15:15" customFormat="1" x14ac:dyDescent="0.3">
      <c r="O286" s="16">
        <f t="shared" si="70"/>
        <v>0</v>
      </c>
    </row>
    <row r="287" spans="15:15" customFormat="1" x14ac:dyDescent="0.3">
      <c r="O287" s="16">
        <f t="shared" si="70"/>
        <v>0</v>
      </c>
    </row>
    <row r="288" spans="15:15" customFormat="1" x14ac:dyDescent="0.3">
      <c r="O288" s="16">
        <f t="shared" si="70"/>
        <v>0</v>
      </c>
    </row>
    <row r="289" spans="15:15" customFormat="1" x14ac:dyDescent="0.3">
      <c r="O289" s="16">
        <f t="shared" si="70"/>
        <v>0</v>
      </c>
    </row>
    <row r="290" spans="15:15" customFormat="1" x14ac:dyDescent="0.3">
      <c r="O290" s="16">
        <f t="shared" si="70"/>
        <v>0</v>
      </c>
    </row>
    <row r="291" spans="15:15" customFormat="1" x14ac:dyDescent="0.3">
      <c r="O291" s="16">
        <f t="shared" si="70"/>
        <v>0</v>
      </c>
    </row>
    <row r="292" spans="15:15" customFormat="1" x14ac:dyDescent="0.3">
      <c r="O292" s="16">
        <f t="shared" si="70"/>
        <v>0</v>
      </c>
    </row>
    <row r="293" spans="15:15" customFormat="1" x14ac:dyDescent="0.3">
      <c r="O293" s="16">
        <f t="shared" si="70"/>
        <v>0</v>
      </c>
    </row>
    <row r="294" spans="15:15" customFormat="1" x14ac:dyDescent="0.3">
      <c r="O294" s="16">
        <f t="shared" si="70"/>
        <v>0</v>
      </c>
    </row>
    <row r="295" spans="15:15" customFormat="1" x14ac:dyDescent="0.3">
      <c r="O295" s="16">
        <f t="shared" si="70"/>
        <v>0</v>
      </c>
    </row>
    <row r="296" spans="15:15" customFormat="1" x14ac:dyDescent="0.3">
      <c r="O296" s="16">
        <f t="shared" si="70"/>
        <v>0</v>
      </c>
    </row>
    <row r="297" spans="15:15" customFormat="1" x14ac:dyDescent="0.3">
      <c r="O297" s="16">
        <f t="shared" si="70"/>
        <v>0</v>
      </c>
    </row>
    <row r="298" spans="15:15" customFormat="1" x14ac:dyDescent="0.3">
      <c r="O298" s="16">
        <f t="shared" si="70"/>
        <v>0</v>
      </c>
    </row>
    <row r="299" spans="15:15" customFormat="1" x14ac:dyDescent="0.3">
      <c r="O299" s="16">
        <f t="shared" si="70"/>
        <v>0</v>
      </c>
    </row>
    <row r="300" spans="15:15" customFormat="1" x14ac:dyDescent="0.3"/>
    <row r="301" spans="15:15" customFormat="1" x14ac:dyDescent="0.3"/>
    <row r="302" spans="15:15" customFormat="1" x14ac:dyDescent="0.3"/>
    <row r="303" spans="15:15" customFormat="1" x14ac:dyDescent="0.3"/>
    <row r="304" spans="15:15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</sheetData>
  <autoFilter ref="A2:O299" xr:uid="{9EC051FC-82AD-4B88-8C95-A8ECCFFEEE4C}"/>
  <sortState xmlns:xlrd2="http://schemas.microsoft.com/office/spreadsheetml/2017/richdata2" ref="A138:O157">
    <sortCondition ref="A138:A157"/>
  </sortState>
  <pageMargins left="0.511811024" right="0.511811024" top="0.78740157499999996" bottom="0.78740157499999996" header="0.31496062000000002" footer="0.31496062000000002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FCA0-14F0-42A8-B4CA-C10038A4A6C2}">
  <sheetPr>
    <tabColor rgb="FFFFC000"/>
  </sheetPr>
  <dimension ref="A1:AD414"/>
  <sheetViews>
    <sheetView showGridLines="0" zoomScaleNormal="100" workbookViewId="0">
      <pane xSplit="1" ySplit="1" topLeftCell="R20" activePane="bottomRight" state="frozen"/>
      <selection pane="topRight" activeCell="B1" sqref="B1"/>
      <selection pane="bottomLeft" activeCell="A2" sqref="A2"/>
      <selection pane="bottomRight" activeCell="X32" sqref="X32"/>
    </sheetView>
  </sheetViews>
  <sheetFormatPr defaultColWidth="9.109375" defaultRowHeight="27.45" customHeight="1" x14ac:dyDescent="0.25"/>
  <cols>
    <col min="1" max="1" width="48.6640625" style="73" bestFit="1" customWidth="1"/>
    <col min="2" max="2" width="11.6640625" style="459" customWidth="1"/>
    <col min="3" max="4" width="16.6640625" style="68" customWidth="1"/>
    <col min="5" max="5" width="16.6640625" style="74" customWidth="1"/>
    <col min="6" max="6" width="16.6640625" style="459" customWidth="1"/>
    <col min="7" max="8" width="16.6640625" style="68" customWidth="1"/>
    <col min="9" max="9" width="16.6640625" style="74" customWidth="1"/>
    <col min="10" max="10" width="16.6640625" style="459" customWidth="1"/>
    <col min="11" max="12" width="16.6640625" style="68" customWidth="1"/>
    <col min="13" max="13" width="16.6640625" style="74" customWidth="1"/>
    <col min="14" max="14" width="16.6640625" style="459" customWidth="1"/>
    <col min="15" max="16" width="16.6640625" style="68" customWidth="1"/>
    <col min="17" max="17" width="16.6640625" style="74" customWidth="1"/>
    <col min="18" max="18" width="16.6640625" style="459" customWidth="1"/>
    <col min="19" max="20" width="16.6640625" style="68" customWidth="1"/>
    <col min="21" max="21" width="16.6640625" style="74" customWidth="1"/>
    <col min="22" max="22" width="16.6640625" style="231" customWidth="1"/>
    <col min="23" max="25" width="16.6640625" style="75" customWidth="1"/>
    <col min="26" max="26" width="16.6640625" style="76" customWidth="1"/>
    <col min="27" max="27" width="16.6640625" style="75" customWidth="1"/>
    <col min="28" max="28" width="10.33203125" style="75" customWidth="1"/>
    <col min="29" max="29" width="14.5546875" style="68" bestFit="1" customWidth="1"/>
    <col min="30" max="30" width="16.109375" style="68" bestFit="1" customWidth="1"/>
    <col min="31" max="16384" width="9.109375" style="68"/>
  </cols>
  <sheetData>
    <row r="1" spans="1:30" s="139" customFormat="1" ht="27.45" customHeight="1" thickBot="1" x14ac:dyDescent="0.35">
      <c r="A1" s="134" t="s">
        <v>307</v>
      </c>
      <c r="B1" s="558" t="s">
        <v>34</v>
      </c>
      <c r="C1" s="558"/>
      <c r="D1" s="558"/>
      <c r="E1" s="558"/>
      <c r="F1" s="549" t="s">
        <v>35</v>
      </c>
      <c r="G1" s="550"/>
      <c r="H1" s="550"/>
      <c r="I1" s="551"/>
      <c r="J1" s="549" t="s">
        <v>36</v>
      </c>
      <c r="K1" s="550"/>
      <c r="L1" s="550"/>
      <c r="M1" s="551"/>
      <c r="N1" s="549" t="s">
        <v>37</v>
      </c>
      <c r="O1" s="550"/>
      <c r="P1" s="550"/>
      <c r="Q1" s="551"/>
      <c r="R1" s="549" t="s">
        <v>38</v>
      </c>
      <c r="S1" s="550"/>
      <c r="T1" s="550"/>
      <c r="U1" s="551"/>
      <c r="V1" s="213"/>
      <c r="W1" s="213"/>
      <c r="X1" s="135"/>
      <c r="Y1" s="135"/>
      <c r="Z1" s="136"/>
      <c r="AA1" s="137">
        <v>7</v>
      </c>
      <c r="AB1" s="138"/>
      <c r="AC1" s="139" t="s">
        <v>306</v>
      </c>
    </row>
    <row r="2" spans="1:30" s="93" customFormat="1" ht="27.45" customHeight="1" thickBot="1" x14ac:dyDescent="0.3">
      <c r="A2" s="89" t="s">
        <v>46</v>
      </c>
      <c r="B2" s="88" t="s">
        <v>47</v>
      </c>
      <c r="C2" s="88" t="s">
        <v>242</v>
      </c>
      <c r="D2" s="88" t="s">
        <v>308</v>
      </c>
      <c r="E2" s="508" t="s">
        <v>309</v>
      </c>
      <c r="F2" s="504" t="s">
        <v>47</v>
      </c>
      <c r="G2" s="504" t="s">
        <v>242</v>
      </c>
      <c r="H2" s="504" t="s">
        <v>308</v>
      </c>
      <c r="I2" s="508" t="s">
        <v>309</v>
      </c>
      <c r="J2" s="504" t="s">
        <v>47</v>
      </c>
      <c r="K2" s="504" t="s">
        <v>242</v>
      </c>
      <c r="L2" s="504" t="s">
        <v>308</v>
      </c>
      <c r="M2" s="508" t="s">
        <v>309</v>
      </c>
      <c r="N2" s="504" t="s">
        <v>47</v>
      </c>
      <c r="O2" s="504" t="s">
        <v>242</v>
      </c>
      <c r="P2" s="504" t="s">
        <v>308</v>
      </c>
      <c r="Q2" s="508" t="s">
        <v>309</v>
      </c>
      <c r="R2" s="504" t="s">
        <v>47</v>
      </c>
      <c r="S2" s="504" t="s">
        <v>242</v>
      </c>
      <c r="T2" s="504" t="s">
        <v>308</v>
      </c>
      <c r="U2" s="508" t="s">
        <v>309</v>
      </c>
      <c r="V2" s="214" t="s">
        <v>310</v>
      </c>
      <c r="W2" s="90" t="s">
        <v>311</v>
      </c>
      <c r="X2" s="90" t="s">
        <v>242</v>
      </c>
      <c r="Y2" s="90" t="s">
        <v>312</v>
      </c>
      <c r="Z2" s="91" t="s">
        <v>308</v>
      </c>
      <c r="AA2" s="92" t="s">
        <v>313</v>
      </c>
      <c r="AB2" s="92"/>
    </row>
    <row r="3" spans="1:30" s="87" customFormat="1" ht="27.45" customHeight="1" x14ac:dyDescent="0.3">
      <c r="A3" s="78" t="s">
        <v>48</v>
      </c>
      <c r="B3" s="79">
        <f>'DRE 2026'!C3</f>
        <v>671666.67</v>
      </c>
      <c r="C3" s="79">
        <v>444545.69</v>
      </c>
      <c r="D3" s="79">
        <f>+C3-B3</f>
        <v>-227120.98000000004</v>
      </c>
      <c r="E3" s="198">
        <f>C3/B3</f>
        <v>0.66185462202553536</v>
      </c>
      <c r="F3" s="79">
        <f>'DRE 2026'!D3</f>
        <v>671666.67</v>
      </c>
      <c r="G3" s="79">
        <v>534752.84</v>
      </c>
      <c r="H3" s="79">
        <f>+G3-F3</f>
        <v>-136913.83000000007</v>
      </c>
      <c r="I3" s="198">
        <f>G3/F3</f>
        <v>0.79615807049053056</v>
      </c>
      <c r="J3" s="79">
        <f>'DRE 2026'!H3</f>
        <v>671666.67</v>
      </c>
      <c r="K3" s="79">
        <v>391005.89</v>
      </c>
      <c r="L3" s="79">
        <f>+K3-J3</f>
        <v>-280660.78000000003</v>
      </c>
      <c r="M3" s="198">
        <f>K3/J3</f>
        <v>0.58214276137894405</v>
      </c>
      <c r="N3" s="79">
        <f>'DRE 2026'!F3</f>
        <v>671666.67</v>
      </c>
      <c r="O3" s="79">
        <v>282214.17</v>
      </c>
      <c r="P3" s="79">
        <f>+O3-N3</f>
        <v>-389452.50000000006</v>
      </c>
      <c r="Q3" s="198">
        <f>O3/N3</f>
        <v>0.42016997806367251</v>
      </c>
      <c r="R3" s="79">
        <f>'DRE 2026'!J3</f>
        <v>671666.67</v>
      </c>
      <c r="S3" s="79">
        <v>719988.05</v>
      </c>
      <c r="T3" s="79">
        <f>+S3-R3</f>
        <v>48321.380000000005</v>
      </c>
      <c r="U3" s="198">
        <f>S3/R3</f>
        <v>1.0719425008836601</v>
      </c>
      <c r="V3" s="215">
        <f>'DRE 2026'!B3</f>
        <v>8060000.04</v>
      </c>
      <c r="W3" s="80">
        <f>'DRE 2026'!C3+'DRE 2026'!D3+'DRE 2026'!E3+'DRE 2026'!F3+'DRE 2026'!G3</f>
        <v>3358333.35</v>
      </c>
      <c r="X3" s="255">
        <f>C3+G3+K3+O3+S3</f>
        <v>2372506.6399999997</v>
      </c>
      <c r="Y3" s="81">
        <f>X3-W3</f>
        <v>-985826.71000000043</v>
      </c>
      <c r="Z3" s="82">
        <f>X3/W3</f>
        <v>0.70645358656846846</v>
      </c>
      <c r="AA3" s="83">
        <f>V3-X3</f>
        <v>5687493.4000000004</v>
      </c>
      <c r="AB3" s="84"/>
      <c r="AC3" s="85">
        <f>C3+G3+K3+O3+S3</f>
        <v>2372506.6399999997</v>
      </c>
      <c r="AD3" s="86">
        <f>X3-AC3</f>
        <v>0</v>
      </c>
    </row>
    <row r="4" spans="1:30" s="259" customFormat="1" ht="27.45" customHeight="1" x14ac:dyDescent="0.3">
      <c r="A4" s="250" t="s">
        <v>314</v>
      </c>
      <c r="B4" s="457"/>
      <c r="C4" s="251">
        <f>'Base_Resultado Mensal_V2'!C4</f>
        <v>279821.07</v>
      </c>
      <c r="D4" s="251"/>
      <c r="E4" s="252"/>
      <c r="F4" s="457"/>
      <c r="G4" s="251">
        <f>'Base_Resultado Mensal_V2'!D4</f>
        <v>319233.58</v>
      </c>
      <c r="H4" s="79">
        <f>+G4-F3</f>
        <v>-352433.09</v>
      </c>
      <c r="I4" s="252"/>
      <c r="J4" s="457"/>
      <c r="K4" s="251">
        <f>'Base_Resultado Mensal_V2'!E4</f>
        <v>612501.76000000001</v>
      </c>
      <c r="L4" s="79">
        <f>+K4-J3</f>
        <v>-59164.910000000033</v>
      </c>
      <c r="M4" s="252"/>
      <c r="N4" s="457"/>
      <c r="O4" s="251">
        <v>238327.46</v>
      </c>
      <c r="P4" s="79">
        <f>+O4-N3</f>
        <v>-433339.21000000008</v>
      </c>
      <c r="Q4" s="198"/>
      <c r="R4" s="457"/>
      <c r="S4" s="251">
        <f>'Base_Resultado Mensal_V2'!G4</f>
        <v>415928</v>
      </c>
      <c r="T4" s="79">
        <f>+S4-R3</f>
        <v>-255738.67000000004</v>
      </c>
      <c r="U4" s="198"/>
      <c r="V4" s="254"/>
      <c r="W4" s="255">
        <f>'DRE 2026'!C3+'DRE 2026'!D3+'DRE 2026'!E3+'DRE 2026'!F3</f>
        <v>2686666.68</v>
      </c>
      <c r="X4" s="255">
        <f>'Base_Resultado Mensal_V2'!B4</f>
        <v>1865811.87</v>
      </c>
      <c r="Y4" s="256">
        <f>X4-W3</f>
        <v>-1492521.48</v>
      </c>
      <c r="Z4" s="82">
        <f>X4/W4</f>
        <v>0.69447091590833288</v>
      </c>
      <c r="AA4" s="255"/>
      <c r="AB4" s="253"/>
      <c r="AC4" s="85">
        <f t="shared" ref="AC4:AC66" si="0">C4+G4+K4+O4+S4</f>
        <v>1865811.87</v>
      </c>
      <c r="AD4" s="258">
        <f>X4-AC4</f>
        <v>0</v>
      </c>
    </row>
    <row r="5" spans="1:30" s="98" customFormat="1" ht="27.45" customHeight="1" x14ac:dyDescent="0.3">
      <c r="A5" s="94" t="s">
        <v>49</v>
      </c>
      <c r="B5" s="95" t="s">
        <v>47</v>
      </c>
      <c r="C5" s="95" t="s">
        <v>242</v>
      </c>
      <c r="D5" s="96" t="s">
        <v>308</v>
      </c>
      <c r="E5" s="199" t="s">
        <v>308</v>
      </c>
      <c r="F5" s="95" t="s">
        <v>47</v>
      </c>
      <c r="G5" s="95" t="s">
        <v>242</v>
      </c>
      <c r="H5" s="96" t="s">
        <v>308</v>
      </c>
      <c r="I5" s="505" t="s">
        <v>308</v>
      </c>
      <c r="J5" s="95" t="s">
        <v>47</v>
      </c>
      <c r="K5" s="95" t="s">
        <v>242</v>
      </c>
      <c r="L5" s="96" t="s">
        <v>308</v>
      </c>
      <c r="M5" s="505" t="s">
        <v>308</v>
      </c>
      <c r="N5" s="95" t="s">
        <v>47</v>
      </c>
      <c r="O5" s="95" t="s">
        <v>242</v>
      </c>
      <c r="P5" s="96" t="s">
        <v>308</v>
      </c>
      <c r="Q5" s="505" t="s">
        <v>308</v>
      </c>
      <c r="R5" s="95" t="s">
        <v>47</v>
      </c>
      <c r="S5" s="95" t="s">
        <v>242</v>
      </c>
      <c r="T5" s="96" t="s">
        <v>308</v>
      </c>
      <c r="U5" s="505" t="s">
        <v>308</v>
      </c>
      <c r="V5" s="216"/>
      <c r="W5" s="77"/>
      <c r="X5" s="77"/>
      <c r="Y5" s="77"/>
      <c r="Z5" s="77" t="s">
        <v>308</v>
      </c>
      <c r="AA5" s="77"/>
      <c r="AB5" s="97"/>
      <c r="AC5" s="85"/>
    </row>
    <row r="6" spans="1:30" s="259" customFormat="1" ht="27.45" customHeight="1" x14ac:dyDescent="0.3">
      <c r="A6" s="250" t="s">
        <v>50</v>
      </c>
      <c r="B6" s="457">
        <f>SUM(B7:B11)</f>
        <v>215786.59000000005</v>
      </c>
      <c r="C6" s="251">
        <f>SUM(C7:C12)</f>
        <v>211242.68</v>
      </c>
      <c r="D6" s="251">
        <f>+B6-C6</f>
        <v>4543.9100000000617</v>
      </c>
      <c r="E6" s="252"/>
      <c r="F6" s="457">
        <f>SUM(F7:F11)</f>
        <v>211686.59000000005</v>
      </c>
      <c r="G6" s="251">
        <f>SUM(G7:G12)</f>
        <v>218453.74</v>
      </c>
      <c r="H6" s="251">
        <f>+F6-G6</f>
        <v>-6767.149999999936</v>
      </c>
      <c r="I6" s="252"/>
      <c r="J6" s="457">
        <f>SUM(J7:J11)</f>
        <v>199069.61000000004</v>
      </c>
      <c r="K6" s="251">
        <f>SUM(K7:K12)</f>
        <v>198079.40999999997</v>
      </c>
      <c r="L6" s="251">
        <f>+J6-K6</f>
        <v>990.20000000006985</v>
      </c>
      <c r="M6" s="252"/>
      <c r="N6" s="457">
        <f>SUM(N7:N11)</f>
        <v>203869.61000000004</v>
      </c>
      <c r="O6" s="251">
        <f>SUM(O7:O12)</f>
        <v>209572.83</v>
      </c>
      <c r="P6" s="251">
        <f>+N6-O6</f>
        <v>-5703.219999999943</v>
      </c>
      <c r="Q6" s="252"/>
      <c r="R6" s="457">
        <f>SUM(R7:R11)</f>
        <v>199069.61000000004</v>
      </c>
      <c r="S6" s="251">
        <f>SUM(S7:S12)</f>
        <v>210089.46</v>
      </c>
      <c r="T6" s="251">
        <f>+R6-S6</f>
        <v>-11019.849999999948</v>
      </c>
      <c r="U6" s="252"/>
      <c r="V6" s="254">
        <f>SUM(V7:V11)</f>
        <v>2438910.6477500005</v>
      </c>
      <c r="W6" s="255">
        <f>SUM(W7:W11)</f>
        <v>1029482.0100000002</v>
      </c>
      <c r="X6" s="255">
        <f>X7+X8+X9+X10+X11+X12</f>
        <v>1047438.1200000001</v>
      </c>
      <c r="Y6" s="256">
        <f>W6-X6</f>
        <v>-17956.10999999987</v>
      </c>
      <c r="Z6" s="257">
        <f>X6/W6</f>
        <v>1.017441888081172</v>
      </c>
      <c r="AA6" s="255">
        <f>V6-X6</f>
        <v>1391472.5277500004</v>
      </c>
      <c r="AB6" s="253"/>
      <c r="AC6" s="85">
        <f t="shared" si="0"/>
        <v>1047438.1199999999</v>
      </c>
      <c r="AD6" s="258">
        <f>X6-AC6</f>
        <v>0</v>
      </c>
    </row>
    <row r="7" spans="1:30" s="108" customFormat="1" ht="27.45" customHeight="1" x14ac:dyDescent="0.3">
      <c r="A7" s="99" t="str">
        <f>+'Base_Resultado Mensal_V2'!A5</f>
        <v>Custo equipe - Contencioso</v>
      </c>
      <c r="B7" s="100">
        <f>'DRE 2026'!C6</f>
        <v>75454.065000000002</v>
      </c>
      <c r="C7" s="100">
        <f>'Base_Resultado Mensal_V2'!C5</f>
        <v>73576.315000000002</v>
      </c>
      <c r="D7" s="100">
        <f>+B7-C7</f>
        <v>1877.75</v>
      </c>
      <c r="E7" s="200">
        <f>C7/B7</f>
        <v>0.97511399816563893</v>
      </c>
      <c r="F7" s="100">
        <f>'DRE 2026'!D6</f>
        <v>74454.065000000002</v>
      </c>
      <c r="G7" s="100">
        <f>'Base_Resultado Mensal_V2'!D5</f>
        <v>76342.345000000001</v>
      </c>
      <c r="H7" s="100">
        <f>+F7-G7</f>
        <v>-1888.2799999999988</v>
      </c>
      <c r="I7" s="200">
        <f>G7/F7</f>
        <v>1.0253616777002035</v>
      </c>
      <c r="J7" s="100">
        <f>'DRE 2026'!H6</f>
        <v>74454.065000000002</v>
      </c>
      <c r="K7" s="100">
        <f>'Base_Resultado Mensal_V2'!E5</f>
        <v>72845.494999999995</v>
      </c>
      <c r="L7" s="100">
        <f>+J7-K7</f>
        <v>1608.570000000007</v>
      </c>
      <c r="M7" s="200">
        <f>K7/J7</f>
        <v>0.97839513530926747</v>
      </c>
      <c r="N7" s="100">
        <f>'DRE 2026'!F6</f>
        <v>76054.065000000002</v>
      </c>
      <c r="O7" s="100">
        <f>'Base_Resultado Mensal_V2'!F5</f>
        <v>75374.054999999993</v>
      </c>
      <c r="P7" s="100">
        <f>+N7-O7</f>
        <v>680.01000000000931</v>
      </c>
      <c r="Q7" s="200">
        <f>O7/N7</f>
        <v>0.99105886056189096</v>
      </c>
      <c r="R7" s="100">
        <f>'DRE 2026'!J6</f>
        <v>74454.065000000002</v>
      </c>
      <c r="S7" s="100">
        <f>'Base_Resultado Mensal_V2'!G5</f>
        <v>74141.214999999997</v>
      </c>
      <c r="T7" s="100">
        <f>+R7-S7</f>
        <v>312.85000000000582</v>
      </c>
      <c r="U7" s="200">
        <f>S7/R7</f>
        <v>0.99579808033315564</v>
      </c>
      <c r="V7" s="217">
        <f>'DRE 2026'!B6</f>
        <v>901597.73424999986</v>
      </c>
      <c r="W7" s="101">
        <f>'DRE 2026'!C6+'DRE 2026'!D6+'DRE 2026'!E6+'DRE 2026'!F6+'DRE 2026'!G6</f>
        <v>374870.32500000001</v>
      </c>
      <c r="X7" s="101">
        <f>'Base_Resultado Mensal_V2'!B5</f>
        <v>372279.42499999993</v>
      </c>
      <c r="Y7" s="103">
        <f>W7-X7</f>
        <v>2590.9000000000815</v>
      </c>
      <c r="Z7" s="104">
        <f>X7/W7</f>
        <v>0.99308854335162411</v>
      </c>
      <c r="AA7" s="105">
        <f>V7-X7</f>
        <v>529318.30924999993</v>
      </c>
      <c r="AB7" s="106"/>
      <c r="AC7" s="85">
        <f t="shared" si="0"/>
        <v>372279.42499999993</v>
      </c>
      <c r="AD7" s="258">
        <f t="shared" ref="AD7:AD24" si="1">X7-AC7</f>
        <v>0</v>
      </c>
    </row>
    <row r="8" spans="1:30" s="331" customFormat="1" ht="27.45" customHeight="1" x14ac:dyDescent="0.3">
      <c r="A8" s="324" t="str">
        <f>'Base_Resultado Mensal_V2'!A28</f>
        <v>Participação/Comissão - Contencioso</v>
      </c>
      <c r="B8" s="325"/>
      <c r="C8" s="325">
        <f>'Base_Resultado Mensal_V2'!C28+'Base_Resultado Mensal_V2'!C29</f>
        <v>0</v>
      </c>
      <c r="D8" s="325"/>
      <c r="E8" s="326"/>
      <c r="F8" s="325"/>
      <c r="G8" s="325">
        <f>'Base_Resultado Mensal_V2'!D28+'Base_Resultado Mensal_V2'!D29</f>
        <v>0</v>
      </c>
      <c r="H8" s="325"/>
      <c r="I8" s="326"/>
      <c r="J8" s="325"/>
      <c r="K8" s="325">
        <f>'Base_Resultado Mensal_V2'!E28+'Base_Resultado Mensal_V2'!E29</f>
        <v>0</v>
      </c>
      <c r="L8" s="325"/>
      <c r="M8" s="326"/>
      <c r="N8" s="325"/>
      <c r="O8" s="325">
        <f>'Base_Resultado Mensal_V2'!F28+'Base_Resultado Mensal_V2'!F29</f>
        <v>0</v>
      </c>
      <c r="P8" s="325"/>
      <c r="Q8" s="326"/>
      <c r="R8" s="325"/>
      <c r="S8" s="325">
        <f>'Base_Resultado Mensal_V2'!G28</f>
        <v>0</v>
      </c>
      <c r="T8" s="325"/>
      <c r="U8" s="326"/>
      <c r="V8" s="327"/>
      <c r="W8" s="101"/>
      <c r="X8" s="101">
        <f>'Base_Resultado Mensal_V2'!B28+'Base_Resultado Mensal_V2'!B29</f>
        <v>0</v>
      </c>
      <c r="Y8" s="103">
        <f t="shared" ref="Y8:Y12" si="2">W8-X8</f>
        <v>0</v>
      </c>
      <c r="Z8" s="328"/>
      <c r="AA8" s="329"/>
      <c r="AB8" s="330"/>
      <c r="AC8" s="85">
        <f t="shared" si="0"/>
        <v>0</v>
      </c>
      <c r="AD8" s="258">
        <f t="shared" si="1"/>
        <v>0</v>
      </c>
    </row>
    <row r="9" spans="1:30" s="116" customFormat="1" ht="27.45" customHeight="1" x14ac:dyDescent="0.3">
      <c r="A9" s="109" t="str">
        <f>+'Base_Resultado Mensal_V2'!A30</f>
        <v>Custo equipe - Econômico</v>
      </c>
      <c r="B9" s="110">
        <f>'DRE 2026'!C7</f>
        <v>76879.165000000023</v>
      </c>
      <c r="C9" s="110">
        <f>'Base_Resultado Mensal_V2'!C30</f>
        <v>75653.194999999992</v>
      </c>
      <c r="D9" s="110">
        <f t="shared" ref="D9:D11" si="3">+B9-C9</f>
        <v>1225.9700000000303</v>
      </c>
      <c r="E9" s="201">
        <f t="shared" ref="E9:E11" si="4">C9/B9</f>
        <v>0.98405328673900105</v>
      </c>
      <c r="F9" s="110">
        <f>'DRE 2026'!D7</f>
        <v>75379.165000000023</v>
      </c>
      <c r="G9" s="110">
        <f>'Base_Resultado Mensal_V2'!D30</f>
        <v>78817.054999999993</v>
      </c>
      <c r="H9" s="110">
        <f>+F9-G9</f>
        <v>-3437.8899999999703</v>
      </c>
      <c r="I9" s="201">
        <f>G9/F9</f>
        <v>1.045607960767408</v>
      </c>
      <c r="J9" s="110">
        <f>'DRE 2026'!H7</f>
        <v>75379.165000000023</v>
      </c>
      <c r="K9" s="110">
        <f>'Base_Resultado Mensal_V2'!E30</f>
        <v>76049.974999999991</v>
      </c>
      <c r="L9" s="110">
        <f>+J9-K9</f>
        <v>-670.80999999996857</v>
      </c>
      <c r="M9" s="201">
        <f>K9/J9</f>
        <v>1.0088991434171495</v>
      </c>
      <c r="N9" s="110">
        <f>'DRE 2026'!F7</f>
        <v>76979.165000000023</v>
      </c>
      <c r="O9" s="110">
        <f>'Base_Resultado Mensal_V2'!F30</f>
        <v>79160.084999999992</v>
      </c>
      <c r="P9" s="110">
        <f>+N9-O9</f>
        <v>-2180.9199999999691</v>
      </c>
      <c r="Q9" s="201">
        <f>O9/N9</f>
        <v>1.0283313023725311</v>
      </c>
      <c r="R9" s="110">
        <f>'DRE 2026'!J7</f>
        <v>75379.165000000023</v>
      </c>
      <c r="S9" s="110">
        <f>'Base_Resultado Mensal_V2'!G30</f>
        <v>79436.244999999995</v>
      </c>
      <c r="T9" s="110">
        <f>+R9-S9</f>
        <v>-4057.0799999999726</v>
      </c>
      <c r="U9" s="201">
        <f>S9/R9</f>
        <v>1.0538222995704445</v>
      </c>
      <c r="V9" s="218">
        <f>'DRE 2026'!B7</f>
        <v>914114.75250000018</v>
      </c>
      <c r="W9" s="101">
        <f>'DRE 2026'!C7+'DRE 2026'!D7+'DRE 2026'!E7+'DRE 2026'!F7+'DRE 2026'!G7</f>
        <v>379995.82500000013</v>
      </c>
      <c r="X9" s="101">
        <f>'Base_Resultado Mensal_V2'!B30</f>
        <v>389116.55500000005</v>
      </c>
      <c r="Y9" s="103">
        <f t="shared" si="2"/>
        <v>-9120.7299999999232</v>
      </c>
      <c r="Z9" s="113">
        <f t="shared" ref="Z9:Z24" si="5">X9/W9</f>
        <v>1.0240021847608456</v>
      </c>
      <c r="AA9" s="114">
        <f>V9-X9</f>
        <v>524998.19750000013</v>
      </c>
      <c r="AB9" s="115"/>
      <c r="AC9" s="85">
        <f t="shared" si="0"/>
        <v>389116.55499999993</v>
      </c>
      <c r="AD9" s="258">
        <f t="shared" si="1"/>
        <v>0</v>
      </c>
    </row>
    <row r="10" spans="1:30" s="338" customFormat="1" ht="27.45" customHeight="1" x14ac:dyDescent="0.3">
      <c r="A10" s="332" t="str">
        <f>'Base_Resultado Mensal_V2'!A58</f>
        <v>Participação/comissão - Economico</v>
      </c>
      <c r="B10" s="333"/>
      <c r="C10" s="333">
        <f>'Base_Resultado Mensal_V2'!C28+'Base_Resultado Mensal_V2'!C29</f>
        <v>0</v>
      </c>
      <c r="D10" s="333"/>
      <c r="E10" s="334"/>
      <c r="F10" s="333"/>
      <c r="G10" s="333">
        <f>'Base_Resultado Mensal_V2'!D58+'Base_Resultado Mensal_V2'!D59</f>
        <v>1500</v>
      </c>
      <c r="H10" s="333"/>
      <c r="I10" s="334"/>
      <c r="J10" s="333"/>
      <c r="K10" s="333">
        <f>'Base_Resultado Mensal_V2'!E58+'Base_Resultado Mensal_V2'!E59</f>
        <v>0</v>
      </c>
      <c r="L10" s="333"/>
      <c r="M10" s="334"/>
      <c r="N10" s="333"/>
      <c r="O10" s="333">
        <f>'Base_Resultado Mensal_V2'!F58+'Base_Resultado Mensal_V2'!F59</f>
        <v>0</v>
      </c>
      <c r="P10" s="333"/>
      <c r="Q10" s="334"/>
      <c r="R10" s="333"/>
      <c r="S10" s="333">
        <f>'Base_Resultado Mensal_V2'!G58</f>
        <v>2128.06</v>
      </c>
      <c r="T10" s="333"/>
      <c r="U10" s="334"/>
      <c r="V10" s="335"/>
      <c r="W10" s="101"/>
      <c r="X10" s="101">
        <f>'Base_Resultado Mensal_V2'!B58+'Base_Resultado Mensal_V2'!B59</f>
        <v>3628.06</v>
      </c>
      <c r="Y10" s="103">
        <f t="shared" si="2"/>
        <v>-3628.06</v>
      </c>
      <c r="Z10" s="160"/>
      <c r="AA10" s="336"/>
      <c r="AB10" s="337"/>
      <c r="AC10" s="85">
        <f t="shared" si="0"/>
        <v>3628.06</v>
      </c>
      <c r="AD10" s="258">
        <f t="shared" si="1"/>
        <v>0</v>
      </c>
    </row>
    <row r="11" spans="1:30" s="122" customFormat="1" ht="27.45" customHeight="1" x14ac:dyDescent="0.3">
      <c r="A11" s="117" t="str">
        <f>+'Base_Resultado Mensal_V2'!A60</f>
        <v>Custo equipe - Arbitragem e Compliance</v>
      </c>
      <c r="B11" s="118">
        <f>'DRE 2026'!C8</f>
        <v>63453.360000000008</v>
      </c>
      <c r="C11" s="118">
        <f>'Base_Resultado Mensal_V2'!C60</f>
        <v>62013.17</v>
      </c>
      <c r="D11" s="118">
        <f t="shared" si="3"/>
        <v>1440.1900000000096</v>
      </c>
      <c r="E11" s="202">
        <f t="shared" si="4"/>
        <v>0.97730317196756789</v>
      </c>
      <c r="F11" s="118">
        <f>'DRE 2026'!D8</f>
        <v>61853.360000000008</v>
      </c>
      <c r="G11" s="118">
        <f>'Base_Resultado Mensal_V2'!D60</f>
        <v>61794.340000000004</v>
      </c>
      <c r="H11" s="118">
        <f>+F11-G11</f>
        <v>59.020000000004075</v>
      </c>
      <c r="I11" s="202">
        <f>G11/F11</f>
        <v>0.99904580769743145</v>
      </c>
      <c r="J11" s="118">
        <f>'DRE 2026'!H8</f>
        <v>49236.380000000005</v>
      </c>
      <c r="K11" s="118">
        <f>'Base_Resultado Mensal_V2'!E60</f>
        <v>49183.94</v>
      </c>
      <c r="L11" s="118">
        <f>+J11-K11</f>
        <v>52.440000000002328</v>
      </c>
      <c r="M11" s="202">
        <f>K11/J11</f>
        <v>0.99893493388425381</v>
      </c>
      <c r="N11" s="118">
        <f>'DRE 2026'!F8</f>
        <v>50836.380000000005</v>
      </c>
      <c r="O11" s="118">
        <f>'Base_Resultado Mensal_V2'!F60</f>
        <v>55038.69</v>
      </c>
      <c r="P11" s="118">
        <f>+N11-O11</f>
        <v>-4202.3099999999977</v>
      </c>
      <c r="Q11" s="202">
        <f>O11/N11</f>
        <v>1.0826634390568328</v>
      </c>
      <c r="R11" s="118">
        <f>'DRE 2026'!J8</f>
        <v>49236.380000000005</v>
      </c>
      <c r="S11" s="118">
        <f>'Base_Resultado Mensal_V2'!G60</f>
        <v>54383.94</v>
      </c>
      <c r="T11" s="118">
        <f>+R11-S11</f>
        <v>-5147.5599999999977</v>
      </c>
      <c r="U11" s="202">
        <f>S11/R11</f>
        <v>1.1045478973068288</v>
      </c>
      <c r="V11" s="219">
        <f>'DRE 2026'!B8</f>
        <v>623198.16100000008</v>
      </c>
      <c r="W11" s="101">
        <f>'DRE 2026'!C8+'DRE 2026'!D8+'DRE 2026'!E8+'DRE 2026'!F8+'DRE 2026'!G8</f>
        <v>274615.86000000004</v>
      </c>
      <c r="X11" s="101">
        <f>'Base_Resultado Mensal_V2'!B60</f>
        <v>282414.08000000002</v>
      </c>
      <c r="Y11" s="103">
        <f t="shared" si="2"/>
        <v>-7798.2199999999721</v>
      </c>
      <c r="Z11" s="119">
        <f t="shared" si="5"/>
        <v>1.0283968303942823</v>
      </c>
      <c r="AA11" s="120">
        <f>V11-X11</f>
        <v>340784.08100000006</v>
      </c>
      <c r="AB11" s="121"/>
      <c r="AC11" s="85">
        <f t="shared" si="0"/>
        <v>282414.08000000002</v>
      </c>
      <c r="AD11" s="258">
        <f t="shared" si="1"/>
        <v>0</v>
      </c>
    </row>
    <row r="12" spans="1:30" s="345" customFormat="1" ht="27.45" customHeight="1" x14ac:dyDescent="0.3">
      <c r="A12" s="339" t="str">
        <f>'Base_Resultado Mensal_V2'!A80</f>
        <v>Participação/comissão - Arbitragem</v>
      </c>
      <c r="B12" s="118"/>
      <c r="C12" s="118">
        <f>'Base_Resultado Mensal_V2'!C80+'Base_Resultado Mensal_V2'!C81</f>
        <v>0</v>
      </c>
      <c r="D12" s="118"/>
      <c r="E12" s="118"/>
      <c r="F12" s="118"/>
      <c r="G12" s="118">
        <f>'Base_Resultado Mensal_V2'!D80+'Base_Resultado Mensal_V2'!D81</f>
        <v>0</v>
      </c>
      <c r="H12" s="118"/>
      <c r="I12" s="118"/>
      <c r="J12" s="118"/>
      <c r="K12" s="118">
        <f>'Base_Resultado Mensal_V2'!E80+'Base_Resultado Mensal_V2'!E81</f>
        <v>0</v>
      </c>
      <c r="L12" s="118"/>
      <c r="M12" s="118"/>
      <c r="N12" s="118"/>
      <c r="O12" s="118">
        <f>'Base_Resultado Mensal_V2'!F80+'Base_Resultado Mensal_V2'!F81</f>
        <v>0</v>
      </c>
      <c r="P12" s="118"/>
      <c r="Q12" s="118"/>
      <c r="R12" s="118"/>
      <c r="S12" s="118">
        <f>'Base_Resultado Mensal_V2'!G80</f>
        <v>0</v>
      </c>
      <c r="T12" s="118"/>
      <c r="U12" s="118"/>
      <c r="V12" s="340"/>
      <c r="W12" s="341"/>
      <c r="X12" s="101">
        <f>'Base_Resultado Mensal_V2'!B80+'Base_Resultado Mensal_V2'!B81</f>
        <v>0</v>
      </c>
      <c r="Y12" s="103">
        <f t="shared" si="2"/>
        <v>0</v>
      </c>
      <c r="Z12" s="342"/>
      <c r="AA12" s="343"/>
      <c r="AB12" s="344"/>
      <c r="AC12" s="85"/>
      <c r="AD12" s="258"/>
    </row>
    <row r="13" spans="1:30" s="259" customFormat="1" ht="27.45" customHeight="1" x14ac:dyDescent="0.3">
      <c r="A13" s="250" t="s">
        <v>54</v>
      </c>
      <c r="B13" s="457">
        <f>SUM(B14:B24)</f>
        <v>102906.66333333333</v>
      </c>
      <c r="C13" s="251">
        <f>SUM(C14:C24)</f>
        <v>100181.41</v>
      </c>
      <c r="D13" s="251">
        <f>(B13-C13)</f>
        <v>2725.2533333333267</v>
      </c>
      <c r="E13" s="252"/>
      <c r="F13" s="457">
        <f>SUM(F14:F24)</f>
        <v>112483.91046666667</v>
      </c>
      <c r="G13" s="251">
        <f>SUM(G14:G24)</f>
        <v>95047.389999999985</v>
      </c>
      <c r="H13" s="251">
        <f>(F13-G13)</f>
        <v>17436.520466666683</v>
      </c>
      <c r="I13" s="252"/>
      <c r="J13" s="457">
        <f>SUM(J14:J24)</f>
        <v>129851.11546666667</v>
      </c>
      <c r="K13" s="251">
        <f>SUM(K14:K24)</f>
        <v>101968.9</v>
      </c>
      <c r="L13" s="251">
        <f>(J13-K13)</f>
        <v>27882.215466666676</v>
      </c>
      <c r="M13" s="252"/>
      <c r="N13" s="457">
        <f>SUM(N14:N24)</f>
        <v>124351.11546666667</v>
      </c>
      <c r="O13" s="251">
        <f>SUM(O14:O24)</f>
        <v>110156.10999999999</v>
      </c>
      <c r="P13" s="251">
        <f>(N13-O13)</f>
        <v>14195.005466666684</v>
      </c>
      <c r="Q13" s="252"/>
      <c r="R13" s="457">
        <f>SUM(R14:R24)</f>
        <v>103162.06546666667</v>
      </c>
      <c r="S13" s="251">
        <f>SUM(S14:S24)</f>
        <v>105511.43</v>
      </c>
      <c r="T13" s="251">
        <f>(R13-S13)</f>
        <v>-2349.3645333333261</v>
      </c>
      <c r="U13" s="252"/>
      <c r="V13" s="254">
        <f>SUM(V14:V24)</f>
        <v>1386633.3943666664</v>
      </c>
      <c r="W13" s="255">
        <f>SUM(W14:W24)</f>
        <v>572754.8702</v>
      </c>
      <c r="X13" s="255">
        <f>SUM(X14:X24)</f>
        <v>512865.24</v>
      </c>
      <c r="Y13" s="256">
        <f>W13-X13</f>
        <v>59889.630200000014</v>
      </c>
      <c r="Z13" s="257">
        <f>X13/W13</f>
        <v>0.89543584294780909</v>
      </c>
      <c r="AA13" s="255">
        <f>V13-X13</f>
        <v>873768.15436666645</v>
      </c>
      <c r="AB13" s="253"/>
      <c r="AC13" s="85">
        <f t="shared" si="0"/>
        <v>512865.23999999993</v>
      </c>
      <c r="AD13" s="258">
        <f t="shared" si="1"/>
        <v>0</v>
      </c>
    </row>
    <row r="14" spans="1:30" s="108" customFormat="1" ht="27.45" customHeight="1" x14ac:dyDescent="0.3">
      <c r="A14" s="99" t="str">
        <f>+'Base_Resultado Mensal_V2'!A85</f>
        <v>Ocupação</v>
      </c>
      <c r="B14" s="100">
        <f>'DRE 2026'!C10</f>
        <v>27197.48</v>
      </c>
      <c r="C14" s="100">
        <f>'Base_Resultado Mensal_V2'!C85</f>
        <v>27660.199999999997</v>
      </c>
      <c r="D14" s="100">
        <f t="shared" ref="D14:D24" si="6">+B14-C14</f>
        <v>-462.71999999999753</v>
      </c>
      <c r="E14" s="203">
        <f t="shared" ref="E14:E19" si="7">(C14/B14)</f>
        <v>1.0170133409418813</v>
      </c>
      <c r="F14" s="100">
        <f>'DRE 2026'!D10</f>
        <v>34236.379999999997</v>
      </c>
      <c r="G14" s="100">
        <f>'Base_Resultado Mensal_V2'!D85</f>
        <v>34729.909999999996</v>
      </c>
      <c r="H14" s="100">
        <f t="shared" ref="H14:H24" si="8">+F14-G14</f>
        <v>-493.52999999999884</v>
      </c>
      <c r="I14" s="203">
        <f t="shared" ref="I14:I19" si="9">(G14/F14)</f>
        <v>1.01441536751257</v>
      </c>
      <c r="J14" s="100">
        <f>'DRE 2026'!E10</f>
        <v>34236.379999999997</v>
      </c>
      <c r="K14" s="100">
        <f>'Base_Resultado Mensal_V2'!E85</f>
        <v>36273.049999999996</v>
      </c>
      <c r="L14" s="100">
        <f t="shared" ref="L14:L24" si="10">+J14-K14</f>
        <v>-2036.6699999999983</v>
      </c>
      <c r="M14" s="203">
        <f t="shared" ref="M14:M19" si="11">(K14/J14)</f>
        <v>1.0594884739566508</v>
      </c>
      <c r="N14" s="100">
        <f>'DRE 2026'!F10</f>
        <v>34236.379999999997</v>
      </c>
      <c r="O14" s="100">
        <f>'Base_Resultado Mensal_V2'!F85</f>
        <v>36198.980000000003</v>
      </c>
      <c r="P14" s="100">
        <f t="shared" ref="P14:P24" si="12">+N14-O14</f>
        <v>-1962.6000000000058</v>
      </c>
      <c r="Q14" s="203">
        <f t="shared" ref="Q14:Q19" si="13">(O14/N14)</f>
        <v>1.0573249858775959</v>
      </c>
      <c r="R14" s="100">
        <f>'DRE 2026'!G10</f>
        <v>34236.379999999997</v>
      </c>
      <c r="S14" s="100">
        <f>'Base_Resultado Mensal_V2'!G85</f>
        <v>37189.869999999995</v>
      </c>
      <c r="T14" s="100">
        <f t="shared" ref="T14:T24" si="14">+R14-S14</f>
        <v>-2953.489999999998</v>
      </c>
      <c r="U14" s="203">
        <f t="shared" ref="U14:U19" si="15">(S14/R14)</f>
        <v>1.0862675902066747</v>
      </c>
      <c r="V14" s="217">
        <f>'DRE 2026'!B10</f>
        <v>410635.67999999993</v>
      </c>
      <c r="W14" s="123">
        <f>'DRE 2026'!C10+'DRE 2026'!D10+'DRE 2026'!E10+'DRE 2026'!F10+'DRE 2026'!G10</f>
        <v>164143</v>
      </c>
      <c r="X14" s="102">
        <f>'Base_Resultado Mensal_V2'!B85</f>
        <v>172052.00999999998</v>
      </c>
      <c r="Y14" s="103">
        <f>W14-X14</f>
        <v>-7909.0099999999802</v>
      </c>
      <c r="Z14" s="104">
        <f t="shared" si="5"/>
        <v>1.0481836569332836</v>
      </c>
      <c r="AA14" s="105">
        <f t="shared" ref="AA14:AA23" si="16">V14-X14</f>
        <v>238583.66999999995</v>
      </c>
      <c r="AB14" s="106"/>
      <c r="AC14" s="85">
        <f t="shared" si="0"/>
        <v>172052.00999999998</v>
      </c>
      <c r="AD14" s="107">
        <f>X14-AC14</f>
        <v>0</v>
      </c>
    </row>
    <row r="15" spans="1:30" s="116" customFormat="1" ht="27.45" customHeight="1" x14ac:dyDescent="0.3">
      <c r="A15" s="109" t="str">
        <f>+'Base_Resultado Mensal_V2'!A92</f>
        <v>Telecomunicações</v>
      </c>
      <c r="B15" s="100">
        <f>'DRE 2026'!C11</f>
        <v>890</v>
      </c>
      <c r="C15" s="110">
        <f>'Base_Resultado Mensal_V2'!C92</f>
        <v>807.15999999999985</v>
      </c>
      <c r="D15" s="100">
        <f t="shared" si="6"/>
        <v>82.840000000000146</v>
      </c>
      <c r="E15" s="204">
        <f t="shared" si="7"/>
        <v>0.90692134831460658</v>
      </c>
      <c r="F15" s="100">
        <f>'DRE 2026'!D11</f>
        <v>839.76380000000006</v>
      </c>
      <c r="G15" s="110">
        <f>'Base_Resultado Mensal_V2'!D92</f>
        <v>807.15999999999985</v>
      </c>
      <c r="H15" s="100">
        <f t="shared" si="8"/>
        <v>32.603800000000206</v>
      </c>
      <c r="I15" s="204">
        <f t="shared" si="9"/>
        <v>0.96117503517060365</v>
      </c>
      <c r="J15" s="100">
        <f>'DRE 2026'!E11</f>
        <v>839.76380000000006</v>
      </c>
      <c r="K15" s="110">
        <f>'Base_Resultado Mensal_V2'!E92</f>
        <v>807.16</v>
      </c>
      <c r="L15" s="100">
        <f t="shared" si="10"/>
        <v>32.603800000000092</v>
      </c>
      <c r="M15" s="204">
        <f t="shared" si="11"/>
        <v>0.96117503517060376</v>
      </c>
      <c r="N15" s="100">
        <f>'DRE 2026'!F11</f>
        <v>839.76380000000006</v>
      </c>
      <c r="O15" s="110">
        <f>'Base_Resultado Mensal_V2'!F92</f>
        <v>824.81</v>
      </c>
      <c r="P15" s="100">
        <f t="shared" si="12"/>
        <v>14.953800000000115</v>
      </c>
      <c r="Q15" s="204">
        <f t="shared" si="13"/>
        <v>0.98219284994185252</v>
      </c>
      <c r="R15" s="100">
        <f>'DRE 2026'!G11</f>
        <v>839.76380000000006</v>
      </c>
      <c r="S15" s="110">
        <f>'Base_Resultado Mensal_V2'!G92</f>
        <v>825.00999999999988</v>
      </c>
      <c r="T15" s="100">
        <f t="shared" si="14"/>
        <v>14.753800000000183</v>
      </c>
      <c r="U15" s="204">
        <f t="shared" si="15"/>
        <v>0.98243101214889217</v>
      </c>
      <c r="V15" s="217">
        <f>'DRE 2026'!B11</f>
        <v>10127.401800000001</v>
      </c>
      <c r="W15" s="123">
        <f>'DRE 2026'!C11+'DRE 2026'!D11+'DRE 2026'!E11+'DRE 2026'!F11+'DRE 2026'!G11</f>
        <v>4249.0552000000007</v>
      </c>
      <c r="X15" s="102">
        <f>'Base_Resultado Mensal_V2'!B92</f>
        <v>4071.2999999999993</v>
      </c>
      <c r="Y15" s="112">
        <f t="shared" ref="Y15:Y24" si="17">W15-X15</f>
        <v>177.75520000000142</v>
      </c>
      <c r="Z15" s="113">
        <f t="shared" si="5"/>
        <v>0.95816594710278147</v>
      </c>
      <c r="AA15" s="114">
        <f t="shared" si="16"/>
        <v>6056.1018000000022</v>
      </c>
      <c r="AB15" s="115"/>
      <c r="AC15" s="85">
        <f t="shared" si="0"/>
        <v>4071.2999999999993</v>
      </c>
      <c r="AD15" s="125">
        <f t="shared" si="1"/>
        <v>0</v>
      </c>
    </row>
    <row r="16" spans="1:30" s="116" customFormat="1" ht="27.45" customHeight="1" x14ac:dyDescent="0.3">
      <c r="A16" s="109" t="str">
        <f>+'Base_Resultado Mensal_V2'!A95</f>
        <v>Despesas Gerais</v>
      </c>
      <c r="B16" s="100">
        <f>'DRE 2026'!C12</f>
        <v>7255</v>
      </c>
      <c r="C16" s="110">
        <f>'Base_Resultado Mensal_V2'!C95</f>
        <v>6773.44</v>
      </c>
      <c r="D16" s="100">
        <f t="shared" si="6"/>
        <v>481.5600000000004</v>
      </c>
      <c r="E16" s="204">
        <f t="shared" si="7"/>
        <v>0.93362370778773252</v>
      </c>
      <c r="F16" s="100">
        <f>'DRE 2026'!D12</f>
        <v>5505</v>
      </c>
      <c r="G16" s="110">
        <f>'Base_Resultado Mensal_V2'!D95</f>
        <v>5243.68</v>
      </c>
      <c r="H16" s="100">
        <f t="shared" si="8"/>
        <v>261.31999999999971</v>
      </c>
      <c r="I16" s="204">
        <f t="shared" si="9"/>
        <v>0.95253042688465039</v>
      </c>
      <c r="J16" s="100">
        <f>'DRE 2026'!E12</f>
        <v>5742.2049999999999</v>
      </c>
      <c r="K16" s="110">
        <f>'Base_Resultado Mensal_V2'!E95</f>
        <v>6492.79</v>
      </c>
      <c r="L16" s="100">
        <f t="shared" si="10"/>
        <v>-750.58500000000004</v>
      </c>
      <c r="M16" s="204">
        <f t="shared" si="11"/>
        <v>1.1307137240833443</v>
      </c>
      <c r="N16" s="100">
        <f>'DRE 2026'!F12</f>
        <v>7292.2049999999999</v>
      </c>
      <c r="O16" s="110">
        <f>'Base_Resultado Mensal_V2'!F95</f>
        <v>5820.1799999999994</v>
      </c>
      <c r="P16" s="100">
        <f t="shared" si="12"/>
        <v>1472.0250000000005</v>
      </c>
      <c r="Q16" s="204">
        <f t="shared" si="13"/>
        <v>0.7981371889572495</v>
      </c>
      <c r="R16" s="100">
        <f>'DRE 2026'!G12</f>
        <v>5742.2049999999999</v>
      </c>
      <c r="S16" s="110">
        <f>'Base_Resultado Mensal_V2'!G95</f>
        <v>6170.3899999999985</v>
      </c>
      <c r="T16" s="100">
        <f t="shared" si="14"/>
        <v>-428.18499999999858</v>
      </c>
      <c r="U16" s="204">
        <f t="shared" si="15"/>
        <v>1.0745680448538495</v>
      </c>
      <c r="V16" s="217">
        <f>'DRE 2026'!B12</f>
        <v>74921.849999999977</v>
      </c>
      <c r="W16" s="123">
        <f>'DRE 2026'!C12+'DRE 2026'!D12+'DRE 2026'!E12+'DRE 2026'!F12+'DRE 2026'!G12</f>
        <v>31536.615000000005</v>
      </c>
      <c r="X16" s="102">
        <f>'Base_Resultado Mensal_V2'!B95</f>
        <v>30500.48</v>
      </c>
      <c r="Y16" s="112">
        <f t="shared" si="17"/>
        <v>1036.1350000000057</v>
      </c>
      <c r="Z16" s="113">
        <f t="shared" si="5"/>
        <v>0.96714501540510911</v>
      </c>
      <c r="AA16" s="114">
        <f t="shared" si="16"/>
        <v>44421.369999999981</v>
      </c>
      <c r="AB16" s="115"/>
      <c r="AC16" s="85">
        <f t="shared" si="0"/>
        <v>30500.48</v>
      </c>
      <c r="AD16" s="125">
        <f t="shared" si="1"/>
        <v>0</v>
      </c>
    </row>
    <row r="17" spans="1:30" s="116" customFormat="1" ht="27.45" customHeight="1" x14ac:dyDescent="0.3">
      <c r="A17" s="109" t="str">
        <f>+'Base_Resultado Mensal_V2'!A110</f>
        <v>Consultoria</v>
      </c>
      <c r="B17" s="100">
        <f>'DRE 2026'!C13</f>
        <v>23240.799999999999</v>
      </c>
      <c r="C17" s="110">
        <f>'Base_Resultado Mensal_V2'!C110</f>
        <v>30035.14</v>
      </c>
      <c r="D17" s="100">
        <f t="shared" si="6"/>
        <v>-6794.34</v>
      </c>
      <c r="E17" s="204">
        <f t="shared" si="7"/>
        <v>1.2923453581632303</v>
      </c>
      <c r="F17" s="100">
        <f>'DRE 2026'!D13</f>
        <v>23035.8</v>
      </c>
      <c r="G17" s="110">
        <f>'Base_Resultado Mensal_V2'!D110</f>
        <v>22509.85</v>
      </c>
      <c r="H17" s="100">
        <f t="shared" si="8"/>
        <v>525.95000000000073</v>
      </c>
      <c r="I17" s="204">
        <f t="shared" si="9"/>
        <v>0.977168146971236</v>
      </c>
      <c r="J17" s="100">
        <f>'DRE 2026'!E13</f>
        <v>22815.8</v>
      </c>
      <c r="K17" s="110">
        <f>'Base_Resultado Mensal_V2'!E110</f>
        <v>22457.809999999998</v>
      </c>
      <c r="L17" s="100">
        <f t="shared" si="10"/>
        <v>357.9900000000016</v>
      </c>
      <c r="M17" s="204">
        <f t="shared" si="11"/>
        <v>0.98430955741196879</v>
      </c>
      <c r="N17" s="100">
        <f>'DRE 2026'!F13</f>
        <v>23115.8</v>
      </c>
      <c r="O17" s="110">
        <f>'Base_Resultado Mensal_V2'!F110</f>
        <v>22343.079999999998</v>
      </c>
      <c r="P17" s="100">
        <f t="shared" si="12"/>
        <v>772.72000000000116</v>
      </c>
      <c r="Q17" s="204">
        <f t="shared" si="13"/>
        <v>0.96657178207113748</v>
      </c>
      <c r="R17" s="100">
        <f>'DRE 2026'!G13</f>
        <v>22815.8</v>
      </c>
      <c r="S17" s="110">
        <f>'Base_Resultado Mensal_V2'!G110</f>
        <v>22748.739999999998</v>
      </c>
      <c r="T17" s="100">
        <f t="shared" si="14"/>
        <v>67.06000000000131</v>
      </c>
      <c r="U17" s="204">
        <f t="shared" si="15"/>
        <v>0.99706080873780445</v>
      </c>
      <c r="V17" s="217">
        <f>'DRE 2026'!B13</f>
        <v>287104.88299999991</v>
      </c>
      <c r="W17" s="123">
        <f>'DRE 2026'!C13+'DRE 2026'!D13+'DRE 2026'!E13+'DRE 2026'!F13+'DRE 2026'!G13</f>
        <v>115024</v>
      </c>
      <c r="X17" s="102">
        <f>'Base_Resultado Mensal_V2'!B110</f>
        <v>120094.62</v>
      </c>
      <c r="Y17" s="112">
        <f t="shared" si="17"/>
        <v>-5070.6199999999953</v>
      </c>
      <c r="Z17" s="113">
        <f t="shared" si="5"/>
        <v>1.0440831478647934</v>
      </c>
      <c r="AA17" s="114">
        <f t="shared" si="16"/>
        <v>167010.26299999992</v>
      </c>
      <c r="AB17" s="115"/>
      <c r="AC17" s="85">
        <f t="shared" si="0"/>
        <v>120094.62</v>
      </c>
      <c r="AD17" s="125">
        <f t="shared" si="1"/>
        <v>0</v>
      </c>
    </row>
    <row r="18" spans="1:30" s="116" customFormat="1" ht="27.45" customHeight="1" x14ac:dyDescent="0.3">
      <c r="A18" s="109" t="str">
        <f>+'Base_Resultado Mensal_V2'!A116</f>
        <v>Salários Administração</v>
      </c>
      <c r="B18" s="100">
        <f>'DRE 2026'!C14</f>
        <v>6426.58</v>
      </c>
      <c r="C18" s="110">
        <f>'Base_Resultado Mensal_V2'!C116</f>
        <v>6408.59</v>
      </c>
      <c r="D18" s="100">
        <f t="shared" si="6"/>
        <v>17.989999999999782</v>
      </c>
      <c r="E18" s="204">
        <f t="shared" si="7"/>
        <v>0.99720068839102605</v>
      </c>
      <c r="F18" s="100">
        <f>'DRE 2026'!D14</f>
        <v>6776.58</v>
      </c>
      <c r="G18" s="110">
        <f>'Base_Resultado Mensal_V2'!D116</f>
        <v>6076.76</v>
      </c>
      <c r="H18" s="100">
        <f t="shared" si="8"/>
        <v>699.81999999999971</v>
      </c>
      <c r="I18" s="204">
        <f t="shared" si="9"/>
        <v>0.89672961877525248</v>
      </c>
      <c r="J18" s="100">
        <f>'DRE 2026'!E14</f>
        <v>7626.58</v>
      </c>
      <c r="K18" s="110">
        <f>'Base_Resultado Mensal_V2'!E116</f>
        <v>9751.1799999999985</v>
      </c>
      <c r="L18" s="100">
        <f t="shared" si="10"/>
        <v>-2124.5999999999985</v>
      </c>
      <c r="M18" s="204">
        <f t="shared" si="11"/>
        <v>1.2785783404881348</v>
      </c>
      <c r="N18" s="100">
        <f>'DRE 2026'!F14</f>
        <v>7626.58</v>
      </c>
      <c r="O18" s="110">
        <f>'Base_Resultado Mensal_V2'!F116</f>
        <v>9189.32</v>
      </c>
      <c r="P18" s="100">
        <f t="shared" si="12"/>
        <v>-1562.7399999999998</v>
      </c>
      <c r="Q18" s="204">
        <f t="shared" si="13"/>
        <v>1.2049070487689109</v>
      </c>
      <c r="R18" s="100">
        <f>'DRE 2026'!G14</f>
        <v>7626.58</v>
      </c>
      <c r="S18" s="110">
        <f>'Base_Resultado Mensal_V2'!G116</f>
        <v>12344.91</v>
      </c>
      <c r="T18" s="100">
        <f t="shared" si="14"/>
        <v>-4718.33</v>
      </c>
      <c r="U18" s="204">
        <f t="shared" si="15"/>
        <v>1.618669180681249</v>
      </c>
      <c r="V18" s="217">
        <f>'DRE 2026'!B14</f>
        <v>94659.531000000017</v>
      </c>
      <c r="W18" s="123">
        <f>'DRE 2026'!C14+'DRE 2026'!D14+'DRE 2026'!E14+'DRE 2026'!F14+'DRE 2026'!G14</f>
        <v>36082.9</v>
      </c>
      <c r="X18" s="102">
        <f>'Base_Resultado Mensal_V2'!B116</f>
        <v>43770.759999999995</v>
      </c>
      <c r="Y18" s="112">
        <f t="shared" si="17"/>
        <v>-7687.8599999999933</v>
      </c>
      <c r="Z18" s="113">
        <f t="shared" si="5"/>
        <v>1.2130610344512218</v>
      </c>
      <c r="AA18" s="114">
        <f t="shared" si="16"/>
        <v>50888.771000000022</v>
      </c>
      <c r="AB18" s="115"/>
      <c r="AC18" s="85">
        <f t="shared" si="0"/>
        <v>43770.759999999995</v>
      </c>
      <c r="AD18" s="125">
        <f t="shared" si="1"/>
        <v>0</v>
      </c>
    </row>
    <row r="19" spans="1:30" s="116" customFormat="1" ht="27.45" customHeight="1" x14ac:dyDescent="0.3">
      <c r="A19" s="109" t="str">
        <f>+'Base_Resultado Mensal_V2'!A124</f>
        <v xml:space="preserve">Administrativas </v>
      </c>
      <c r="B19" s="100">
        <f>'DRE 2026'!C15</f>
        <v>2996.8033333333333</v>
      </c>
      <c r="C19" s="110">
        <f>'Base_Resultado Mensal_V2'!C124</f>
        <v>4300.0300000000007</v>
      </c>
      <c r="D19" s="100">
        <f t="shared" si="6"/>
        <v>-1303.2266666666674</v>
      </c>
      <c r="E19" s="204">
        <f t="shared" si="7"/>
        <v>1.4348722694515603</v>
      </c>
      <c r="F19" s="100">
        <f>'DRE 2026'!D15</f>
        <v>14690.386666666667</v>
      </c>
      <c r="G19" s="110">
        <f>'Base_Resultado Mensal_V2'!D124</f>
        <v>6892.3300000000008</v>
      </c>
      <c r="H19" s="100">
        <f t="shared" si="8"/>
        <v>7798.0566666666664</v>
      </c>
      <c r="I19" s="204">
        <f t="shared" si="9"/>
        <v>0.46917281051826187</v>
      </c>
      <c r="J19" s="100">
        <f>'DRE 2026'!E15</f>
        <v>14690.386666666667</v>
      </c>
      <c r="K19" s="110">
        <f>'Base_Resultado Mensal_V2'!E124</f>
        <v>7109.7300000000005</v>
      </c>
      <c r="L19" s="100">
        <f t="shared" si="10"/>
        <v>7580.6566666666668</v>
      </c>
      <c r="M19" s="204">
        <f t="shared" si="11"/>
        <v>0.4839716041057236</v>
      </c>
      <c r="N19" s="100">
        <f>'DRE 2026'!F15</f>
        <v>14690.386666666667</v>
      </c>
      <c r="O19" s="110">
        <f>'Base_Resultado Mensal_V2'!F124</f>
        <v>7304.7300000000005</v>
      </c>
      <c r="P19" s="100">
        <f t="shared" si="12"/>
        <v>7385.6566666666668</v>
      </c>
      <c r="Q19" s="204">
        <f t="shared" si="13"/>
        <v>0.49724559099420124</v>
      </c>
      <c r="R19" s="100">
        <f>'DRE 2026'!G15</f>
        <v>3001.336666666667</v>
      </c>
      <c r="S19" s="110">
        <f>'Base_Resultado Mensal_V2'!G124</f>
        <v>2822.0600000000004</v>
      </c>
      <c r="T19" s="100">
        <f t="shared" si="14"/>
        <v>179.27666666666664</v>
      </c>
      <c r="U19" s="204">
        <f t="shared" si="15"/>
        <v>0.94026772515801293</v>
      </c>
      <c r="V19" s="217">
        <f>'DRE 2026'!B15</f>
        <v>91084.048566666679</v>
      </c>
      <c r="W19" s="123">
        <f>'DRE 2026'!C15+'DRE 2026'!D15+'DRE 2026'!E15+'DRE 2026'!F15+'DRE 2026'!G15</f>
        <v>50069.3</v>
      </c>
      <c r="X19" s="102">
        <f>'Base_Resultado Mensal_V2'!B124</f>
        <v>28428.880000000001</v>
      </c>
      <c r="Y19" s="112">
        <f t="shared" si="17"/>
        <v>21640.420000000002</v>
      </c>
      <c r="Z19" s="113">
        <f t="shared" si="5"/>
        <v>0.56779064216995245</v>
      </c>
      <c r="AA19" s="114">
        <f t="shared" si="16"/>
        <v>62655.168566666674</v>
      </c>
      <c r="AB19" s="115"/>
      <c r="AC19" s="85">
        <f t="shared" si="0"/>
        <v>28428.880000000001</v>
      </c>
      <c r="AD19" s="125">
        <f t="shared" si="1"/>
        <v>0</v>
      </c>
    </row>
    <row r="20" spans="1:30" s="116" customFormat="1" ht="27.45" customHeight="1" x14ac:dyDescent="0.3">
      <c r="A20" s="109" t="str">
        <f>'Base_Resultado Mensal_V2'!A134</f>
        <v>Taxas / Despesas Financeiras</v>
      </c>
      <c r="B20" s="100">
        <f>'DRE 2026'!C16</f>
        <v>0</v>
      </c>
      <c r="C20" s="110">
        <f>'Base_Resultado Mensal_V2'!C134</f>
        <v>0</v>
      </c>
      <c r="D20" s="100">
        <f t="shared" si="6"/>
        <v>0</v>
      </c>
      <c r="E20" s="204"/>
      <c r="F20" s="100">
        <f>'DRE 2026'!D16</f>
        <v>0</v>
      </c>
      <c r="G20" s="110">
        <f>'Base_Resultado Mensal_V2'!D134</f>
        <v>0</v>
      </c>
      <c r="H20" s="100">
        <f t="shared" si="8"/>
        <v>0</v>
      </c>
      <c r="I20" s="204"/>
      <c r="J20" s="100">
        <f>'DRE 2026'!E16</f>
        <v>0</v>
      </c>
      <c r="K20" s="110">
        <f>'Base_Resultado Mensal_V2'!E134</f>
        <v>0</v>
      </c>
      <c r="L20" s="100">
        <f t="shared" si="10"/>
        <v>0</v>
      </c>
      <c r="M20" s="204"/>
      <c r="N20" s="100">
        <f>'DRE 2026'!F16</f>
        <v>0</v>
      </c>
      <c r="O20" s="110">
        <f>'Base_Resultado Mensal_V2'!F134</f>
        <v>0</v>
      </c>
      <c r="P20" s="100">
        <f t="shared" si="12"/>
        <v>0</v>
      </c>
      <c r="Q20" s="204"/>
      <c r="R20" s="100">
        <f>'DRE 2026'!G16</f>
        <v>0</v>
      </c>
      <c r="S20" s="110">
        <f>'Base_Resultado Mensal_V2'!G134</f>
        <v>0</v>
      </c>
      <c r="T20" s="100">
        <f t="shared" si="14"/>
        <v>0</v>
      </c>
      <c r="U20" s="204"/>
      <c r="V20" s="217">
        <f>'DRE 2026'!B16</f>
        <v>0</v>
      </c>
      <c r="W20" s="123">
        <f>'DRE 2026'!C16+'DRE 2026'!D16+'DRE 2026'!E16+'DRE 2026'!F16+'DRE 2026'!G16</f>
        <v>0</v>
      </c>
      <c r="X20" s="102">
        <f>'Base_Resultado Mensal_V2'!B134</f>
        <v>0</v>
      </c>
      <c r="Y20" s="112">
        <f t="shared" si="17"/>
        <v>0</v>
      </c>
      <c r="Z20" s="113"/>
      <c r="AA20" s="114">
        <f t="shared" si="16"/>
        <v>0</v>
      </c>
      <c r="AB20" s="115"/>
      <c r="AC20" s="85">
        <f t="shared" si="0"/>
        <v>0</v>
      </c>
      <c r="AD20" s="125">
        <f t="shared" si="1"/>
        <v>0</v>
      </c>
    </row>
    <row r="21" spans="1:30" s="116" customFormat="1" ht="27.45" customHeight="1" x14ac:dyDescent="0.3">
      <c r="A21" s="109" t="str">
        <f>+'Base_Resultado Mensal_V2'!A137</f>
        <v>Investimentos em Prospecção</v>
      </c>
      <c r="B21" s="100">
        <f>'DRE 2026'!C17</f>
        <v>4500</v>
      </c>
      <c r="C21" s="110">
        <f>'Base_Resultado Mensal_V2'!C137</f>
        <v>1317.71</v>
      </c>
      <c r="D21" s="100">
        <f t="shared" si="6"/>
        <v>3182.29</v>
      </c>
      <c r="E21" s="204">
        <f>(C21/B21)</f>
        <v>0.29282444444444444</v>
      </c>
      <c r="F21" s="100">
        <f>'DRE 2026'!D17</f>
        <v>4500</v>
      </c>
      <c r="G21" s="110">
        <f>'Base_Resultado Mensal_V2'!D137</f>
        <v>1166.75</v>
      </c>
      <c r="H21" s="100">
        <f t="shared" si="8"/>
        <v>3333.25</v>
      </c>
      <c r="I21" s="204">
        <f>(G21/F21)</f>
        <v>0.25927777777777777</v>
      </c>
      <c r="J21" s="100">
        <f>'DRE 2026'!E17</f>
        <v>6000</v>
      </c>
      <c r="K21" s="110">
        <f>'Base_Resultado Mensal_V2'!E137</f>
        <v>811.14</v>
      </c>
      <c r="L21" s="100">
        <f t="shared" si="10"/>
        <v>5188.8599999999997</v>
      </c>
      <c r="M21" s="204">
        <f>(K21/J21)</f>
        <v>0.13519</v>
      </c>
      <c r="N21" s="100">
        <f>'DRE 2026'!F17</f>
        <v>6000</v>
      </c>
      <c r="O21" s="110">
        <f>'Base_Resultado Mensal_V2'!F137</f>
        <v>1826.5</v>
      </c>
      <c r="P21" s="100">
        <f t="shared" si="12"/>
        <v>4173.5</v>
      </c>
      <c r="Q21" s="204">
        <f>(O21/N21)</f>
        <v>0.30441666666666667</v>
      </c>
      <c r="R21" s="100">
        <f>'DRE 2026'!G17</f>
        <v>6000</v>
      </c>
      <c r="S21" s="110">
        <f>'Base_Resultado Mensal_V2'!G137</f>
        <v>1426.72</v>
      </c>
      <c r="T21" s="100">
        <f t="shared" si="14"/>
        <v>4573.28</v>
      </c>
      <c r="U21" s="204">
        <f>(S21/R21)</f>
        <v>0.23778666666666667</v>
      </c>
      <c r="V21" s="217">
        <f>'DRE 2026'!B17</f>
        <v>96000</v>
      </c>
      <c r="W21" s="123">
        <f>'DRE 2026'!C17+'DRE 2026'!D17+'DRE 2026'!E17+'DRE 2026'!F17+'DRE 2026'!G17</f>
        <v>27000</v>
      </c>
      <c r="X21" s="102">
        <f>'Base_Resultado Mensal_V2'!B137</f>
        <v>6548.8200000000006</v>
      </c>
      <c r="Y21" s="112">
        <f t="shared" si="17"/>
        <v>20451.18</v>
      </c>
      <c r="Z21" s="113">
        <f t="shared" si="5"/>
        <v>0.24254888888888892</v>
      </c>
      <c r="AA21" s="114">
        <f t="shared" si="16"/>
        <v>89451.18</v>
      </c>
      <c r="AB21" s="115"/>
      <c r="AC21" s="85">
        <f t="shared" si="0"/>
        <v>6548.8200000000006</v>
      </c>
      <c r="AD21" s="125">
        <f t="shared" si="1"/>
        <v>0</v>
      </c>
    </row>
    <row r="22" spans="1:30" s="116" customFormat="1" ht="27.45" customHeight="1" x14ac:dyDescent="0.3">
      <c r="A22" s="109" t="str">
        <f>'Base_Resultado Mensal_V2'!A164</f>
        <v>Endomarketing</v>
      </c>
      <c r="B22" s="100">
        <f>'DRE 2026'!C18</f>
        <v>100</v>
      </c>
      <c r="C22" s="110">
        <f>'Base_Resultado Mensal_V2'!C164</f>
        <v>0</v>
      </c>
      <c r="D22" s="100">
        <f t="shared" si="6"/>
        <v>100</v>
      </c>
      <c r="E22" s="204">
        <f>(C22/B22)</f>
        <v>0</v>
      </c>
      <c r="F22" s="100">
        <f>'DRE 2026'!D18</f>
        <v>100</v>
      </c>
      <c r="G22" s="110">
        <f>'Base_Resultado Mensal_V2'!D164</f>
        <v>0</v>
      </c>
      <c r="H22" s="100">
        <f t="shared" si="8"/>
        <v>100</v>
      </c>
      <c r="I22" s="204">
        <f>(G22/F22)</f>
        <v>0</v>
      </c>
      <c r="J22" s="100">
        <f>'DRE 2026'!E18</f>
        <v>100</v>
      </c>
      <c r="K22" s="110">
        <f>'Base_Resultado Mensal_V2'!E164</f>
        <v>64.98</v>
      </c>
      <c r="L22" s="100">
        <f t="shared" si="10"/>
        <v>35.019999999999996</v>
      </c>
      <c r="M22" s="204">
        <f>(K22/J22)</f>
        <v>0.64980000000000004</v>
      </c>
      <c r="N22" s="100">
        <f>'DRE 2026'!F18</f>
        <v>100</v>
      </c>
      <c r="O22" s="110">
        <f>'Base_Resultado Mensal_V2'!F164</f>
        <v>61.98</v>
      </c>
      <c r="P22" s="100">
        <f t="shared" si="12"/>
        <v>38.020000000000003</v>
      </c>
      <c r="Q22" s="204">
        <f>(O22/N22)</f>
        <v>0.61980000000000002</v>
      </c>
      <c r="R22" s="100">
        <f>'DRE 2026'!G18</f>
        <v>100</v>
      </c>
      <c r="S22" s="110">
        <f>'Base_Resultado Mensal_V2'!G164</f>
        <v>420.98</v>
      </c>
      <c r="T22" s="100">
        <f t="shared" si="14"/>
        <v>-320.98</v>
      </c>
      <c r="U22" s="204">
        <f>(S22/R22)</f>
        <v>4.2098000000000004</v>
      </c>
      <c r="V22" s="217">
        <f>'DRE 2026'!B18</f>
        <v>1200</v>
      </c>
      <c r="W22" s="123">
        <f>'DRE 2026'!C18+'DRE 2026'!D18+'DRE 2026'!E18+'DRE 2026'!F18+'DRE 2026'!G18</f>
        <v>500</v>
      </c>
      <c r="X22" s="102">
        <f>'Base_Resultado Mensal_V2'!B164</f>
        <v>547.94000000000005</v>
      </c>
      <c r="Y22" s="112">
        <f t="shared" si="17"/>
        <v>-47.940000000000055</v>
      </c>
      <c r="Z22" s="113">
        <f t="shared" si="5"/>
        <v>1.0958800000000002</v>
      </c>
      <c r="AA22" s="114">
        <f t="shared" si="16"/>
        <v>652.05999999999995</v>
      </c>
      <c r="AB22" s="115"/>
      <c r="AC22" s="85">
        <f t="shared" si="0"/>
        <v>547.94000000000005</v>
      </c>
      <c r="AD22" s="125">
        <f t="shared" si="1"/>
        <v>0</v>
      </c>
    </row>
    <row r="23" spans="1:30" s="116" customFormat="1" ht="27.45" customHeight="1" x14ac:dyDescent="0.3">
      <c r="A23" s="109" t="str">
        <f>'Base_Resultado Mensal_V2'!A158</f>
        <v>Gestão do Conhecimento</v>
      </c>
      <c r="B23" s="100">
        <f>'DRE 2026'!C19</f>
        <v>0</v>
      </c>
      <c r="C23" s="110">
        <f>'Base_Resultado Mensal_V2'!C158</f>
        <v>692.37</v>
      </c>
      <c r="D23" s="100">
        <f t="shared" si="6"/>
        <v>-692.37</v>
      </c>
      <c r="E23" s="204"/>
      <c r="F23" s="100">
        <f>'DRE 2026'!D19</f>
        <v>0</v>
      </c>
      <c r="G23" s="110">
        <f>'Base_Resultado Mensal_V2'!D158</f>
        <v>0</v>
      </c>
      <c r="H23" s="100">
        <f t="shared" si="8"/>
        <v>0</v>
      </c>
      <c r="I23" s="204"/>
      <c r="J23" s="100">
        <f>'DRE 2026'!E19</f>
        <v>0</v>
      </c>
      <c r="K23" s="110">
        <f>'Base_Resultado Mensal_V2'!E158</f>
        <v>1094.49</v>
      </c>
      <c r="L23" s="100">
        <f t="shared" si="10"/>
        <v>-1094.49</v>
      </c>
      <c r="M23" s="204"/>
      <c r="N23" s="100">
        <f>'DRE 2026'!F19</f>
        <v>150</v>
      </c>
      <c r="O23" s="110">
        <f>'Base_Resultado Mensal_V2'!F158</f>
        <v>1450</v>
      </c>
      <c r="P23" s="100">
        <f t="shared" si="12"/>
        <v>-1300</v>
      </c>
      <c r="Q23" s="204"/>
      <c r="R23" s="100">
        <f>'DRE 2026'!G19</f>
        <v>0</v>
      </c>
      <c r="S23" s="110">
        <f>'Base_Resultado Mensal_V2'!G158</f>
        <v>1600</v>
      </c>
      <c r="T23" s="100">
        <f t="shared" si="14"/>
        <v>-1600</v>
      </c>
      <c r="U23" s="204"/>
      <c r="V23" s="217">
        <f>'DRE 2026'!B19</f>
        <v>2300</v>
      </c>
      <c r="W23" s="123">
        <f>'DRE 2026'!C19+'DRE 2026'!D19+'DRE 2026'!E19+'DRE 2026'!F19+'DRE 2026'!G19</f>
        <v>150</v>
      </c>
      <c r="X23" s="102">
        <f>'Base_Resultado Mensal_V2'!B158</f>
        <v>4836.8600000000006</v>
      </c>
      <c r="Y23" s="112">
        <f t="shared" si="17"/>
        <v>-4686.8600000000006</v>
      </c>
      <c r="Z23" s="113">
        <f t="shared" si="5"/>
        <v>32.245733333333334</v>
      </c>
      <c r="AA23" s="114">
        <f t="shared" si="16"/>
        <v>-2536.8600000000006</v>
      </c>
      <c r="AB23" s="115"/>
      <c r="AC23" s="85">
        <f t="shared" si="0"/>
        <v>4836.8600000000006</v>
      </c>
      <c r="AD23" s="125">
        <f t="shared" si="1"/>
        <v>0</v>
      </c>
    </row>
    <row r="24" spans="1:30" s="133" customFormat="1" ht="27.45" customHeight="1" thickBot="1" x14ac:dyDescent="0.35">
      <c r="A24" s="126" t="str">
        <f>+'Base_Resultado Mensal_V2'!A180</f>
        <v xml:space="preserve">Informática </v>
      </c>
      <c r="B24" s="100">
        <f>'DRE 2026'!C20</f>
        <v>30300</v>
      </c>
      <c r="C24" s="127">
        <f>'Base_Resultado Mensal_V2'!C180</f>
        <v>22186.77</v>
      </c>
      <c r="D24" s="100">
        <f t="shared" si="6"/>
        <v>8113.23</v>
      </c>
      <c r="E24" s="205">
        <f>(C24/B24)</f>
        <v>0.73223663366336633</v>
      </c>
      <c r="F24" s="100">
        <f>'DRE 2026'!D20</f>
        <v>22800</v>
      </c>
      <c r="G24" s="127">
        <f>'Base_Resultado Mensal_V2'!D180</f>
        <v>17620.95</v>
      </c>
      <c r="H24" s="100">
        <f t="shared" si="8"/>
        <v>5179.0499999999993</v>
      </c>
      <c r="I24" s="205">
        <f>(G24/F24)</f>
        <v>0.77284868421052633</v>
      </c>
      <c r="J24" s="100">
        <f>'DRE 2026'!E20</f>
        <v>37800</v>
      </c>
      <c r="K24" s="127">
        <f>'Base_Resultado Mensal_V2'!E180</f>
        <v>17106.57</v>
      </c>
      <c r="L24" s="100">
        <f t="shared" si="10"/>
        <v>20693.43</v>
      </c>
      <c r="M24" s="205">
        <f>(K24/J24)</f>
        <v>0.4525547619047619</v>
      </c>
      <c r="N24" s="100">
        <f>'DRE 2026'!F20</f>
        <v>30300</v>
      </c>
      <c r="O24" s="127">
        <f>'Base_Resultado Mensal_V2'!F180</f>
        <v>25136.53</v>
      </c>
      <c r="P24" s="100">
        <f t="shared" si="12"/>
        <v>5163.4700000000012</v>
      </c>
      <c r="Q24" s="205">
        <f>(O24/N24)</f>
        <v>0.82958844884488447</v>
      </c>
      <c r="R24" s="100">
        <f>'DRE 2026'!G20</f>
        <v>22800</v>
      </c>
      <c r="S24" s="127">
        <f>'Base_Resultado Mensal_V2'!G180</f>
        <v>19962.75</v>
      </c>
      <c r="T24" s="100">
        <f t="shared" si="14"/>
        <v>2837.25</v>
      </c>
      <c r="U24" s="205">
        <f>(S24/R24)</f>
        <v>0.8755592105263158</v>
      </c>
      <c r="V24" s="217">
        <f>'DRE 2026'!B20</f>
        <v>318600</v>
      </c>
      <c r="W24" s="123">
        <f>'DRE 2026'!C20+'DRE 2026'!D20+'DRE 2026'!E20+'DRE 2026'!F20+'DRE 2026'!G20</f>
        <v>144000</v>
      </c>
      <c r="X24" s="102">
        <f>'Base_Resultado Mensal_V2'!B180</f>
        <v>102013.57</v>
      </c>
      <c r="Y24" s="128">
        <f t="shared" si="17"/>
        <v>41986.429999999993</v>
      </c>
      <c r="Z24" s="129">
        <f t="shared" si="5"/>
        <v>0.70842756944444452</v>
      </c>
      <c r="AA24" s="130">
        <f>V24-X24</f>
        <v>216586.43</v>
      </c>
      <c r="AB24" s="131"/>
      <c r="AC24" s="85">
        <f t="shared" si="0"/>
        <v>102013.57</v>
      </c>
      <c r="AD24" s="132">
        <f t="shared" si="1"/>
        <v>0</v>
      </c>
    </row>
    <row r="25" spans="1:30" s="264" customFormat="1" ht="27.45" customHeight="1" x14ac:dyDescent="0.3">
      <c r="A25" s="260" t="s">
        <v>65</v>
      </c>
      <c r="B25" s="261">
        <f>B3-B6-B13</f>
        <v>352973.41666666663</v>
      </c>
      <c r="C25" s="261">
        <f>C4-C6-C13</f>
        <v>-31603.01999999999</v>
      </c>
      <c r="D25" s="261"/>
      <c r="E25" s="262"/>
      <c r="F25" s="261">
        <f>F3-F6-F13</f>
        <v>347496.16953333328</v>
      </c>
      <c r="G25" s="261">
        <f>G4-G6-G13</f>
        <v>5732.4500000000407</v>
      </c>
      <c r="H25" s="261"/>
      <c r="I25" s="262"/>
      <c r="J25" s="261">
        <f>J3-J6-J13</f>
        <v>342745.9445333333</v>
      </c>
      <c r="K25" s="261">
        <f>K4-K6-K13</f>
        <v>312453.45000000007</v>
      </c>
      <c r="L25" s="261"/>
      <c r="M25" s="262"/>
      <c r="N25" s="261">
        <f>N3-N6-N13</f>
        <v>343445.9445333333</v>
      </c>
      <c r="O25" s="261">
        <f>O4-O6-O13</f>
        <v>-81401.479999999981</v>
      </c>
      <c r="P25" s="261"/>
      <c r="Q25" s="262"/>
      <c r="R25" s="261">
        <f>R3-R6-R13</f>
        <v>369434.99453333335</v>
      </c>
      <c r="S25" s="261">
        <f>S4-S6-S13</f>
        <v>100327.11000000002</v>
      </c>
      <c r="T25" s="261"/>
      <c r="U25" s="262"/>
      <c r="V25" s="220">
        <f>V3-V6-V13</f>
        <v>4234455.9978833329</v>
      </c>
      <c r="W25" s="140">
        <f>W3-W6-W13</f>
        <v>1756096.4697999998</v>
      </c>
      <c r="X25" s="140">
        <f>X4-X6-X13</f>
        <v>305508.51</v>
      </c>
      <c r="Y25" s="140"/>
      <c r="Z25" s="141"/>
      <c r="AA25" s="140"/>
      <c r="AB25" s="261"/>
      <c r="AC25" s="85"/>
      <c r="AD25" s="263"/>
    </row>
    <row r="26" spans="1:30" s="269" customFormat="1" ht="27.45" customHeight="1" thickBot="1" x14ac:dyDescent="0.35">
      <c r="A26" s="265" t="s">
        <v>66</v>
      </c>
      <c r="B26" s="142">
        <f>B25/B3</f>
        <v>0.52551873188328169</v>
      </c>
      <c r="C26" s="487">
        <f>C25/C4</f>
        <v>-0.1129401013297533</v>
      </c>
      <c r="D26" s="266"/>
      <c r="E26" s="267"/>
      <c r="F26" s="142">
        <f>F25/F3</f>
        <v>0.51736402155154315</v>
      </c>
      <c r="G26" s="487">
        <f>G25/G4</f>
        <v>1.7956914181772608E-2</v>
      </c>
      <c r="H26" s="266"/>
      <c r="I26" s="267"/>
      <c r="J26" s="142">
        <f>J25/J3</f>
        <v>0.51029172630128172</v>
      </c>
      <c r="K26" s="142">
        <f>K25/K4</f>
        <v>0.51012661579943874</v>
      </c>
      <c r="L26" s="266"/>
      <c r="M26" s="267"/>
      <c r="N26" s="142">
        <f>N25/N3</f>
        <v>0.51133390991893835</v>
      </c>
      <c r="O26" s="142">
        <f>O25/O4</f>
        <v>-0.34155308834323994</v>
      </c>
      <c r="P26" s="266"/>
      <c r="Q26" s="267"/>
      <c r="R26" s="142">
        <f>R25/R3</f>
        <v>0.55002728441673798</v>
      </c>
      <c r="S26" s="142">
        <f>S25/S4</f>
        <v>0.24121268584947397</v>
      </c>
      <c r="T26" s="266"/>
      <c r="U26" s="267"/>
      <c r="V26" s="142">
        <f>V25/V3</f>
        <v>0.52536674650975967</v>
      </c>
      <c r="W26" s="142">
        <f>W25/W3</f>
        <v>0.52290713481435658</v>
      </c>
      <c r="X26" s="142">
        <f>X25/X4</f>
        <v>0.16374025426261224</v>
      </c>
      <c r="Y26" s="142"/>
      <c r="Z26" s="142"/>
      <c r="AA26" s="142"/>
      <c r="AB26" s="142"/>
      <c r="AC26" s="85"/>
      <c r="AD26" s="268"/>
    </row>
    <row r="27" spans="1:30" customFormat="1" ht="27.45" customHeight="1" x14ac:dyDescent="0.3">
      <c r="A27" s="313">
        <v>0.15</v>
      </c>
      <c r="B27" s="56"/>
      <c r="F27" s="56"/>
      <c r="J27" s="56"/>
      <c r="N27" s="56"/>
      <c r="R27" s="56"/>
      <c r="AC27" s="85"/>
    </row>
    <row r="28" spans="1:30" s="149" customFormat="1" ht="27.45" customHeight="1" x14ac:dyDescent="0.3">
      <c r="A28" s="143" t="s">
        <v>67</v>
      </c>
      <c r="B28" s="144">
        <f>'DRE 2026'!C23</f>
        <v>100750.00050000001</v>
      </c>
      <c r="C28" s="144">
        <f>C4*$A$27</f>
        <v>41973.160499999998</v>
      </c>
      <c r="D28" s="144"/>
      <c r="E28" s="206"/>
      <c r="F28" s="144">
        <f>'DRE 2026'!D23</f>
        <v>100750.00050000001</v>
      </c>
      <c r="G28" s="144">
        <f>G4*$A$27</f>
        <v>47885.037000000004</v>
      </c>
      <c r="H28" s="100"/>
      <c r="I28" s="206"/>
      <c r="J28" s="144">
        <f>'DRE 2026'!H23</f>
        <v>100750.00050000001</v>
      </c>
      <c r="K28" s="144">
        <f>K4*$A$27</f>
        <v>91875.263999999996</v>
      </c>
      <c r="L28" s="100"/>
      <c r="M28" s="206"/>
      <c r="N28" s="144">
        <f>'DRE 2026'!L23</f>
        <v>100750.00050000001</v>
      </c>
      <c r="O28" s="144">
        <f>O4*$A$27</f>
        <v>35749.118999999999</v>
      </c>
      <c r="P28" s="100"/>
      <c r="Q28" s="206"/>
      <c r="R28" s="144">
        <f>'DRE 2026'!G23</f>
        <v>100750.00050000001</v>
      </c>
      <c r="S28" s="144">
        <f>S4*$A$27</f>
        <v>62389.2</v>
      </c>
      <c r="T28" s="100"/>
      <c r="U28" s="206"/>
      <c r="V28" s="221">
        <f>'DRE 2026'!B23</f>
        <v>1209000.0060000001</v>
      </c>
      <c r="W28" s="145">
        <f>'DRE 2026'!C23+'DRE 2026'!D23+'DRE 2026'!E23+'DRE 2026'!F23+'DRE 2026'!G23</f>
        <v>503750.00250000006</v>
      </c>
      <c r="X28" s="111">
        <f>X4*A27</f>
        <v>279871.78049999999</v>
      </c>
      <c r="Y28" s="146"/>
      <c r="Z28" s="104"/>
      <c r="AA28" s="147"/>
      <c r="AB28" s="147"/>
      <c r="AC28" s="85">
        <f t="shared" si="0"/>
        <v>279871.78049999999</v>
      </c>
      <c r="AD28" s="148">
        <f>X28-AC28</f>
        <v>0</v>
      </c>
    </row>
    <row r="29" spans="1:30" s="162" customFormat="1" ht="27.45" customHeight="1" x14ac:dyDescent="0.3">
      <c r="A29" s="157" t="s">
        <v>315</v>
      </c>
      <c r="B29" s="158">
        <f>'DRE 2026'!C24</f>
        <v>8117</v>
      </c>
      <c r="C29" s="158">
        <v>8117</v>
      </c>
      <c r="D29" s="158"/>
      <c r="E29" s="207"/>
      <c r="F29" s="158">
        <v>8117</v>
      </c>
      <c r="G29" s="158">
        <f>F29</f>
        <v>8117</v>
      </c>
      <c r="H29" s="100"/>
      <c r="I29" s="207"/>
      <c r="J29" s="158">
        <v>8117</v>
      </c>
      <c r="K29" s="158">
        <f>J29</f>
        <v>8117</v>
      </c>
      <c r="L29" s="100"/>
      <c r="M29" s="207"/>
      <c r="N29" s="158">
        <v>8117</v>
      </c>
      <c r="O29" s="158">
        <f>N29</f>
        <v>8117</v>
      </c>
      <c r="P29" s="100"/>
      <c r="Q29" s="207"/>
      <c r="R29" s="158">
        <v>8117</v>
      </c>
      <c r="S29" s="158">
        <f>R29</f>
        <v>8117</v>
      </c>
      <c r="T29" s="100"/>
      <c r="U29" s="207"/>
      <c r="V29" s="222">
        <f>'DRE 2026'!B24</f>
        <v>97404</v>
      </c>
      <c r="W29" s="145">
        <f>'DRE 2026'!C24+'DRE 2026'!D24+'DRE 2026'!E24+'DRE 2026'!F24+'DRE 2026'!G24</f>
        <v>40585</v>
      </c>
      <c r="X29" s="111">
        <f>C29+G29+K29+O29+S29</f>
        <v>40585</v>
      </c>
      <c r="Y29" s="159"/>
      <c r="Z29" s="160"/>
      <c r="AA29" s="161"/>
      <c r="AB29" s="161"/>
      <c r="AC29" s="85">
        <f t="shared" si="0"/>
        <v>40585</v>
      </c>
      <c r="AD29" s="148">
        <f>X29-AC29</f>
        <v>0</v>
      </c>
    </row>
    <row r="30" spans="1:30" s="259" customFormat="1" ht="27.45" customHeight="1" x14ac:dyDescent="0.3">
      <c r="A30" s="270" t="s">
        <v>69</v>
      </c>
      <c r="B30" s="457">
        <f>B25-B28-B29</f>
        <v>244106.4161666666</v>
      </c>
      <c r="C30" s="251">
        <f>C25-C28-C29</f>
        <v>-81693.180499999988</v>
      </c>
      <c r="D30" s="251"/>
      <c r="E30" s="252"/>
      <c r="F30" s="457">
        <f>F25-F28-F29</f>
        <v>238629.16903333325</v>
      </c>
      <c r="G30" s="251">
        <f>G25-G28-G29</f>
        <v>-50269.586999999963</v>
      </c>
      <c r="H30" s="251"/>
      <c r="I30" s="252"/>
      <c r="J30" s="457">
        <f>J25-J28-J29</f>
        <v>233878.94403333328</v>
      </c>
      <c r="K30" s="251">
        <f>K25-K28-K29</f>
        <v>212461.18600000007</v>
      </c>
      <c r="L30" s="251"/>
      <c r="M30" s="252"/>
      <c r="N30" s="457">
        <f>N25-N28-N29</f>
        <v>234578.94403333328</v>
      </c>
      <c r="O30" s="251">
        <f>O25-O28-O29</f>
        <v>-125267.59899999999</v>
      </c>
      <c r="P30" s="251"/>
      <c r="Q30" s="252"/>
      <c r="R30" s="457">
        <f>R25-R28-R29</f>
        <v>260567.99403333332</v>
      </c>
      <c r="S30" s="251">
        <f>S25-S28-S29</f>
        <v>29820.910000000018</v>
      </c>
      <c r="T30" s="251"/>
      <c r="U30" s="252"/>
      <c r="V30" s="254">
        <f>V25-V28-V29</f>
        <v>2928051.9918833328</v>
      </c>
      <c r="W30" s="255">
        <f>W25-W28-W29</f>
        <v>1211761.4672999997</v>
      </c>
      <c r="X30" s="540">
        <f>X25-X28-X29</f>
        <v>-14948.270499999984</v>
      </c>
      <c r="Y30" s="256"/>
      <c r="Z30" s="257"/>
      <c r="AA30" s="255"/>
      <c r="AB30" s="253"/>
      <c r="AC30" s="85"/>
      <c r="AD30" s="258"/>
    </row>
    <row r="31" spans="1:30" s="275" customFormat="1" ht="27.45" customHeight="1" x14ac:dyDescent="0.3">
      <c r="A31" s="271" t="s">
        <v>70</v>
      </c>
      <c r="B31" s="163">
        <f>B30/B3</f>
        <v>0.36343386841968289</v>
      </c>
      <c r="C31" s="486">
        <f>C30/C4</f>
        <v>-0.29194792407876929</v>
      </c>
      <c r="D31" s="272"/>
      <c r="E31" s="273"/>
      <c r="F31" s="163">
        <f>F30/F3</f>
        <v>0.35527915808794447</v>
      </c>
      <c r="G31" s="486">
        <f>G30/G4</f>
        <v>-0.15746960893023837</v>
      </c>
      <c r="H31" s="272"/>
      <c r="I31" s="273"/>
      <c r="J31" s="163">
        <f>J30/J3</f>
        <v>0.34820686283768293</v>
      </c>
      <c r="K31" s="163">
        <f>K30/K4</f>
        <v>0.34687440898129024</v>
      </c>
      <c r="L31" s="272"/>
      <c r="M31" s="273"/>
      <c r="N31" s="163">
        <f>N30/N3</f>
        <v>0.34924904645533961</v>
      </c>
      <c r="O31" s="163">
        <f>O30/O4</f>
        <v>-0.52561127030850741</v>
      </c>
      <c r="P31" s="272"/>
      <c r="Q31" s="273"/>
      <c r="R31" s="163">
        <f>R30/R3</f>
        <v>0.3879424209531393</v>
      </c>
      <c r="S31" s="163">
        <f>S30/S4</f>
        <v>7.1697288953857435E-2</v>
      </c>
      <c r="T31" s="272"/>
      <c r="U31" s="273"/>
      <c r="V31" s="223">
        <f>V30/V3</f>
        <v>0.36328188304616099</v>
      </c>
      <c r="W31" s="163">
        <f>W30/W3</f>
        <v>0.36082227135075784</v>
      </c>
      <c r="X31" s="163">
        <f>X30/X4</f>
        <v>-8.0116708122346669E-3</v>
      </c>
      <c r="Y31" s="163"/>
      <c r="Z31" s="163"/>
      <c r="AA31" s="163"/>
      <c r="AB31" s="163"/>
      <c r="AC31" s="85"/>
      <c r="AD31" s="274"/>
    </row>
    <row r="32" spans="1:30" s="281" customFormat="1" ht="27.45" customHeight="1" x14ac:dyDescent="0.3">
      <c r="A32" s="276" t="s">
        <v>316</v>
      </c>
      <c r="B32" s="277">
        <f>B30*10%</f>
        <v>24410.64161666666</v>
      </c>
      <c r="C32" s="277">
        <f>C30*10%</f>
        <v>-8169.3180499999989</v>
      </c>
      <c r="D32" s="277"/>
      <c r="E32" s="278"/>
      <c r="F32" s="277">
        <f>F30*10%</f>
        <v>23862.916903333327</v>
      </c>
      <c r="G32" s="277">
        <f>G30*10%</f>
        <v>-5026.9586999999965</v>
      </c>
      <c r="H32" s="277"/>
      <c r="I32" s="278"/>
      <c r="J32" s="277">
        <f>J30*10%</f>
        <v>23387.894403333328</v>
      </c>
      <c r="K32" s="277">
        <f>K30*10%</f>
        <v>21246.118600000009</v>
      </c>
      <c r="L32" s="277"/>
      <c r="M32" s="278"/>
      <c r="N32" s="277">
        <f>N30*10%</f>
        <v>23457.894403333328</v>
      </c>
      <c r="O32" s="277">
        <f>O30*10%</f>
        <v>-12526.759899999999</v>
      </c>
      <c r="P32" s="277"/>
      <c r="Q32" s="278"/>
      <c r="R32" s="277">
        <f>R30*10%</f>
        <v>26056.799403333334</v>
      </c>
      <c r="S32" s="277">
        <f>S30*10%</f>
        <v>2982.0910000000022</v>
      </c>
      <c r="T32" s="277"/>
      <c r="U32" s="278"/>
      <c r="V32" s="279">
        <f>V30*10%</f>
        <v>292805.1991883333</v>
      </c>
      <c r="W32" s="277">
        <f>W30*10%</f>
        <v>121176.14672999998</v>
      </c>
      <c r="X32" s="539">
        <f>X30*10%</f>
        <v>-1494.8270499999985</v>
      </c>
      <c r="Y32" s="154"/>
      <c r="Z32" s="154"/>
      <c r="AA32" s="154"/>
      <c r="AB32" s="154"/>
      <c r="AC32" s="85"/>
      <c r="AD32" s="280"/>
    </row>
    <row r="33" spans="1:30" customFormat="1" ht="27.45" customHeight="1" x14ac:dyDescent="0.3">
      <c r="B33" s="56"/>
      <c r="F33" s="56"/>
      <c r="J33" s="56"/>
      <c r="N33" s="56"/>
      <c r="R33" s="56"/>
      <c r="X33" s="49"/>
      <c r="AC33" s="85">
        <f t="shared" si="0"/>
        <v>0</v>
      </c>
    </row>
    <row r="34" spans="1:30" s="168" customFormat="1" ht="27.45" customHeight="1" x14ac:dyDescent="0.4">
      <c r="A34" s="164">
        <v>0.15</v>
      </c>
      <c r="B34" s="555" t="s">
        <v>251</v>
      </c>
      <c r="C34" s="556"/>
      <c r="D34" s="557"/>
      <c r="E34" s="165"/>
      <c r="F34" s="552" t="s">
        <v>35</v>
      </c>
      <c r="G34" s="553"/>
      <c r="H34" s="554"/>
      <c r="I34" s="506"/>
      <c r="J34" s="552" t="str">
        <f>J1</f>
        <v>Março</v>
      </c>
      <c r="K34" s="553"/>
      <c r="L34" s="554"/>
      <c r="M34" s="506"/>
      <c r="N34" s="552" t="str">
        <f>N1</f>
        <v>Abril</v>
      </c>
      <c r="O34" s="553"/>
      <c r="P34" s="554"/>
      <c r="Q34" s="506"/>
      <c r="R34" s="552" t="str">
        <f>R1</f>
        <v>Maio</v>
      </c>
      <c r="S34" s="553"/>
      <c r="T34" s="554"/>
      <c r="U34" s="506"/>
      <c r="V34" s="224"/>
      <c r="W34" s="166"/>
      <c r="X34" s="166"/>
      <c r="Y34" s="166"/>
      <c r="Z34" s="167"/>
      <c r="AA34" s="166"/>
      <c r="AB34" s="166"/>
      <c r="AC34" s="85">
        <f t="shared" si="0"/>
        <v>0</v>
      </c>
      <c r="AD34" s="169"/>
    </row>
    <row r="35" spans="1:30" ht="27.45" customHeight="1" x14ac:dyDescent="0.25">
      <c r="A35" s="170" t="s">
        <v>317</v>
      </c>
      <c r="B35" s="67" t="s">
        <v>47</v>
      </c>
      <c r="C35" s="67" t="s">
        <v>242</v>
      </c>
      <c r="D35" s="67" t="s">
        <v>308</v>
      </c>
      <c r="E35" s="208" t="s">
        <v>309</v>
      </c>
      <c r="F35" s="507" t="s">
        <v>47</v>
      </c>
      <c r="G35" s="507" t="s">
        <v>242</v>
      </c>
      <c r="H35" s="507" t="s">
        <v>308</v>
      </c>
      <c r="I35" s="508" t="s">
        <v>309</v>
      </c>
      <c r="J35" s="507" t="s">
        <v>47</v>
      </c>
      <c r="K35" s="507" t="s">
        <v>242</v>
      </c>
      <c r="L35" s="507" t="s">
        <v>308</v>
      </c>
      <c r="M35" s="508" t="s">
        <v>309</v>
      </c>
      <c r="N35" s="507" t="s">
        <v>47</v>
      </c>
      <c r="O35" s="507" t="s">
        <v>242</v>
      </c>
      <c r="P35" s="507" t="s">
        <v>308</v>
      </c>
      <c r="Q35" s="508" t="s">
        <v>309</v>
      </c>
      <c r="R35" s="507" t="s">
        <v>47</v>
      </c>
      <c r="S35" s="507" t="s">
        <v>242</v>
      </c>
      <c r="T35" s="507" t="s">
        <v>308</v>
      </c>
      <c r="U35" s="508" t="s">
        <v>309</v>
      </c>
      <c r="V35" s="212" t="s">
        <v>310</v>
      </c>
      <c r="W35" s="69" t="s">
        <v>311</v>
      </c>
      <c r="X35" s="69" t="s">
        <v>242</v>
      </c>
      <c r="Y35" s="69" t="s">
        <v>312</v>
      </c>
      <c r="Z35" s="70" t="s">
        <v>309</v>
      </c>
      <c r="AA35" s="71" t="s">
        <v>313</v>
      </c>
      <c r="AB35" s="71"/>
      <c r="AC35" s="85"/>
      <c r="AD35" s="72"/>
    </row>
    <row r="36" spans="1:30" s="259" customFormat="1" ht="27.45" customHeight="1" x14ac:dyDescent="0.3">
      <c r="A36" s="250" t="s">
        <v>314</v>
      </c>
      <c r="B36" s="457">
        <f>($B$3-($B$3/4))/2</f>
        <v>251875.00125000003</v>
      </c>
      <c r="C36" s="460">
        <v>38071</v>
      </c>
      <c r="D36" s="251">
        <f>C36-B36</f>
        <v>-213804.00125000003</v>
      </c>
      <c r="E36" s="252">
        <f>C36/B36</f>
        <v>0.15115037145831078</v>
      </c>
      <c r="F36" s="457">
        <f>B36</f>
        <v>251875.00125000003</v>
      </c>
      <c r="G36" s="460">
        <v>159539</v>
      </c>
      <c r="H36" s="251">
        <f>G36-F36</f>
        <v>-92336.00125000003</v>
      </c>
      <c r="I36" s="252">
        <f>G36/F36</f>
        <v>0.63340545591362052</v>
      </c>
      <c r="J36" s="457">
        <f>F36</f>
        <v>251875.00125000003</v>
      </c>
      <c r="K36" s="460">
        <v>159925</v>
      </c>
      <c r="L36" s="251">
        <f>K36-J36</f>
        <v>-91950.00125000003</v>
      </c>
      <c r="M36" s="252">
        <f>K36/J36</f>
        <v>0.63493796210948894</v>
      </c>
      <c r="N36" s="457">
        <f>J36</f>
        <v>251875.00125000003</v>
      </c>
      <c r="O36" s="460">
        <v>56461</v>
      </c>
      <c r="P36" s="251">
        <f>O36-N36</f>
        <v>-195414.00125000003</v>
      </c>
      <c r="Q36" s="252">
        <f>O36/N36</f>
        <v>0.22416277804385715</v>
      </c>
      <c r="R36" s="457">
        <f>N36</f>
        <v>251875.00125000003</v>
      </c>
      <c r="S36" s="460">
        <v>240445</v>
      </c>
      <c r="T36" s="251">
        <f>S36-R36</f>
        <v>-11430.00125000003</v>
      </c>
      <c r="U36" s="252">
        <f>S36/R36</f>
        <v>0.95462034265697093</v>
      </c>
      <c r="V36" s="254">
        <f>($V$3-($V$3/4))/2</f>
        <v>3022500.0150000001</v>
      </c>
      <c r="W36" s="255">
        <f>B36+F36+J36+N36+R36</f>
        <v>1259375.0062500001</v>
      </c>
      <c r="X36" s="255">
        <f>C36+G36+K36+O36+S36</f>
        <v>654441</v>
      </c>
      <c r="Y36" s="256">
        <f>X36-W36</f>
        <v>-604934.00625000009</v>
      </c>
      <c r="Z36" s="257">
        <f>X36/W36</f>
        <v>0.51965538203644968</v>
      </c>
      <c r="AA36" s="255">
        <f>V36-X36</f>
        <v>2368059.0150000001</v>
      </c>
      <c r="AB36" s="253"/>
      <c r="AC36" s="85">
        <f t="shared" si="0"/>
        <v>654441</v>
      </c>
      <c r="AD36" s="258">
        <f>X36-AC36</f>
        <v>0</v>
      </c>
    </row>
    <row r="37" spans="1:30" customFormat="1" ht="27.45" customHeight="1" x14ac:dyDescent="0.3">
      <c r="B37" s="56"/>
      <c r="F37" s="56"/>
      <c r="J37" s="56"/>
      <c r="N37" s="56"/>
      <c r="R37" s="56"/>
      <c r="AC37" s="85">
        <f t="shared" si="0"/>
        <v>0</v>
      </c>
    </row>
    <row r="38" spans="1:30" s="239" customFormat="1" ht="27.45" customHeight="1" x14ac:dyDescent="0.3">
      <c r="A38" s="232" t="s">
        <v>49</v>
      </c>
      <c r="B38" s="233" t="s">
        <v>47</v>
      </c>
      <c r="C38" s="233" t="s">
        <v>242</v>
      </c>
      <c r="D38" s="234" t="s">
        <v>308</v>
      </c>
      <c r="E38" s="509" t="s">
        <v>309</v>
      </c>
      <c r="F38" s="233" t="s">
        <v>47</v>
      </c>
      <c r="G38" s="233" t="s">
        <v>242</v>
      </c>
      <c r="H38" s="234" t="s">
        <v>308</v>
      </c>
      <c r="I38" s="509" t="s">
        <v>309</v>
      </c>
      <c r="J38" s="233" t="s">
        <v>47</v>
      </c>
      <c r="K38" s="233" t="s">
        <v>242</v>
      </c>
      <c r="L38" s="234" t="s">
        <v>308</v>
      </c>
      <c r="M38" s="509" t="s">
        <v>309</v>
      </c>
      <c r="N38" s="233" t="s">
        <v>47</v>
      </c>
      <c r="O38" s="233" t="s">
        <v>242</v>
      </c>
      <c r="P38" s="234" t="s">
        <v>308</v>
      </c>
      <c r="Q38" s="509" t="s">
        <v>309</v>
      </c>
      <c r="R38" s="233" t="s">
        <v>47</v>
      </c>
      <c r="S38" s="233" t="s">
        <v>242</v>
      </c>
      <c r="T38" s="234" t="s">
        <v>308</v>
      </c>
      <c r="U38" s="509" t="s">
        <v>309</v>
      </c>
      <c r="V38" s="236" t="s">
        <v>310</v>
      </c>
      <c r="W38" s="237" t="s">
        <v>311</v>
      </c>
      <c r="X38" s="237" t="s">
        <v>242</v>
      </c>
      <c r="Y38" s="237" t="s">
        <v>312</v>
      </c>
      <c r="Z38" s="237" t="s">
        <v>309</v>
      </c>
      <c r="AA38" s="237" t="s">
        <v>313</v>
      </c>
      <c r="AB38" s="238"/>
      <c r="AC38" s="85"/>
    </row>
    <row r="39" spans="1:30" s="259" customFormat="1" ht="27.45" customHeight="1" x14ac:dyDescent="0.3">
      <c r="A39" s="250" t="s">
        <v>318</v>
      </c>
      <c r="B39" s="457">
        <f>+B7</f>
        <v>75454.065000000002</v>
      </c>
      <c r="C39" s="251">
        <f>+'Base_Resultado Mensal_V2'!C5</f>
        <v>73576.315000000002</v>
      </c>
      <c r="D39" s="251">
        <f>+B39-C39</f>
        <v>1877.75</v>
      </c>
      <c r="E39" s="252">
        <f>C39/B39</f>
        <v>0.97511399816563893</v>
      </c>
      <c r="F39" s="457">
        <f>+F7</f>
        <v>74454.065000000002</v>
      </c>
      <c r="G39" s="251">
        <f>'Base_Resultado Mensal_V2'!D5</f>
        <v>76342.345000000001</v>
      </c>
      <c r="H39" s="251">
        <f>+F39-G39</f>
        <v>-1888.2799999999988</v>
      </c>
      <c r="I39" s="252">
        <f>G39/F39</f>
        <v>1.0253616777002035</v>
      </c>
      <c r="J39" s="457">
        <f>+J7</f>
        <v>74454.065000000002</v>
      </c>
      <c r="K39" s="251">
        <f>K7</f>
        <v>72845.494999999995</v>
      </c>
      <c r="L39" s="251">
        <f>+J39-K39</f>
        <v>1608.570000000007</v>
      </c>
      <c r="M39" s="252">
        <f>K39/J39</f>
        <v>0.97839513530926747</v>
      </c>
      <c r="N39" s="457">
        <f>+N7</f>
        <v>76054.065000000002</v>
      </c>
      <c r="O39" s="251">
        <f>O7</f>
        <v>75374.054999999993</v>
      </c>
      <c r="P39" s="251">
        <f>+N39-O39</f>
        <v>680.01000000000931</v>
      </c>
      <c r="Q39" s="252">
        <f>O39/N39</f>
        <v>0.99105886056189096</v>
      </c>
      <c r="R39" s="457">
        <f>+R7</f>
        <v>74454.065000000002</v>
      </c>
      <c r="S39" s="251">
        <f>S7</f>
        <v>74141.214999999997</v>
      </c>
      <c r="T39" s="251">
        <f>+R39-S39</f>
        <v>312.85000000000582</v>
      </c>
      <c r="U39" s="252">
        <f>S39/R39</f>
        <v>0.99579808033315564</v>
      </c>
      <c r="V39" s="254">
        <f>V7</f>
        <v>901597.73424999986</v>
      </c>
      <c r="W39" s="255">
        <f>B39+F39+J39+N39+R39</f>
        <v>374870.32500000001</v>
      </c>
      <c r="X39" s="255">
        <f>X7</f>
        <v>372279.42499999993</v>
      </c>
      <c r="Y39" s="256">
        <f>W39-X39</f>
        <v>2590.9000000000815</v>
      </c>
      <c r="Z39" s="257">
        <f>X39/W39</f>
        <v>0.99308854335162411</v>
      </c>
      <c r="AA39" s="255">
        <f>V39-X39</f>
        <v>529318.30924999993</v>
      </c>
      <c r="AB39" s="253"/>
      <c r="AC39" s="85">
        <f t="shared" si="0"/>
        <v>372279.42499999993</v>
      </c>
      <c r="AD39" s="258">
        <f>X39-AC39</f>
        <v>0</v>
      </c>
    </row>
    <row r="40" spans="1:30" s="353" customFormat="1" ht="27.45" customHeight="1" x14ac:dyDescent="0.3">
      <c r="A40" s="346" t="str">
        <f>A8</f>
        <v>Participação/Comissão - Contencioso</v>
      </c>
      <c r="B40" s="458"/>
      <c r="C40" s="347">
        <f>C8</f>
        <v>0</v>
      </c>
      <c r="D40" s="347"/>
      <c r="E40" s="348"/>
      <c r="F40" s="458"/>
      <c r="G40" s="347">
        <f>'Base_Resultado Mensal_V2'!D28</f>
        <v>0</v>
      </c>
      <c r="H40" s="347"/>
      <c r="I40" s="510"/>
      <c r="J40" s="458"/>
      <c r="K40" s="347">
        <f>K8</f>
        <v>0</v>
      </c>
      <c r="L40" s="347"/>
      <c r="M40" s="510"/>
      <c r="N40" s="458"/>
      <c r="O40" s="347">
        <f>O8</f>
        <v>0</v>
      </c>
      <c r="P40" s="347"/>
      <c r="Q40" s="510"/>
      <c r="R40" s="458"/>
      <c r="S40" s="347">
        <f>S8</f>
        <v>0</v>
      </c>
      <c r="T40" s="347"/>
      <c r="U40" s="510"/>
      <c r="V40" s="512"/>
      <c r="W40" s="350"/>
      <c r="X40" s="255">
        <f>X8+G40+K40+O40+S40</f>
        <v>0</v>
      </c>
      <c r="Y40" s="351"/>
      <c r="Z40" s="348"/>
      <c r="AA40" s="350"/>
      <c r="AB40" s="349"/>
      <c r="AC40" s="85"/>
      <c r="AD40" s="352"/>
    </row>
    <row r="41" spans="1:30" s="116" customFormat="1" ht="27.45" customHeight="1" x14ac:dyDescent="0.3">
      <c r="A41" s="109" t="s">
        <v>319</v>
      </c>
      <c r="B41" s="171">
        <f>'Orçamento 2026'!D192</f>
        <v>2110.4899999999998</v>
      </c>
      <c r="C41" s="110">
        <f>+'Base_Resultado Mensal_V2'!C204</f>
        <v>1060.095</v>
      </c>
      <c r="D41" s="110">
        <f>(B41-C41)</f>
        <v>1050.3949999999998</v>
      </c>
      <c r="E41" s="201">
        <f>C41/B41</f>
        <v>0.50229804452994331</v>
      </c>
      <c r="F41" s="171">
        <f>'Orçamento 2026'!E192</f>
        <v>6008.49</v>
      </c>
      <c r="G41" s="110">
        <f>'Base_Resultado Mensal_V2'!D204</f>
        <v>2129.3183333333336</v>
      </c>
      <c r="H41" s="110">
        <f>(F41-G41)</f>
        <v>3879.1716666666662</v>
      </c>
      <c r="I41" s="201">
        <f>G41/F41</f>
        <v>0.35438493420698608</v>
      </c>
      <c r="J41" s="171">
        <f>'Orçamento 2026'!F192</f>
        <v>6008.49</v>
      </c>
      <c r="K41" s="110">
        <f>'Base_Resultado Mensal_V2'!E204</f>
        <v>2346.7183333333337</v>
      </c>
      <c r="L41" s="110">
        <f>(J41-K41)</f>
        <v>3661.7716666666661</v>
      </c>
      <c r="M41" s="201">
        <f>K41/J41</f>
        <v>0.3905670698184292</v>
      </c>
      <c r="N41" s="171">
        <f>'Orçamento 2026'!G192</f>
        <v>7508.49</v>
      </c>
      <c r="O41" s="110">
        <f>'Base_Resultado Mensal_V2'!F204</f>
        <v>4183.9183333333331</v>
      </c>
      <c r="P41" s="110">
        <f>(N41-O41)</f>
        <v>3324.5716666666667</v>
      </c>
      <c r="Q41" s="201">
        <f>O41/N41</f>
        <v>0.5572249990788205</v>
      </c>
      <c r="R41" s="171">
        <f>'Orçamento 2026'!H192</f>
        <v>2110.4899999999998</v>
      </c>
      <c r="S41" s="110">
        <f>'Base_Resultado Mensal_V2'!G204</f>
        <v>2276.2150000000001</v>
      </c>
      <c r="T41" s="110">
        <f>(R41-S41)</f>
        <v>-165.72500000000036</v>
      </c>
      <c r="U41" s="201">
        <f>S41/R41</f>
        <v>1.0785244184999694</v>
      </c>
      <c r="V41" s="225">
        <f>'Orçamento 2026'!B192</f>
        <v>40110.215250000001</v>
      </c>
      <c r="W41" s="255">
        <f>B41+F41+J41+N41+R41</f>
        <v>23746.449999999997</v>
      </c>
      <c r="X41" s="255">
        <f>C41+G41+K41+O41+S41</f>
        <v>11996.265000000001</v>
      </c>
      <c r="Y41" s="112">
        <f t="shared" ref="Y41:Y42" si="18">W41-X41</f>
        <v>11750.184999999996</v>
      </c>
      <c r="Z41" s="113">
        <f t="shared" ref="Z41:Z42" si="19">X41/W41</f>
        <v>0.50518140606280104</v>
      </c>
      <c r="AA41" s="112">
        <f>V41-X41</f>
        <v>28113.950250000002</v>
      </c>
      <c r="AB41" s="172"/>
      <c r="AC41" s="85">
        <f t="shared" si="0"/>
        <v>11996.265000000001</v>
      </c>
      <c r="AD41" s="125">
        <f>X41-AC41</f>
        <v>0</v>
      </c>
    </row>
    <row r="42" spans="1:30" s="116" customFormat="1" ht="27.45" customHeight="1" x14ac:dyDescent="0.3">
      <c r="A42" s="109" t="s">
        <v>223</v>
      </c>
      <c r="B42" s="171">
        <f>'Orçamento 2026'!D196*'Rateio Mensal'!M2</f>
        <v>35384.981806669872</v>
      </c>
      <c r="C42" s="173">
        <f>'Rateio Mensal'!I2</f>
        <v>33821.377570885066</v>
      </c>
      <c r="D42" s="110">
        <f>B42-C42</f>
        <v>1563.6042357848055</v>
      </c>
      <c r="E42" s="201">
        <f t="shared" ref="E42" si="20">C42/B42</f>
        <v>0.95581164222924442</v>
      </c>
      <c r="F42" s="171">
        <f>'Orçamento 2026'!E196*'Rateio Mensal'!M2</f>
        <v>34602.630913826972</v>
      </c>
      <c r="G42" s="173">
        <f>'Rateio Mensal'!I8</f>
        <v>30609.712342303705</v>
      </c>
      <c r="H42" s="110">
        <f>F42-G42</f>
        <v>3992.918571523267</v>
      </c>
      <c r="I42" s="201">
        <f>G42/F42</f>
        <v>0.88460650343417313</v>
      </c>
      <c r="J42" s="171">
        <f>'Orçamento 2026'!F196*'Rateio Mensal'!M2</f>
        <v>40468.297247309929</v>
      </c>
      <c r="K42" s="173">
        <f>'Rateio Mensal'!I14</f>
        <v>34482.809334481557</v>
      </c>
      <c r="L42" s="110">
        <f>J42-K42</f>
        <v>5985.4879128283719</v>
      </c>
      <c r="M42" s="201">
        <f>K42/J42</f>
        <v>0.85209439684971555</v>
      </c>
      <c r="N42" s="171">
        <f>'Orçamento 2026'!G196*'Rateio Mensal'!M2</f>
        <v>38435.099539575254</v>
      </c>
      <c r="O42" s="173">
        <f>'Rateio Mensal'!I20</f>
        <v>36400.454676423942</v>
      </c>
      <c r="P42" s="110">
        <f>N42-O42</f>
        <v>2034.6448631513122</v>
      </c>
      <c r="Q42" s="201">
        <f>O42/N42</f>
        <v>0.94706284392326578</v>
      </c>
      <c r="R42" s="171">
        <f>'Orçamento 2026'!H196*'Rateio Mensal'!M2</f>
        <v>34925.042467788669</v>
      </c>
      <c r="S42" s="173">
        <f>'Rateio Mensal'!I26</f>
        <v>35555.403857349243</v>
      </c>
      <c r="T42" s="110">
        <f>R42-S42</f>
        <v>-630.36138956057403</v>
      </c>
      <c r="U42" s="201">
        <f>S42/R42</f>
        <v>1.018048979901512</v>
      </c>
      <c r="V42" s="171">
        <f>'Orçamento 2026'!B196*'Rateio Mensal'!M2</f>
        <v>463063.98196042242</v>
      </c>
      <c r="W42" s="255">
        <f>B42+F42+J42+N42+R42</f>
        <v>183816.0519751707</v>
      </c>
      <c r="X42" s="255">
        <f>C42+G42+K42+O42+S42</f>
        <v>170869.75778144351</v>
      </c>
      <c r="Y42" s="112">
        <f t="shared" si="18"/>
        <v>12946.294193727197</v>
      </c>
      <c r="Z42" s="113">
        <f t="shared" si="19"/>
        <v>0.92956929465835803</v>
      </c>
      <c r="AA42" s="112">
        <f>V42-X42</f>
        <v>292194.22417897894</v>
      </c>
      <c r="AB42" s="172"/>
      <c r="AC42" s="85">
        <f t="shared" si="0"/>
        <v>170869.75778144351</v>
      </c>
      <c r="AD42" s="125">
        <f>X42-AC42</f>
        <v>0</v>
      </c>
    </row>
    <row r="43" spans="1:30" s="281" customFormat="1" ht="27.45" customHeight="1" x14ac:dyDescent="0.3">
      <c r="A43" s="276" t="s">
        <v>65</v>
      </c>
      <c r="B43" s="277">
        <f>B36-B39-B41-B42</f>
        <v>138925.46444333016</v>
      </c>
      <c r="C43" s="277">
        <f>C36-C39-C41-C42-C40</f>
        <v>-70386.787570885062</v>
      </c>
      <c r="D43" s="277"/>
      <c r="E43" s="278"/>
      <c r="F43" s="277">
        <f>F36-F39-F41-F42</f>
        <v>136809.81533617305</v>
      </c>
      <c r="G43" s="277">
        <f>G36-G39-G41-G42-G40</f>
        <v>50457.624324362965</v>
      </c>
      <c r="H43" s="277"/>
      <c r="I43" s="278"/>
      <c r="J43" s="277">
        <f>J36-J39-J41-J42</f>
        <v>130944.1490026901</v>
      </c>
      <c r="K43" s="277">
        <f>K36-K39-K41-K42-K40</f>
        <v>50249.97733218511</v>
      </c>
      <c r="L43" s="277"/>
      <c r="M43" s="278"/>
      <c r="N43" s="277">
        <f>N36-N39-N41-N42</f>
        <v>129877.34671042478</v>
      </c>
      <c r="O43" s="277">
        <f>O36-O39-O41-O42-O40</f>
        <v>-59497.42800975727</v>
      </c>
      <c r="P43" s="277"/>
      <c r="Q43" s="278"/>
      <c r="R43" s="277">
        <f>R36-R39-R41-R42</f>
        <v>140385.40378221136</v>
      </c>
      <c r="S43" s="277">
        <f>S36-S39-S41-S42-S40</f>
        <v>128472.16614265076</v>
      </c>
      <c r="T43" s="277"/>
      <c r="U43" s="278"/>
      <c r="V43" s="226">
        <f>+V36-(V39+V41+V42)</f>
        <v>1617728.0835395779</v>
      </c>
      <c r="W43" s="175">
        <f>+W36-(W39+W41+W42)</f>
        <v>676942.17927482934</v>
      </c>
      <c r="X43" s="277">
        <f>X36-X39-X41-X42-X40</f>
        <v>99295.55221855655</v>
      </c>
      <c r="Y43" s="112"/>
      <c r="Z43" s="113"/>
      <c r="AA43" s="112"/>
      <c r="AB43" s="176"/>
      <c r="AC43" s="85"/>
      <c r="AD43" s="280"/>
    </row>
    <row r="44" spans="1:30" s="281" customFormat="1" ht="27.45" customHeight="1" x14ac:dyDescent="0.3">
      <c r="A44" s="276" t="s">
        <v>66</v>
      </c>
      <c r="B44" s="154">
        <f>B43/B36</f>
        <v>0.55156511664068986</v>
      </c>
      <c r="C44" s="484">
        <f>C43/C36</f>
        <v>-1.8488294914996997</v>
      </c>
      <c r="D44" s="277"/>
      <c r="E44" s="278"/>
      <c r="F44" s="154">
        <f>F43/F36</f>
        <v>0.54316551724949336</v>
      </c>
      <c r="G44" s="484">
        <f>G43/G36</f>
        <v>0.31627140902452044</v>
      </c>
      <c r="H44" s="277"/>
      <c r="I44" s="278"/>
      <c r="J44" s="154">
        <f>J43/J36</f>
        <v>0.51987751207084143</v>
      </c>
      <c r="K44" s="484">
        <f>K43/K36</f>
        <v>0.31420964409682733</v>
      </c>
      <c r="L44" s="277"/>
      <c r="M44" s="278"/>
      <c r="N44" s="154">
        <f>N43/N36</f>
        <v>0.51564206874787966</v>
      </c>
      <c r="O44" s="484">
        <f>O43/O36</f>
        <v>-1.0537792106012516</v>
      </c>
      <c r="P44" s="277"/>
      <c r="Q44" s="278"/>
      <c r="R44" s="154">
        <f>R43/R36</f>
        <v>0.55736140182832594</v>
      </c>
      <c r="S44" s="484">
        <f>S43/S36</f>
        <v>0.53430999248331534</v>
      </c>
      <c r="T44" s="277"/>
      <c r="U44" s="278"/>
      <c r="V44" s="227">
        <f>V43/V36</f>
        <v>0.53522847825017394</v>
      </c>
      <c r="W44" s="156">
        <f>W43/W36</f>
        <v>0.53752232330744598</v>
      </c>
      <c r="X44" s="485">
        <f>X43/X36</f>
        <v>0.15172575101278274</v>
      </c>
      <c r="Y44" s="155"/>
      <c r="Z44" s="154"/>
      <c r="AA44" s="155"/>
      <c r="AB44" s="177"/>
      <c r="AC44" s="85"/>
      <c r="AD44" s="280"/>
    </row>
    <row r="45" spans="1:30" customFormat="1" ht="27.45" customHeight="1" x14ac:dyDescent="0.3">
      <c r="B45" s="56"/>
      <c r="F45" s="56"/>
      <c r="J45" s="56"/>
      <c r="N45" s="56"/>
      <c r="R45" s="56"/>
      <c r="AC45" s="85"/>
    </row>
    <row r="46" spans="1:30" s="183" customFormat="1" ht="27.45" customHeight="1" x14ac:dyDescent="0.3">
      <c r="A46" s="178" t="s">
        <v>199</v>
      </c>
      <c r="B46" s="179">
        <f>B36*$A$34</f>
        <v>37781.250187500002</v>
      </c>
      <c r="C46" s="179">
        <f>C36*$A$34</f>
        <v>5710.65</v>
      </c>
      <c r="D46" s="110">
        <f>(B46-C46)</f>
        <v>32070.6001875</v>
      </c>
      <c r="E46" s="201">
        <f>C46/B46</f>
        <v>0.15115037145831078</v>
      </c>
      <c r="F46" s="179">
        <f>F36*$A$34</f>
        <v>37781.250187500002</v>
      </c>
      <c r="G46" s="179">
        <f>G36*$A$34</f>
        <v>23930.85</v>
      </c>
      <c r="H46" s="179"/>
      <c r="I46" s="210"/>
      <c r="J46" s="179">
        <f>J36*$A$34</f>
        <v>37781.250187500002</v>
      </c>
      <c r="K46" s="179">
        <f>K36*$A$34</f>
        <v>23988.75</v>
      </c>
      <c r="L46" s="179"/>
      <c r="M46" s="210"/>
      <c r="N46" s="179">
        <f>N36*$A$34</f>
        <v>37781.250187500002</v>
      </c>
      <c r="O46" s="179">
        <f>O36*$A$34</f>
        <v>8469.15</v>
      </c>
      <c r="P46" s="179"/>
      <c r="Q46" s="210"/>
      <c r="R46" s="179">
        <f>R36*$A$34</f>
        <v>37781.250187500002</v>
      </c>
      <c r="S46" s="179">
        <f>S36*$A$34</f>
        <v>36066.75</v>
      </c>
      <c r="T46" s="179"/>
      <c r="U46" s="210"/>
      <c r="V46" s="228">
        <f>V36*$A$34</f>
        <v>453375.00225000002</v>
      </c>
      <c r="W46" s="255">
        <f>B46+F46+J46+N46+R46</f>
        <v>188906.25093750001</v>
      </c>
      <c r="X46" s="255">
        <f>X36*$A$34</f>
        <v>98166.15</v>
      </c>
      <c r="Y46" s="181"/>
      <c r="Z46" s="180"/>
      <c r="AA46" s="181"/>
      <c r="AB46" s="174"/>
      <c r="AC46" s="85">
        <f t="shared" si="0"/>
        <v>98166.15</v>
      </c>
      <c r="AD46" s="125">
        <f>X46-AC46</f>
        <v>0</v>
      </c>
    </row>
    <row r="47" spans="1:30" s="192" customFormat="1" ht="27.45" customHeight="1" x14ac:dyDescent="0.3">
      <c r="A47" s="184" t="s">
        <v>315</v>
      </c>
      <c r="B47" s="185">
        <f>B29*'Rateio Mensal'!M2</f>
        <v>3000.6301443058874</v>
      </c>
      <c r="C47" s="186">
        <f>C29*'Rateio Mensal'!C2</f>
        <v>2827.169911189349</v>
      </c>
      <c r="D47" s="110">
        <f>B47-C47</f>
        <v>173.46023311653835</v>
      </c>
      <c r="E47" s="201">
        <f>C47/B47</f>
        <v>0.94219206474156658</v>
      </c>
      <c r="F47" s="185">
        <f>F29*'Rateio Mensal'!M2</f>
        <v>3000.6301443058874</v>
      </c>
      <c r="G47" s="186">
        <f>G29*'Rateio Mensal'!C8</f>
        <v>2856.234763987014</v>
      </c>
      <c r="H47" s="187"/>
      <c r="I47" s="211"/>
      <c r="J47" s="185">
        <f>J29*'Rateio Mensal'!M2</f>
        <v>3000.6301443058874</v>
      </c>
      <c r="K47" s="186">
        <f>K29*'Rateio Mensal'!C8</f>
        <v>2856.234763987014</v>
      </c>
      <c r="L47" s="187"/>
      <c r="M47" s="211"/>
      <c r="N47" s="185">
        <f>N29*'Rateio Mensal'!M2</f>
        <v>3000.6301443058874</v>
      </c>
      <c r="O47" s="186">
        <f>O29*'Rateio Mensal'!C8</f>
        <v>2856.234763987014</v>
      </c>
      <c r="P47" s="187"/>
      <c r="Q47" s="211"/>
      <c r="R47" s="185">
        <f>R29*'Rateio Mensal'!M2</f>
        <v>3000.6301443058874</v>
      </c>
      <c r="S47" s="186">
        <f>S29*'Rateio Mensal'!C8</f>
        <v>2856.234763987014</v>
      </c>
      <c r="T47" s="187"/>
      <c r="U47" s="211"/>
      <c r="V47" s="229">
        <f>V29*'Rateio Mensal'!M2</f>
        <v>36007.561731670648</v>
      </c>
      <c r="W47" s="255">
        <f>B47+F47+J47+N47+R47</f>
        <v>15003.150721529437</v>
      </c>
      <c r="X47" s="255">
        <f>C47+G47+K47+O47+S47</f>
        <v>14252.108967137403</v>
      </c>
      <c r="Y47" s="189"/>
      <c r="Z47" s="188"/>
      <c r="AA47" s="189"/>
      <c r="AB47" s="190"/>
      <c r="AC47" s="85">
        <f t="shared" si="0"/>
        <v>14252.108967137403</v>
      </c>
      <c r="AD47" s="125">
        <f t="shared" ref="AD47" si="21">X47-AC47</f>
        <v>0</v>
      </c>
    </row>
    <row r="48" spans="1:30" s="259" customFormat="1" ht="27.45" customHeight="1" x14ac:dyDescent="0.3">
      <c r="A48" s="270" t="s">
        <v>69</v>
      </c>
      <c r="B48" s="457">
        <f>B43-B46-B47</f>
        <v>98143.584111524266</v>
      </c>
      <c r="C48" s="251">
        <f>C43-C46-C47</f>
        <v>-78924.607482074411</v>
      </c>
      <c r="D48" s="251"/>
      <c r="E48" s="252"/>
      <c r="F48" s="457">
        <f>F43-F46-F47</f>
        <v>96027.935004367158</v>
      </c>
      <c r="G48" s="251">
        <f>G43-G46-G47</f>
        <v>23670.539560375953</v>
      </c>
      <c r="H48" s="251"/>
      <c r="I48" s="252"/>
      <c r="J48" s="457">
        <f>J43-J46-J47</f>
        <v>90162.268670884208</v>
      </c>
      <c r="K48" s="251">
        <f>K43-K46-K47</f>
        <v>23404.992568198097</v>
      </c>
      <c r="L48" s="251"/>
      <c r="M48" s="252"/>
      <c r="N48" s="457">
        <f>N43-N46-N47</f>
        <v>89095.46637861889</v>
      </c>
      <c r="O48" s="251">
        <f>O43-O46-O47</f>
        <v>-70822.812773744285</v>
      </c>
      <c r="P48" s="251"/>
      <c r="Q48" s="252"/>
      <c r="R48" s="457">
        <f>R43-R46-R47</f>
        <v>99603.523450405468</v>
      </c>
      <c r="S48" s="251">
        <f>S43-S46-S47</f>
        <v>89549.18137866375</v>
      </c>
      <c r="T48" s="251"/>
      <c r="U48" s="252"/>
      <c r="V48" s="254">
        <f>V43-V46-V47</f>
        <v>1128345.519557907</v>
      </c>
      <c r="W48" s="255">
        <f>W43-W46-W47</f>
        <v>473032.77761579986</v>
      </c>
      <c r="X48" s="256">
        <f>X43-X46-X47</f>
        <v>-13122.706748580847</v>
      </c>
      <c r="Y48" s="256"/>
      <c r="Z48" s="257"/>
      <c r="AA48" s="255"/>
      <c r="AB48" s="253"/>
      <c r="AC48" s="85"/>
      <c r="AD48" s="125"/>
    </row>
    <row r="49" spans="1:30" s="287" customFormat="1" ht="27.45" customHeight="1" x14ac:dyDescent="0.3">
      <c r="A49" s="284" t="s">
        <v>70</v>
      </c>
      <c r="B49" s="196">
        <f>B48/B36</f>
        <v>0.38965194491100474</v>
      </c>
      <c r="C49" s="314">
        <f>C48/C36</f>
        <v>-2.0730899498850675</v>
      </c>
      <c r="D49" s="146"/>
      <c r="E49" s="285"/>
      <c r="F49" s="196">
        <f>F48/F36</f>
        <v>0.3812523455198083</v>
      </c>
      <c r="G49" s="314">
        <f>G48/G36</f>
        <v>0.14836835858552425</v>
      </c>
      <c r="H49" s="146"/>
      <c r="I49" s="285"/>
      <c r="J49" s="196">
        <f>J48/J36</f>
        <v>0.35796434034115643</v>
      </c>
      <c r="K49" s="314">
        <f>K48/K36</f>
        <v>0.14634980502234232</v>
      </c>
      <c r="L49" s="146"/>
      <c r="M49" s="285"/>
      <c r="N49" s="196">
        <f>N48/N36</f>
        <v>0.3537288970181946</v>
      </c>
      <c r="O49" s="314">
        <f>O48/O36</f>
        <v>-1.2543669572580061</v>
      </c>
      <c r="P49" s="146"/>
      <c r="Q49" s="285"/>
      <c r="R49" s="196">
        <f>R48/R36</f>
        <v>0.39544823009864088</v>
      </c>
      <c r="S49" s="314">
        <f>S48/S36</f>
        <v>0.37243103985802889</v>
      </c>
      <c r="T49" s="146"/>
      <c r="U49" s="285"/>
      <c r="V49" s="230">
        <f>V48/V36</f>
        <v>0.37331530652048878</v>
      </c>
      <c r="W49" s="193">
        <f>W48/W36</f>
        <v>0.37560915157776087</v>
      </c>
      <c r="X49" s="194">
        <f>X48/X36</f>
        <v>-2.0051779684617632E-2</v>
      </c>
      <c r="Y49" s="195"/>
      <c r="Z49" s="196"/>
      <c r="AA49" s="195"/>
      <c r="AB49" s="197"/>
      <c r="AC49" s="85"/>
      <c r="AD49" s="125"/>
    </row>
    <row r="50" spans="1:30" s="283" customFormat="1" ht="27.45" customHeight="1" x14ac:dyDescent="0.3">
      <c r="A50" s="178" t="s">
        <v>71</v>
      </c>
      <c r="B50" s="179">
        <f>B48*10%</f>
        <v>9814.3584111524269</v>
      </c>
      <c r="C50" s="179">
        <f>C48*10%</f>
        <v>-7892.4607482074416</v>
      </c>
      <c r="D50" s="179"/>
      <c r="E50" s="210"/>
      <c r="F50" s="179">
        <f>F48*10%</f>
        <v>9602.7935004367155</v>
      </c>
      <c r="G50" s="179">
        <f>G48*10%</f>
        <v>2367.0539560375955</v>
      </c>
      <c r="H50" s="179"/>
      <c r="I50" s="210"/>
      <c r="J50" s="179">
        <f>J48*10%</f>
        <v>9016.2268670884205</v>
      </c>
      <c r="K50" s="179">
        <f>K48*10%</f>
        <v>2340.4992568198099</v>
      </c>
      <c r="L50" s="179"/>
      <c r="M50" s="210"/>
      <c r="N50" s="179">
        <f>N48*10%</f>
        <v>8909.5466378618894</v>
      </c>
      <c r="O50" s="179">
        <f>O48*10%</f>
        <v>-7082.281277374429</v>
      </c>
      <c r="P50" s="179"/>
      <c r="Q50" s="210"/>
      <c r="R50" s="179">
        <f>R48*10%</f>
        <v>9960.3523450405482</v>
      </c>
      <c r="S50" s="179">
        <f>S48*10%</f>
        <v>8954.9181378663761</v>
      </c>
      <c r="T50" s="179"/>
      <c r="U50" s="210"/>
      <c r="V50" s="282">
        <f>V48*10%</f>
        <v>112834.55195579071</v>
      </c>
      <c r="W50" s="179">
        <f>W48*10%</f>
        <v>47303.277761579986</v>
      </c>
      <c r="X50" s="288">
        <f>X48*10%</f>
        <v>-1312.2706748580849</v>
      </c>
      <c r="Y50" s="180"/>
      <c r="Z50" s="180"/>
      <c r="AA50" s="180"/>
      <c r="AB50" s="180"/>
      <c r="AC50" s="85"/>
      <c r="AD50" s="125"/>
    </row>
    <row r="51" spans="1:30" customFormat="1" ht="27.45" customHeight="1" x14ac:dyDescent="0.3">
      <c r="B51" s="56"/>
      <c r="F51" s="56"/>
      <c r="J51" s="56"/>
      <c r="N51" s="56"/>
      <c r="R51" s="56"/>
      <c r="AC51" s="85"/>
    </row>
    <row r="52" spans="1:30" s="168" customFormat="1" ht="27.45" customHeight="1" x14ac:dyDescent="0.4">
      <c r="A52" s="164"/>
      <c r="B52" s="552" t="s">
        <v>251</v>
      </c>
      <c r="C52" s="553"/>
      <c r="D52" s="553"/>
      <c r="E52" s="554"/>
      <c r="F52" s="552" t="s">
        <v>35</v>
      </c>
      <c r="G52" s="553"/>
      <c r="H52" s="554"/>
      <c r="I52" s="506"/>
      <c r="J52" s="552" t="str">
        <f>J1</f>
        <v>Março</v>
      </c>
      <c r="K52" s="553"/>
      <c r="L52" s="554"/>
      <c r="M52" s="506"/>
      <c r="N52" s="552" t="str">
        <f>N1</f>
        <v>Abril</v>
      </c>
      <c r="O52" s="553"/>
      <c r="P52" s="554"/>
      <c r="Q52" s="506"/>
      <c r="R52" s="552" t="str">
        <f>R1</f>
        <v>Maio</v>
      </c>
      <c r="S52" s="553"/>
      <c r="T52" s="554"/>
      <c r="U52" s="506"/>
      <c r="V52" s="224"/>
      <c r="W52" s="166"/>
      <c r="X52" s="166"/>
      <c r="Y52" s="166"/>
      <c r="Z52" s="167"/>
      <c r="AA52" s="166"/>
      <c r="AB52" s="166"/>
      <c r="AC52" s="85"/>
      <c r="AD52" s="169"/>
    </row>
    <row r="53" spans="1:30" ht="27.45" customHeight="1" x14ac:dyDescent="0.25">
      <c r="A53" s="170" t="s">
        <v>320</v>
      </c>
      <c r="B53" s="67" t="s">
        <v>47</v>
      </c>
      <c r="C53" s="67" t="s">
        <v>242</v>
      </c>
      <c r="D53" s="67" t="s">
        <v>308</v>
      </c>
      <c r="E53" s="208" t="s">
        <v>309</v>
      </c>
      <c r="F53" s="507" t="s">
        <v>47</v>
      </c>
      <c r="G53" s="507" t="s">
        <v>242</v>
      </c>
      <c r="H53" s="507" t="s">
        <v>308</v>
      </c>
      <c r="I53" s="508" t="s">
        <v>309</v>
      </c>
      <c r="J53" s="507" t="s">
        <v>47</v>
      </c>
      <c r="K53" s="507" t="s">
        <v>242</v>
      </c>
      <c r="L53" s="507" t="s">
        <v>308</v>
      </c>
      <c r="M53" s="508" t="s">
        <v>309</v>
      </c>
      <c r="N53" s="507" t="s">
        <v>47</v>
      </c>
      <c r="O53" s="507" t="s">
        <v>242</v>
      </c>
      <c r="P53" s="507" t="s">
        <v>308</v>
      </c>
      <c r="Q53" s="508" t="s">
        <v>309</v>
      </c>
      <c r="R53" s="507" t="s">
        <v>47</v>
      </c>
      <c r="S53" s="507" t="s">
        <v>242</v>
      </c>
      <c r="T53" s="507" t="s">
        <v>308</v>
      </c>
      <c r="U53" s="508" t="s">
        <v>309</v>
      </c>
      <c r="V53" s="212" t="s">
        <v>310</v>
      </c>
      <c r="W53" s="69" t="s">
        <v>311</v>
      </c>
      <c r="X53" s="69" t="s">
        <v>242</v>
      </c>
      <c r="Y53" s="69" t="s">
        <v>312</v>
      </c>
      <c r="Z53" s="70" t="s">
        <v>309</v>
      </c>
      <c r="AA53" s="71" t="s">
        <v>313</v>
      </c>
      <c r="AB53" s="71"/>
      <c r="AC53" s="85"/>
      <c r="AD53" s="72"/>
    </row>
    <row r="54" spans="1:30" s="259" customFormat="1" ht="27.45" customHeight="1" x14ac:dyDescent="0.3">
      <c r="A54" s="250" t="s">
        <v>314</v>
      </c>
      <c r="B54" s="457">
        <f>($B$3-($B$3/4))/2</f>
        <v>251875.00125000003</v>
      </c>
      <c r="C54" s="460">
        <v>61844</v>
      </c>
      <c r="D54" s="251">
        <f>C54-B54</f>
        <v>-190031.00125000003</v>
      </c>
      <c r="E54" s="252">
        <f>C54/B54</f>
        <v>0.245534490096603</v>
      </c>
      <c r="F54" s="457">
        <f>B54</f>
        <v>251875.00125000003</v>
      </c>
      <c r="G54" s="460">
        <v>119667</v>
      </c>
      <c r="H54" s="251">
        <f>G54-F54</f>
        <v>-132208.00125000003</v>
      </c>
      <c r="I54" s="252">
        <f>G54/F54</f>
        <v>0.47510471228235868</v>
      </c>
      <c r="J54" s="457">
        <f>F54</f>
        <v>251875.00125000003</v>
      </c>
      <c r="K54" s="460">
        <v>343893</v>
      </c>
      <c r="L54" s="251">
        <f>K54-J54</f>
        <v>92017.99874999997</v>
      </c>
      <c r="M54" s="252">
        <f>K54/J54</f>
        <v>1.3653320031497169</v>
      </c>
      <c r="N54" s="457">
        <f>J54</f>
        <v>251875.00125000003</v>
      </c>
      <c r="O54" s="460">
        <v>159921</v>
      </c>
      <c r="P54" s="251">
        <f>O54-N54</f>
        <v>-91954.00125000003</v>
      </c>
      <c r="Q54" s="252">
        <f>O54/N54</f>
        <v>0.63492208121626748</v>
      </c>
      <c r="R54" s="457">
        <f>N54</f>
        <v>251875.00125000003</v>
      </c>
      <c r="S54" s="460">
        <v>166876</v>
      </c>
      <c r="T54" s="251">
        <f>S54-R54</f>
        <v>-84999.00125000003</v>
      </c>
      <c r="U54" s="252">
        <f>S54/R54</f>
        <v>0.66253498430503721</v>
      </c>
      <c r="V54" s="254">
        <f>($V$3-($V$3/4))/2</f>
        <v>3022500.0150000001</v>
      </c>
      <c r="W54" s="255">
        <f>B54+F54+J54+N54+R54</f>
        <v>1259375.0062500001</v>
      </c>
      <c r="X54" s="255">
        <f>C54+G54+K54+O54+S54</f>
        <v>852201</v>
      </c>
      <c r="Y54" s="256">
        <f>X54-W54</f>
        <v>-407174.00625000009</v>
      </c>
      <c r="Z54" s="257">
        <f>X54/W54</f>
        <v>0.67668565420999671</v>
      </c>
      <c r="AA54" s="255">
        <f>V54-X54</f>
        <v>2170299.0150000001</v>
      </c>
      <c r="AB54" s="253"/>
      <c r="AC54" s="85">
        <f t="shared" si="0"/>
        <v>852201</v>
      </c>
      <c r="AD54" s="258">
        <f>X54-AC54</f>
        <v>0</v>
      </c>
    </row>
    <row r="55" spans="1:30" customFormat="1" ht="27.45" customHeight="1" x14ac:dyDescent="0.3">
      <c r="B55" s="56"/>
      <c r="F55" s="56"/>
      <c r="J55" s="56"/>
      <c r="N55" s="56"/>
      <c r="R55" s="56"/>
      <c r="AC55" s="85">
        <f t="shared" si="0"/>
        <v>0</v>
      </c>
    </row>
    <row r="56" spans="1:30" s="239" customFormat="1" ht="27.45" customHeight="1" x14ac:dyDescent="0.3">
      <c r="A56" s="232" t="s">
        <v>49</v>
      </c>
      <c r="B56" s="233" t="s">
        <v>47</v>
      </c>
      <c r="C56" s="233" t="s">
        <v>242</v>
      </c>
      <c r="D56" s="234" t="s">
        <v>308</v>
      </c>
      <c r="E56" s="235" t="s">
        <v>309</v>
      </c>
      <c r="F56" s="233"/>
      <c r="G56" s="233"/>
      <c r="H56" s="234" t="s">
        <v>308</v>
      </c>
      <c r="I56" s="509" t="s">
        <v>309</v>
      </c>
      <c r="J56" s="233"/>
      <c r="K56" s="233"/>
      <c r="L56" s="234" t="s">
        <v>308</v>
      </c>
      <c r="M56" s="509" t="s">
        <v>309</v>
      </c>
      <c r="N56" s="233"/>
      <c r="O56" s="233"/>
      <c r="P56" s="234" t="s">
        <v>308</v>
      </c>
      <c r="Q56" s="509" t="s">
        <v>309</v>
      </c>
      <c r="R56" s="233"/>
      <c r="S56" s="233"/>
      <c r="T56" s="234" t="s">
        <v>308</v>
      </c>
      <c r="U56" s="509" t="s">
        <v>309</v>
      </c>
      <c r="V56" s="236" t="s">
        <v>310</v>
      </c>
      <c r="W56" s="237" t="s">
        <v>311</v>
      </c>
      <c r="X56" s="237" t="s">
        <v>242</v>
      </c>
      <c r="Y56" s="237" t="s">
        <v>312</v>
      </c>
      <c r="Z56" s="237" t="s">
        <v>309</v>
      </c>
      <c r="AA56" s="237" t="s">
        <v>313</v>
      </c>
      <c r="AB56" s="238"/>
      <c r="AC56" s="85"/>
    </row>
    <row r="57" spans="1:30" s="259" customFormat="1" ht="27.45" customHeight="1" x14ac:dyDescent="0.3">
      <c r="A57" s="250" t="s">
        <v>318</v>
      </c>
      <c r="B57" s="457">
        <f>+B9</f>
        <v>76879.165000000023</v>
      </c>
      <c r="C57" s="251">
        <f>'Base_Resultado Mensal_V2'!C30</f>
        <v>75653.194999999992</v>
      </c>
      <c r="D57" s="251">
        <f>+B57-C57</f>
        <v>1225.9700000000303</v>
      </c>
      <c r="E57" s="252">
        <f>C57/B57</f>
        <v>0.98405328673900105</v>
      </c>
      <c r="F57" s="457">
        <f>+F9</f>
        <v>75379.165000000023</v>
      </c>
      <c r="G57" s="251">
        <f>'Base_Resultado Mensal_V2'!D30</f>
        <v>78817.054999999993</v>
      </c>
      <c r="H57" s="251">
        <f>+F57-G57</f>
        <v>-3437.8899999999703</v>
      </c>
      <c r="I57" s="252">
        <f>G57/F57</f>
        <v>1.045607960767408</v>
      </c>
      <c r="J57" s="457">
        <f>+J9</f>
        <v>75379.165000000023</v>
      </c>
      <c r="K57" s="251">
        <f>K9</f>
        <v>76049.974999999991</v>
      </c>
      <c r="L57" s="251">
        <f>+J57-K57</f>
        <v>-670.80999999996857</v>
      </c>
      <c r="M57" s="252">
        <f>K57/J57</f>
        <v>1.0088991434171495</v>
      </c>
      <c r="N57" s="457">
        <f>+N9</f>
        <v>76979.165000000023</v>
      </c>
      <c r="O57" s="251">
        <f>O9</f>
        <v>79160.084999999992</v>
      </c>
      <c r="P57" s="251">
        <f>+N57-O57</f>
        <v>-2180.9199999999691</v>
      </c>
      <c r="Q57" s="252">
        <f>O57/N57</f>
        <v>1.0283313023725311</v>
      </c>
      <c r="R57" s="457">
        <f>+R9</f>
        <v>75379.165000000023</v>
      </c>
      <c r="S57" s="251">
        <f>S9</f>
        <v>79436.244999999995</v>
      </c>
      <c r="T57" s="251">
        <f>+R57-S57</f>
        <v>-4057.0799999999726</v>
      </c>
      <c r="U57" s="252">
        <f>S57/R57</f>
        <v>1.0538222995704445</v>
      </c>
      <c r="V57" s="254">
        <f>V9</f>
        <v>914114.75250000018</v>
      </c>
      <c r="W57" s="255">
        <f>B57+F57+J57+N57+R57</f>
        <v>379995.82500000013</v>
      </c>
      <c r="X57" s="255">
        <f>G57+C57+K57+O57+S57</f>
        <v>389116.55499999993</v>
      </c>
      <c r="Y57" s="256">
        <f>W57-X57</f>
        <v>-9120.7299999998068</v>
      </c>
      <c r="Z57" s="257">
        <f>X57/W57</f>
        <v>1.0240021847608451</v>
      </c>
      <c r="AA57" s="255">
        <f>V57-X57</f>
        <v>524998.19750000024</v>
      </c>
      <c r="AB57" s="253"/>
      <c r="AC57" s="85">
        <f t="shared" si="0"/>
        <v>389116.55499999993</v>
      </c>
      <c r="AD57" s="258">
        <f>X57-AC57</f>
        <v>0</v>
      </c>
    </row>
    <row r="58" spans="1:30" s="353" customFormat="1" ht="27.45" customHeight="1" x14ac:dyDescent="0.3">
      <c r="A58" s="346" t="str">
        <f>A10</f>
        <v>Participação/comissão - Economico</v>
      </c>
      <c r="B58" s="458"/>
      <c r="C58" s="347">
        <f>C10</f>
        <v>0</v>
      </c>
      <c r="D58" s="347"/>
      <c r="E58" s="348"/>
      <c r="F58" s="458"/>
      <c r="G58" s="347">
        <f>'Base_Resultado Mensal_V2'!D58</f>
        <v>1500</v>
      </c>
      <c r="H58" s="347"/>
      <c r="I58" s="510"/>
      <c r="J58" s="458"/>
      <c r="K58" s="347">
        <f>K10</f>
        <v>0</v>
      </c>
      <c r="L58" s="347"/>
      <c r="M58" s="510"/>
      <c r="N58" s="458"/>
      <c r="O58" s="347">
        <f>O10</f>
        <v>0</v>
      </c>
      <c r="P58" s="347"/>
      <c r="Q58" s="510"/>
      <c r="R58" s="458"/>
      <c r="S58" s="347">
        <f>S10</f>
        <v>2128.06</v>
      </c>
      <c r="T58" s="347"/>
      <c r="U58" s="510"/>
      <c r="V58" s="512"/>
      <c r="W58" s="255">
        <f t="shared" ref="W58:W60" si="22">B58+F58+J58+N58+R58</f>
        <v>0</v>
      </c>
      <c r="X58" s="255">
        <f t="shared" ref="X58:X60" si="23">G58+C58+K58+O58+S58</f>
        <v>3628.06</v>
      </c>
      <c r="Y58" s="351"/>
      <c r="Z58" s="348"/>
      <c r="AA58" s="350"/>
      <c r="AB58" s="349"/>
      <c r="AC58" s="85">
        <f t="shared" si="0"/>
        <v>3628.06</v>
      </c>
      <c r="AD58" s="352"/>
    </row>
    <row r="59" spans="1:30" s="116" customFormat="1" ht="27.45" customHeight="1" x14ac:dyDescent="0.3">
      <c r="A59" s="109" t="s">
        <v>319</v>
      </c>
      <c r="B59" s="171">
        <f>'Orçamento 2026'!D193</f>
        <v>3174.8233333333333</v>
      </c>
      <c r="C59" s="110">
        <f>+'Base_Resultado Mensal_V2'!C205</f>
        <v>1871.8050000000001</v>
      </c>
      <c r="D59" s="110">
        <f t="shared" ref="D59" si="24">+B59-C59</f>
        <v>1303.0183333333332</v>
      </c>
      <c r="E59" s="201">
        <f t="shared" ref="E59:E60" si="25">C59/B59</f>
        <v>0.58957768778735198</v>
      </c>
      <c r="F59" s="171">
        <f>'Orçamento 2026'!E193</f>
        <v>7072.4066666666668</v>
      </c>
      <c r="G59" s="110">
        <f>'Base_Resultado Mensal_V2'!D205</f>
        <v>3296.0683333333336</v>
      </c>
      <c r="H59" s="110">
        <f>+F59-G59</f>
        <v>3776.3383333333331</v>
      </c>
      <c r="I59" s="201">
        <f>G59/F59</f>
        <v>0.46604621152064224</v>
      </c>
      <c r="J59" s="171">
        <f>'Orçamento 2026'!F193</f>
        <v>7072.4066666666668</v>
      </c>
      <c r="K59" s="110">
        <f>'Base_Resultado Mensal_V2'!E205</f>
        <v>2129.3183333333336</v>
      </c>
      <c r="L59" s="110">
        <f>+J59-K59</f>
        <v>4943.0883333333331</v>
      </c>
      <c r="M59" s="201">
        <f>K59/J59</f>
        <v>0.30107408039319011</v>
      </c>
      <c r="N59" s="171">
        <f>'Orçamento 2026'!G193</f>
        <v>7072.4066666666668</v>
      </c>
      <c r="O59" s="110">
        <f>'Base_Resultado Mensal_V2'!F205</f>
        <v>2129.3183333333336</v>
      </c>
      <c r="P59" s="110">
        <f>+N59-O59</f>
        <v>4943.0883333333331</v>
      </c>
      <c r="Q59" s="201">
        <f>O59/N59</f>
        <v>0.30107408039319011</v>
      </c>
      <c r="R59" s="171">
        <f>'Orçamento 2026'!H193</f>
        <v>4674.4066666666668</v>
      </c>
      <c r="S59" s="110">
        <f>'Base_Resultado Mensal_V2'!G205</f>
        <v>2300.0950000000003</v>
      </c>
      <c r="T59" s="110">
        <f>+R59-S59</f>
        <v>2374.3116666666665</v>
      </c>
      <c r="U59" s="201">
        <f>S59/R59</f>
        <v>0.49206138105228331</v>
      </c>
      <c r="V59" s="225">
        <f>'Orçamento 2026'!B193</f>
        <v>54287.296666666676</v>
      </c>
      <c r="W59" s="255">
        <f t="shared" si="22"/>
        <v>29066.449999999997</v>
      </c>
      <c r="X59" s="255">
        <f t="shared" si="23"/>
        <v>11726.605000000003</v>
      </c>
      <c r="Y59" s="112">
        <f t="shared" ref="Y59" si="26">W59-X59</f>
        <v>17339.844999999994</v>
      </c>
      <c r="Z59" s="113">
        <f t="shared" ref="Z59:Z60" si="27">X59/W59</f>
        <v>0.40344125271576009</v>
      </c>
      <c r="AA59" s="112">
        <f>V59-X59</f>
        <v>42560.691666666673</v>
      </c>
      <c r="AB59" s="172"/>
      <c r="AC59" s="85">
        <f t="shared" si="0"/>
        <v>11726.605000000003</v>
      </c>
      <c r="AD59" s="125">
        <f>X59-AC59</f>
        <v>0</v>
      </c>
    </row>
    <row r="60" spans="1:30" s="116" customFormat="1" ht="27.45" customHeight="1" x14ac:dyDescent="0.3">
      <c r="A60" s="109" t="s">
        <v>223</v>
      </c>
      <c r="B60" s="171">
        <f>'Orçamento 2026'!D196*'Rateio Mensal'!M3</f>
        <v>35876.236882214682</v>
      </c>
      <c r="C60" s="173">
        <f>'Rateio Mensal'!I3</f>
        <v>34776.072606229245</v>
      </c>
      <c r="D60" s="110">
        <f>+B60-C60</f>
        <v>1100.1642759854367</v>
      </c>
      <c r="E60" s="201">
        <f t="shared" si="25"/>
        <v>0.96933445724540768</v>
      </c>
      <c r="F60" s="171">
        <f>'Orçamento 2026'!E196*'Rateio Mensal'!M3</f>
        <v>35083.024493128381</v>
      </c>
      <c r="G60" s="173">
        <f>'Rateio Mensal'!I9</f>
        <v>31601.9553920898</v>
      </c>
      <c r="H60" s="110">
        <f>+F60-G60</f>
        <v>3481.0691010385817</v>
      </c>
      <c r="I60" s="201">
        <f>G60/F60</f>
        <v>0.90077625429015085</v>
      </c>
      <c r="J60" s="171">
        <f>'Orçamento 2026'!F196*'Rateio Mensal'!M3</f>
        <v>41030.124763006141</v>
      </c>
      <c r="K60" s="173">
        <f>'Rateio Mensal'!I15</f>
        <v>35999.711276820744</v>
      </c>
      <c r="L60" s="110">
        <f>+J60-K60</f>
        <v>5030.4134861853963</v>
      </c>
      <c r="M60" s="201">
        <f>K60/J60</f>
        <v>0.87739707068302775</v>
      </c>
      <c r="N60" s="171">
        <f>'Orçamento 2026'!G196*'Rateio Mensal'!M3</f>
        <v>38968.699862758891</v>
      </c>
      <c r="O60" s="173">
        <f>'Rateio Mensal'!I21</f>
        <v>38228.845273408289</v>
      </c>
      <c r="P60" s="110">
        <f>+N60-O60</f>
        <v>739.8545893506016</v>
      </c>
      <c r="Q60" s="201">
        <f>O60/N60</f>
        <v>0.98101413206095556</v>
      </c>
      <c r="R60" s="171">
        <f>'Orçamento 2026'!H196*'Rateio Mensal'!M3</f>
        <v>35409.912135651131</v>
      </c>
      <c r="S60" s="173">
        <f>'Rateio Mensal'!I27</f>
        <v>38094.705783906291</v>
      </c>
      <c r="T60" s="110">
        <f>+R60-S60</f>
        <v>-2684.7936482551595</v>
      </c>
      <c r="U60" s="201">
        <f>S60/R60</f>
        <v>1.0758203984796697</v>
      </c>
      <c r="V60" s="171">
        <f>'Orçamento 2026'!B196*'Rateio Mensal'!M3</f>
        <v>469492.76953711035</v>
      </c>
      <c r="W60" s="255">
        <f t="shared" si="22"/>
        <v>186367.99813675924</v>
      </c>
      <c r="X60" s="255">
        <f t="shared" si="23"/>
        <v>178701.29033245437</v>
      </c>
      <c r="Y60" s="112">
        <f>W60-X60</f>
        <v>7666.7078043048678</v>
      </c>
      <c r="Z60" s="113">
        <f t="shared" si="27"/>
        <v>0.95886253068684602</v>
      </c>
      <c r="AA60" s="112">
        <f>V60-X60</f>
        <v>290791.47920465597</v>
      </c>
      <c r="AB60" s="172"/>
      <c r="AC60" s="85">
        <f t="shared" si="0"/>
        <v>178701.29033245437</v>
      </c>
      <c r="AD60" s="125">
        <f>X60-AC60</f>
        <v>0</v>
      </c>
    </row>
    <row r="61" spans="1:30" s="152" customFormat="1" ht="27.45" customHeight="1" x14ac:dyDescent="0.3">
      <c r="A61" s="150" t="s">
        <v>65</v>
      </c>
      <c r="B61" s="151">
        <f>B54-B57-B59-B60</f>
        <v>135944.77603445196</v>
      </c>
      <c r="C61" s="151">
        <f>C54-C57-C59-C60-C58</f>
        <v>-50457.072606229238</v>
      </c>
      <c r="D61" s="151"/>
      <c r="E61" s="209"/>
      <c r="F61" s="151">
        <f>F54-F57-F59-F60</f>
        <v>134340.40509020493</v>
      </c>
      <c r="G61" s="151">
        <f>G54-G57-G59-G60-G58</f>
        <v>4451.9212745768709</v>
      </c>
      <c r="H61" s="151"/>
      <c r="I61" s="209"/>
      <c r="J61" s="151">
        <f>J54-J57-J59-J60</f>
        <v>128393.30482032718</v>
      </c>
      <c r="K61" s="151">
        <f>K54-K57-K59-K60-K58</f>
        <v>229713.99538984592</v>
      </c>
      <c r="L61" s="151"/>
      <c r="M61" s="209"/>
      <c r="N61" s="151">
        <f>N54-N57-N59-N60</f>
        <v>128854.72972057443</v>
      </c>
      <c r="O61" s="151">
        <f>O54-O57-O59-O60-O58</f>
        <v>40402.75139325839</v>
      </c>
      <c r="P61" s="151"/>
      <c r="Q61" s="209"/>
      <c r="R61" s="151">
        <f>R54-R57-R59-R60</f>
        <v>136411.51744768218</v>
      </c>
      <c r="S61" s="151">
        <f>S54-S57-S59-S60-S58</f>
        <v>44916.894216093715</v>
      </c>
      <c r="T61" s="151"/>
      <c r="U61" s="209"/>
      <c r="V61" s="226">
        <f>+V54-(V57+V59+V60)</f>
        <v>1584605.196296223</v>
      </c>
      <c r="W61" s="151">
        <f>W54-W57-W59-W60-W58</f>
        <v>663944.73311324068</v>
      </c>
      <c r="X61" s="151">
        <f>X54-X57-X59-X60-X58</f>
        <v>269028.48966754571</v>
      </c>
      <c r="Y61" s="112"/>
      <c r="Z61" s="113"/>
      <c r="AA61" s="112"/>
      <c r="AB61" s="176"/>
      <c r="AC61" s="85"/>
      <c r="AD61" s="125"/>
    </row>
    <row r="62" spans="1:30" s="152" customFormat="1" ht="27.45" customHeight="1" x14ac:dyDescent="0.3">
      <c r="A62" s="150" t="s">
        <v>66</v>
      </c>
      <c r="B62" s="153">
        <f>B61/B54</f>
        <v>0.53973111805374907</v>
      </c>
      <c r="C62" s="153">
        <f>C61/C54</f>
        <v>-0.81587660251971472</v>
      </c>
      <c r="D62" s="151"/>
      <c r="E62" s="209"/>
      <c r="F62" s="511">
        <f>F61/F54</f>
        <v>0.53336140714045921</v>
      </c>
      <c r="G62" s="153">
        <f>G61/G54</f>
        <v>3.7202581117408068E-2</v>
      </c>
      <c r="H62" s="151"/>
      <c r="I62" s="209"/>
      <c r="J62" s="511">
        <f>J61/J54</f>
        <v>0.50975009104968549</v>
      </c>
      <c r="K62" s="153">
        <f>K61/K54</f>
        <v>0.66798101557707168</v>
      </c>
      <c r="L62" s="151"/>
      <c r="M62" s="209"/>
      <c r="N62" s="511">
        <f>N61/N54</f>
        <v>0.51158205094232001</v>
      </c>
      <c r="O62" s="153">
        <f>O61/O54</f>
        <v>0.25264193816483382</v>
      </c>
      <c r="P62" s="151"/>
      <c r="Q62" s="209"/>
      <c r="R62" s="511">
        <f>R61/R54</f>
        <v>0.54158418569013178</v>
      </c>
      <c r="S62" s="153">
        <f>S61/S54</f>
        <v>0.26916329619653945</v>
      </c>
      <c r="T62" s="151"/>
      <c r="U62" s="209"/>
      <c r="V62" s="227">
        <f>V61/V54</f>
        <v>0.52426970667731254</v>
      </c>
      <c r="W62" s="156">
        <f>W61/W54</f>
        <v>0.52720177057526918</v>
      </c>
      <c r="X62" s="156">
        <f>X61/X54</f>
        <v>0.31568666273278922</v>
      </c>
      <c r="Y62" s="155"/>
      <c r="Z62" s="154"/>
      <c r="AA62" s="155"/>
      <c r="AB62" s="177"/>
      <c r="AC62" s="85"/>
      <c r="AD62" s="125"/>
    </row>
    <row r="63" spans="1:30" customFormat="1" ht="27.45" customHeight="1" x14ac:dyDescent="0.3">
      <c r="B63" s="56"/>
      <c r="F63" s="56"/>
      <c r="J63" s="56"/>
      <c r="N63" s="56"/>
      <c r="R63" s="56"/>
      <c r="AC63" s="85"/>
    </row>
    <row r="64" spans="1:30" s="183" customFormat="1" ht="27.45" customHeight="1" x14ac:dyDescent="0.3">
      <c r="A64" s="178" t="s">
        <v>199</v>
      </c>
      <c r="B64" s="179">
        <f>B54*$A$34</f>
        <v>37781.250187500002</v>
      </c>
      <c r="C64" s="179">
        <f>C54*$A$34</f>
        <v>9276.6</v>
      </c>
      <c r="D64" s="110">
        <f>(B64-C64)</f>
        <v>28504.650187500003</v>
      </c>
      <c r="E64" s="201">
        <f>C64/B64</f>
        <v>0.24553449009660303</v>
      </c>
      <c r="F64" s="179">
        <f>F54*$A$34</f>
        <v>37781.250187500002</v>
      </c>
      <c r="G64" s="179">
        <f>G54*$A$34</f>
        <v>17950.05</v>
      </c>
      <c r="H64" s="179"/>
      <c r="I64" s="210"/>
      <c r="J64" s="179">
        <f>J54*$A$34</f>
        <v>37781.250187500002</v>
      </c>
      <c r="K64" s="179">
        <f>K54*$A$34</f>
        <v>51583.95</v>
      </c>
      <c r="L64" s="179"/>
      <c r="M64" s="210"/>
      <c r="N64" s="179">
        <f>N54*$A$34</f>
        <v>37781.250187500002</v>
      </c>
      <c r="O64" s="179">
        <f>O54*$A$34</f>
        <v>23988.149999999998</v>
      </c>
      <c r="P64" s="179"/>
      <c r="Q64" s="210"/>
      <c r="R64" s="179">
        <f>R54*$A$34</f>
        <v>37781.250187500002</v>
      </c>
      <c r="S64" s="179">
        <f>S54*$A$34</f>
        <v>25031.399999999998</v>
      </c>
      <c r="T64" s="179"/>
      <c r="U64" s="210"/>
      <c r="V64" s="228">
        <f>V54*$A$34</f>
        <v>453375.00225000002</v>
      </c>
      <c r="W64" s="255">
        <f>W54*A34</f>
        <v>188906.25093750001</v>
      </c>
      <c r="X64" s="255">
        <f>X54*$A$34</f>
        <v>127830.15</v>
      </c>
      <c r="Y64" s="181"/>
      <c r="Z64" s="180"/>
      <c r="AA64" s="181"/>
      <c r="AB64" s="174"/>
      <c r="AC64" s="85">
        <f t="shared" si="0"/>
        <v>127830.15</v>
      </c>
      <c r="AD64" s="182"/>
    </row>
    <row r="65" spans="1:30" s="192" customFormat="1" ht="27.45" customHeight="1" x14ac:dyDescent="0.3">
      <c r="A65" s="184" t="s">
        <v>315</v>
      </c>
      <c r="B65" s="185">
        <f>B29*'Rateio Mensal'!M3</f>
        <v>3042.2883482376233</v>
      </c>
      <c r="C65" s="186">
        <f>C29*'Rateio Mensal'!C3</f>
        <v>2906.9740253958144</v>
      </c>
      <c r="D65" s="110">
        <f>B65-C65</f>
        <v>135.31432284180892</v>
      </c>
      <c r="E65" s="201">
        <f>C65/B65</f>
        <v>0.95552219009082573</v>
      </c>
      <c r="F65" s="185">
        <f>F29*'Rateio Mensal'!M3</f>
        <v>3042.2883482376233</v>
      </c>
      <c r="G65" s="186">
        <f>G29*'Rateio Mensal'!C9</f>
        <v>2948.8223408132999</v>
      </c>
      <c r="H65" s="187"/>
      <c r="I65" s="211"/>
      <c r="J65" s="185">
        <f>J29*'Rateio Mensal'!M3</f>
        <v>3042.2883482376233</v>
      </c>
      <c r="K65" s="186">
        <f>K29*'Rateio Mensal'!C9</f>
        <v>2948.8223408132999</v>
      </c>
      <c r="L65" s="187"/>
      <c r="M65" s="211"/>
      <c r="N65" s="185">
        <f>N29*'Rateio Mensal'!M3</f>
        <v>3042.2883482376233</v>
      </c>
      <c r="O65" s="186">
        <f>O29*'Rateio Mensal'!C9</f>
        <v>2948.8223408132999</v>
      </c>
      <c r="P65" s="187"/>
      <c r="Q65" s="211"/>
      <c r="R65" s="185">
        <f>R29*'Rateio Mensal'!M3</f>
        <v>3042.2883482376233</v>
      </c>
      <c r="S65" s="186">
        <f>S29*'Rateio Mensal'!C9</f>
        <v>2948.8223408132999</v>
      </c>
      <c r="T65" s="187"/>
      <c r="U65" s="211"/>
      <c r="V65" s="229">
        <f>V29*'Rateio Mensal'!M3</f>
        <v>36507.460178851477</v>
      </c>
      <c r="W65" s="255">
        <f>B65+F65+J65+N65+R65</f>
        <v>15211.441741188117</v>
      </c>
      <c r="X65" s="255">
        <f>C65+G65+K65+O65+S65</f>
        <v>14702.263388649015</v>
      </c>
      <c r="Y65" s="189"/>
      <c r="Z65" s="188"/>
      <c r="AA65" s="189"/>
      <c r="AB65" s="190"/>
      <c r="AC65" s="85">
        <f t="shared" si="0"/>
        <v>14702.263388649015</v>
      </c>
      <c r="AD65" s="191"/>
    </row>
    <row r="66" spans="1:30" s="259" customFormat="1" ht="27.45" customHeight="1" x14ac:dyDescent="0.3">
      <c r="A66" s="270" t="s">
        <v>69</v>
      </c>
      <c r="B66" s="457">
        <f>B61-B64-B65</f>
        <v>95121.237498714341</v>
      </c>
      <c r="C66" s="251">
        <f>C61-C64-C65</f>
        <v>-62640.646631625052</v>
      </c>
      <c r="D66" s="251"/>
      <c r="E66" s="252"/>
      <c r="F66" s="457">
        <f>F61-F64-F65</f>
        <v>93516.866554467313</v>
      </c>
      <c r="G66" s="251">
        <f>G61-G64-G65</f>
        <v>-16446.951066236426</v>
      </c>
      <c r="H66" s="251"/>
      <c r="I66" s="252"/>
      <c r="J66" s="457">
        <f>J61-J64-J65</f>
        <v>87569.766284589554</v>
      </c>
      <c r="K66" s="251">
        <f>K61-K64-K65</f>
        <v>175181.22304903262</v>
      </c>
      <c r="L66" s="251"/>
      <c r="M66" s="252"/>
      <c r="N66" s="457">
        <f>N61-N64-N65</f>
        <v>88031.191184836804</v>
      </c>
      <c r="O66" s="251">
        <f>O61-O64-O65</f>
        <v>13465.779052445092</v>
      </c>
      <c r="P66" s="251"/>
      <c r="Q66" s="252"/>
      <c r="R66" s="457">
        <f>R61-R64-R65</f>
        <v>95587.978911944563</v>
      </c>
      <c r="S66" s="251">
        <f>S61-S64-S65</f>
        <v>16936.671875280415</v>
      </c>
      <c r="T66" s="251"/>
      <c r="U66" s="252"/>
      <c r="V66" s="254">
        <f>V61-V64-V65</f>
        <v>1094722.7338673717</v>
      </c>
      <c r="W66" s="251">
        <f>W61-W64-W65</f>
        <v>459827.04043455253</v>
      </c>
      <c r="X66" s="251">
        <f>X61-X64-X65</f>
        <v>126496.07627889671</v>
      </c>
      <c r="Y66" s="256"/>
      <c r="Z66" s="257"/>
      <c r="AA66" s="255"/>
      <c r="AB66" s="253"/>
      <c r="AC66" s="85">
        <f t="shared" si="0"/>
        <v>126496.07627889665</v>
      </c>
      <c r="AD66" s="258"/>
    </row>
    <row r="67" spans="1:30" s="287" customFormat="1" ht="27.45" customHeight="1" x14ac:dyDescent="0.3">
      <c r="A67" s="284" t="s">
        <v>70</v>
      </c>
      <c r="B67" s="196">
        <f>B66/B54</f>
        <v>0.37765255395195491</v>
      </c>
      <c r="C67" s="314">
        <f>C66/C54</f>
        <v>-1.012881550863868</v>
      </c>
      <c r="D67" s="146"/>
      <c r="E67" s="285"/>
      <c r="F67" s="196">
        <f>F66/F54</f>
        <v>0.37128284303866499</v>
      </c>
      <c r="G67" s="314">
        <f>G66/G54</f>
        <v>-0.13743931966403791</v>
      </c>
      <c r="H67" s="146"/>
      <c r="I67" s="285"/>
      <c r="J67" s="196">
        <f>J66/J54</f>
        <v>0.34767152694789133</v>
      </c>
      <c r="K67" s="196">
        <f>K66/K54</f>
        <v>0.50940619044014457</v>
      </c>
      <c r="L67" s="146"/>
      <c r="M67" s="285"/>
      <c r="N67" s="196">
        <f>N66/N54</f>
        <v>0.34950348684052579</v>
      </c>
      <c r="O67" s="196">
        <f>O66/O54</f>
        <v>8.4202694158022354E-2</v>
      </c>
      <c r="P67" s="146"/>
      <c r="Q67" s="285"/>
      <c r="R67" s="196">
        <f>R66/R54</f>
        <v>0.37950562158833756</v>
      </c>
      <c r="S67" s="196">
        <f>S66/S54</f>
        <v>0.10149255660059214</v>
      </c>
      <c r="T67" s="146"/>
      <c r="U67" s="285"/>
      <c r="V67" s="230">
        <f>V66/V54</f>
        <v>0.36219114257551843</v>
      </c>
      <c r="W67" s="193">
        <f>W66/W54</f>
        <v>0.3651232064734749</v>
      </c>
      <c r="X67" s="196">
        <f>X66/X54</f>
        <v>0.14843455508606151</v>
      </c>
      <c r="Y67" s="195"/>
      <c r="Z67" s="196"/>
      <c r="AA67" s="195"/>
      <c r="AB67" s="197"/>
      <c r="AC67" s="85"/>
      <c r="AD67" s="286"/>
    </row>
    <row r="68" spans="1:30" s="283" customFormat="1" ht="27.45" customHeight="1" x14ac:dyDescent="0.3">
      <c r="A68" s="178" t="s">
        <v>71</v>
      </c>
      <c r="B68" s="179">
        <f>B66*10%</f>
        <v>9512.1237498714345</v>
      </c>
      <c r="C68" s="179">
        <f>C66*10%</f>
        <v>-6264.0646631625059</v>
      </c>
      <c r="D68" s="179"/>
      <c r="E68" s="210"/>
      <c r="F68" s="179">
        <f>F66*10%</f>
        <v>9351.6866554467324</v>
      </c>
      <c r="G68" s="179">
        <f>G66*10%</f>
        <v>-1644.6951066236427</v>
      </c>
      <c r="H68" s="179"/>
      <c r="I68" s="210"/>
      <c r="J68" s="179">
        <f>J66*10%</f>
        <v>8756.976628458955</v>
      </c>
      <c r="K68" s="179">
        <f>K66*10%</f>
        <v>17518.122304903263</v>
      </c>
      <c r="L68" s="179"/>
      <c r="M68" s="210"/>
      <c r="N68" s="179">
        <f>N66*10%</f>
        <v>8803.1191184836807</v>
      </c>
      <c r="O68" s="179">
        <f>O66*10%</f>
        <v>1346.5779052445093</v>
      </c>
      <c r="P68" s="179"/>
      <c r="Q68" s="210"/>
      <c r="R68" s="179">
        <f>R66*10%</f>
        <v>9558.7978911944574</v>
      </c>
      <c r="S68" s="179">
        <f>S66*10%</f>
        <v>1693.6671875280417</v>
      </c>
      <c r="T68" s="179"/>
      <c r="U68" s="210"/>
      <c r="V68" s="282">
        <f>V66*10%</f>
        <v>109472.27338673717</v>
      </c>
      <c r="W68" s="179">
        <f>W66*10%</f>
        <v>45982.704043455255</v>
      </c>
      <c r="X68" s="179">
        <f>X66*10%</f>
        <v>12649.607627889673</v>
      </c>
      <c r="Y68" s="180"/>
      <c r="Z68" s="180"/>
      <c r="AA68" s="180"/>
      <c r="AB68" s="180"/>
      <c r="AC68" s="85"/>
      <c r="AD68" s="182"/>
    </row>
    <row r="69" spans="1:30" customFormat="1" ht="27.45" customHeight="1" x14ac:dyDescent="0.3">
      <c r="B69" s="56"/>
      <c r="F69" s="56"/>
      <c r="J69" s="56"/>
      <c r="N69" s="56"/>
      <c r="R69" s="56"/>
      <c r="AC69" s="85">
        <f t="shared" ref="AC69:AC83" si="28">C69+G69+K69+O69+S69</f>
        <v>0</v>
      </c>
    </row>
    <row r="70" spans="1:30" s="168" customFormat="1" ht="27.45" customHeight="1" x14ac:dyDescent="0.4">
      <c r="A70" s="164"/>
      <c r="B70" s="555" t="s">
        <v>251</v>
      </c>
      <c r="C70" s="556"/>
      <c r="D70" s="557"/>
      <c r="E70" s="165"/>
      <c r="F70" s="552" t="s">
        <v>35</v>
      </c>
      <c r="G70" s="553"/>
      <c r="H70" s="553"/>
      <c r="I70" s="553"/>
      <c r="J70" s="552" t="str">
        <f>J1</f>
        <v>Março</v>
      </c>
      <c r="K70" s="553"/>
      <c r="L70" s="553"/>
      <c r="M70" s="553"/>
      <c r="N70" s="552" t="str">
        <f>N1</f>
        <v>Abril</v>
      </c>
      <c r="O70" s="553"/>
      <c r="P70" s="553"/>
      <c r="Q70" s="553"/>
      <c r="R70" s="552" t="str">
        <f>R1</f>
        <v>Maio</v>
      </c>
      <c r="S70" s="553"/>
      <c r="T70" s="553"/>
      <c r="U70" s="553"/>
      <c r="V70" s="224"/>
      <c r="W70" s="166"/>
      <c r="X70" s="166"/>
      <c r="Y70" s="166"/>
      <c r="Z70" s="167"/>
      <c r="AA70" s="166"/>
      <c r="AB70" s="166"/>
      <c r="AC70" s="85">
        <f t="shared" si="28"/>
        <v>0</v>
      </c>
      <c r="AD70" s="169"/>
    </row>
    <row r="71" spans="1:30" ht="27.45" customHeight="1" x14ac:dyDescent="0.25">
      <c r="A71" s="170" t="s">
        <v>321</v>
      </c>
      <c r="B71" s="67" t="s">
        <v>47</v>
      </c>
      <c r="C71" s="67" t="s">
        <v>242</v>
      </c>
      <c r="D71" s="67" t="s">
        <v>308</v>
      </c>
      <c r="E71" s="208" t="s">
        <v>309</v>
      </c>
      <c r="F71" s="507" t="s">
        <v>47</v>
      </c>
      <c r="G71" s="507" t="s">
        <v>242</v>
      </c>
      <c r="H71" s="507" t="s">
        <v>308</v>
      </c>
      <c r="I71" s="508" t="s">
        <v>309</v>
      </c>
      <c r="J71" s="507" t="s">
        <v>47</v>
      </c>
      <c r="K71" s="507" t="s">
        <v>242</v>
      </c>
      <c r="L71" s="507" t="s">
        <v>308</v>
      </c>
      <c r="M71" s="508" t="s">
        <v>309</v>
      </c>
      <c r="N71" s="507" t="s">
        <v>47</v>
      </c>
      <c r="O71" s="507" t="s">
        <v>242</v>
      </c>
      <c r="P71" s="507" t="s">
        <v>308</v>
      </c>
      <c r="Q71" s="508" t="s">
        <v>309</v>
      </c>
      <c r="R71" s="507" t="s">
        <v>47</v>
      </c>
      <c r="S71" s="507" t="s">
        <v>242</v>
      </c>
      <c r="T71" s="507" t="s">
        <v>308</v>
      </c>
      <c r="U71" s="508" t="s">
        <v>309</v>
      </c>
      <c r="V71" s="212" t="s">
        <v>310</v>
      </c>
      <c r="W71" s="69" t="s">
        <v>311</v>
      </c>
      <c r="X71" s="69" t="s">
        <v>242</v>
      </c>
      <c r="Y71" s="69" t="s">
        <v>312</v>
      </c>
      <c r="Z71" s="70" t="s">
        <v>309</v>
      </c>
      <c r="AA71" s="71" t="s">
        <v>313</v>
      </c>
      <c r="AB71" s="71"/>
      <c r="AC71" s="85"/>
      <c r="AD71" s="72"/>
    </row>
    <row r="72" spans="1:30" s="259" customFormat="1" ht="27.45" customHeight="1" x14ac:dyDescent="0.3">
      <c r="A72" s="250" t="s">
        <v>314</v>
      </c>
      <c r="B72" s="457">
        <f>($B$3/4)</f>
        <v>167916.66750000001</v>
      </c>
      <c r="C72" s="460">
        <f>133078+91</f>
        <v>133169</v>
      </c>
      <c r="D72" s="251">
        <f>C72-B72</f>
        <v>-34747.66750000001</v>
      </c>
      <c r="E72" s="252">
        <f>C72/B72</f>
        <v>0.79306600102696767</v>
      </c>
      <c r="F72" s="457">
        <f>B72</f>
        <v>167916.66750000001</v>
      </c>
      <c r="G72" s="460">
        <f>62401+105</f>
        <v>62506</v>
      </c>
      <c r="H72" s="251">
        <f>G72-F72</f>
        <v>-105410.66750000001</v>
      </c>
      <c r="I72" s="252">
        <f>G72/F72</f>
        <v>0.37224416688712569</v>
      </c>
      <c r="J72" s="457">
        <f>F72</f>
        <v>167916.66750000001</v>
      </c>
      <c r="K72" s="460">
        <f>113442+2</f>
        <v>113444</v>
      </c>
      <c r="L72" s="251">
        <f>K72-J72</f>
        <v>-54472.66750000001</v>
      </c>
      <c r="M72" s="252">
        <f>K72/J72</f>
        <v>0.6755970189796674</v>
      </c>
      <c r="N72" s="457">
        <f>J72</f>
        <v>167916.66750000001</v>
      </c>
      <c r="O72" s="460">
        <f>3473+3</f>
        <v>3476</v>
      </c>
      <c r="P72" s="251">
        <f>O72-N72</f>
        <v>-164440.66750000001</v>
      </c>
      <c r="Q72" s="252">
        <f>O72/N72</f>
        <v>2.0700744314140224E-2</v>
      </c>
      <c r="R72" s="457">
        <f>N72</f>
        <v>167916.66750000001</v>
      </c>
      <c r="S72" s="460">
        <f>41998-138</f>
        <v>41860</v>
      </c>
      <c r="T72" s="251">
        <f>S72-R72</f>
        <v>-126056.66750000001</v>
      </c>
      <c r="U72" s="252">
        <f>S72/R72</f>
        <v>0.24929032134347234</v>
      </c>
      <c r="V72" s="254">
        <f>($V$3/4)</f>
        <v>2015000.01</v>
      </c>
      <c r="W72" s="255">
        <f>B72+F72+J72+N72+R72</f>
        <v>839583.33750000002</v>
      </c>
      <c r="X72" s="255">
        <f>C72+G72+K72+O72+S72</f>
        <v>354455</v>
      </c>
      <c r="Y72" s="256">
        <f>X72-W72</f>
        <v>-485128.33750000002</v>
      </c>
      <c r="Z72" s="257">
        <f>X72/W72</f>
        <v>0.42217965051027467</v>
      </c>
      <c r="AA72" s="255">
        <f>V72-X72</f>
        <v>1660545.01</v>
      </c>
      <c r="AB72" s="253"/>
      <c r="AC72" s="85">
        <f t="shared" si="28"/>
        <v>354455</v>
      </c>
      <c r="AD72" s="258">
        <f>X72-AC72</f>
        <v>0</v>
      </c>
    </row>
    <row r="73" spans="1:30" customFormat="1" ht="27.45" customHeight="1" x14ac:dyDescent="0.3">
      <c r="B73" s="56"/>
      <c r="F73" s="56"/>
      <c r="J73" s="56"/>
      <c r="N73" s="56"/>
      <c r="R73" s="56"/>
      <c r="AC73" s="85">
        <f t="shared" si="28"/>
        <v>0</v>
      </c>
    </row>
    <row r="74" spans="1:30" s="239" customFormat="1" ht="27.45" customHeight="1" x14ac:dyDescent="0.3">
      <c r="A74" s="232" t="s">
        <v>49</v>
      </c>
      <c r="B74" s="233" t="s">
        <v>47</v>
      </c>
      <c r="C74" s="233" t="s">
        <v>242</v>
      </c>
      <c r="D74" s="234" t="s">
        <v>308</v>
      </c>
      <c r="E74" s="235" t="s">
        <v>309</v>
      </c>
      <c r="F74" s="507" t="s">
        <v>47</v>
      </c>
      <c r="G74" s="507" t="s">
        <v>242</v>
      </c>
      <c r="H74" s="507" t="s">
        <v>308</v>
      </c>
      <c r="I74" s="508" t="s">
        <v>309</v>
      </c>
      <c r="J74" s="507" t="s">
        <v>47</v>
      </c>
      <c r="K74" s="507" t="s">
        <v>242</v>
      </c>
      <c r="L74" s="507" t="s">
        <v>308</v>
      </c>
      <c r="M74" s="508" t="s">
        <v>309</v>
      </c>
      <c r="N74" s="507" t="s">
        <v>47</v>
      </c>
      <c r="O74" s="507" t="s">
        <v>242</v>
      </c>
      <c r="P74" s="507" t="s">
        <v>308</v>
      </c>
      <c r="Q74" s="508" t="s">
        <v>309</v>
      </c>
      <c r="R74" s="507" t="s">
        <v>47</v>
      </c>
      <c r="S74" s="507" t="s">
        <v>242</v>
      </c>
      <c r="T74" s="507" t="s">
        <v>308</v>
      </c>
      <c r="U74" s="508" t="s">
        <v>309</v>
      </c>
      <c r="V74" s="236" t="s">
        <v>310</v>
      </c>
      <c r="W74" s="237" t="s">
        <v>311</v>
      </c>
      <c r="X74" s="237" t="s">
        <v>242</v>
      </c>
      <c r="Y74" s="237" t="s">
        <v>312</v>
      </c>
      <c r="Z74" s="237" t="s">
        <v>309</v>
      </c>
      <c r="AA74" s="237" t="s">
        <v>313</v>
      </c>
      <c r="AB74" s="238"/>
      <c r="AC74" s="85"/>
    </row>
    <row r="75" spans="1:30" s="259" customFormat="1" ht="27.45" customHeight="1" x14ac:dyDescent="0.3">
      <c r="A75" s="250" t="s">
        <v>318</v>
      </c>
      <c r="B75" s="457">
        <f>+B11</f>
        <v>63453.360000000008</v>
      </c>
      <c r="C75" s="251">
        <f>'Base_Resultado Mensal_V2'!C60</f>
        <v>62013.17</v>
      </c>
      <c r="D75" s="251">
        <f>+B75-C75</f>
        <v>1440.1900000000096</v>
      </c>
      <c r="E75" s="252">
        <f t="shared" ref="E75:E78" si="29">(C75/B75)-1</f>
        <v>-2.2696828032432115E-2</v>
      </c>
      <c r="F75" s="457">
        <f>+F11</f>
        <v>61853.360000000008</v>
      </c>
      <c r="G75" s="251">
        <f>'Base_Resultado Mensal_V2'!D60</f>
        <v>61794.340000000004</v>
      </c>
      <c r="H75" s="251">
        <f>+F75-G75</f>
        <v>59.020000000004075</v>
      </c>
      <c r="I75" s="252">
        <f>(G75/F75)-1</f>
        <v>-9.5419230256854615E-4</v>
      </c>
      <c r="J75" s="457">
        <f>+J11</f>
        <v>49236.380000000005</v>
      </c>
      <c r="K75" s="251">
        <f>K11</f>
        <v>49183.94</v>
      </c>
      <c r="L75" s="251">
        <f>+J75-K75</f>
        <v>52.440000000002328</v>
      </c>
      <c r="M75" s="252">
        <f>(K75/J75)-1</f>
        <v>-1.0650661157461938E-3</v>
      </c>
      <c r="N75" s="457">
        <f>+N11</f>
        <v>50836.380000000005</v>
      </c>
      <c r="O75" s="251">
        <f>O11</f>
        <v>55038.69</v>
      </c>
      <c r="P75" s="251">
        <f>+N75-O75</f>
        <v>-4202.3099999999977</v>
      </c>
      <c r="Q75" s="252">
        <f>(O75/N75)-1</f>
        <v>8.2663439056832821E-2</v>
      </c>
      <c r="R75" s="457">
        <f>+R11</f>
        <v>49236.380000000005</v>
      </c>
      <c r="S75" s="251">
        <f>S11</f>
        <v>54383.94</v>
      </c>
      <c r="T75" s="251">
        <f>+R75-S75</f>
        <v>-5147.5599999999977</v>
      </c>
      <c r="U75" s="252">
        <f>(S75/R75)-1</f>
        <v>0.10454789730682879</v>
      </c>
      <c r="V75" s="254">
        <f>V11</f>
        <v>623198.16100000008</v>
      </c>
      <c r="W75" s="255">
        <f>B75+F75+J75+N75+R75</f>
        <v>274615.86000000004</v>
      </c>
      <c r="X75" s="255">
        <f>X11</f>
        <v>282414.08000000002</v>
      </c>
      <c r="Y75" s="256">
        <f>W75-X75</f>
        <v>-7798.2199999999721</v>
      </c>
      <c r="Z75" s="257">
        <f>X75/W75</f>
        <v>1.0283968303942823</v>
      </c>
      <c r="AA75" s="255">
        <f>V75-X75</f>
        <v>340784.08100000006</v>
      </c>
      <c r="AB75" s="253"/>
      <c r="AC75" s="85">
        <f t="shared" si="28"/>
        <v>282414.08000000002</v>
      </c>
      <c r="AD75" s="258">
        <f>X75-AC75</f>
        <v>0</v>
      </c>
    </row>
    <row r="76" spans="1:30" s="353" customFormat="1" ht="27.45" customHeight="1" x14ac:dyDescent="0.3">
      <c r="A76" s="346" t="str">
        <f>A12</f>
        <v>Participação/comissão - Arbitragem</v>
      </c>
      <c r="B76" s="458"/>
      <c r="C76" s="347">
        <f>C12</f>
        <v>0</v>
      </c>
      <c r="D76" s="347"/>
      <c r="E76" s="348"/>
      <c r="F76" s="458"/>
      <c r="G76" s="347">
        <f>G12</f>
        <v>0</v>
      </c>
      <c r="H76" s="347"/>
      <c r="I76" s="510"/>
      <c r="J76" s="458"/>
      <c r="K76" s="347">
        <f>K12</f>
        <v>0</v>
      </c>
      <c r="L76" s="347"/>
      <c r="M76" s="510"/>
      <c r="N76" s="458"/>
      <c r="O76" s="347">
        <f>O12</f>
        <v>0</v>
      </c>
      <c r="P76" s="347"/>
      <c r="Q76" s="510"/>
      <c r="R76" s="458"/>
      <c r="S76" s="347">
        <f>S12</f>
        <v>0</v>
      </c>
      <c r="T76" s="347"/>
      <c r="U76" s="510"/>
      <c r="V76" s="512"/>
      <c r="W76" s="255">
        <f t="shared" ref="W76:W78" si="30">B76+F76+J76+N76+R76</f>
        <v>0</v>
      </c>
      <c r="X76" s="255">
        <f>X12</f>
        <v>0</v>
      </c>
      <c r="Y76" s="351"/>
      <c r="Z76" s="348"/>
      <c r="AA76" s="350"/>
      <c r="AB76" s="349"/>
      <c r="AC76" s="85">
        <f t="shared" si="28"/>
        <v>0</v>
      </c>
      <c r="AD76" s="352"/>
    </row>
    <row r="77" spans="1:30" s="116" customFormat="1" ht="27.45" customHeight="1" x14ac:dyDescent="0.3">
      <c r="A77" s="109" t="s">
        <v>319</v>
      </c>
      <c r="B77" s="171">
        <f>'Orçamento 2026'!D194</f>
        <v>1901.49</v>
      </c>
      <c r="C77" s="110">
        <f>+'Base_Resultado Mensal_V2'!C206</f>
        <v>146</v>
      </c>
      <c r="D77" s="110">
        <f t="shared" ref="D77" si="31">+B77-C77</f>
        <v>1755.49</v>
      </c>
      <c r="E77" s="201">
        <f t="shared" si="29"/>
        <v>-0.92321810790485359</v>
      </c>
      <c r="F77" s="171">
        <f>'Orçamento 2026'!E194</f>
        <v>5799.49</v>
      </c>
      <c r="G77" s="110">
        <f>'Base_Resultado Mensal_V2'!D206</f>
        <v>2633.6933333333336</v>
      </c>
      <c r="H77" s="110">
        <f>+F77-G77</f>
        <v>3165.7966666666662</v>
      </c>
      <c r="I77" s="201">
        <f>(G77/F77)-1</f>
        <v>-0.54587501084865497</v>
      </c>
      <c r="J77" s="171">
        <f>'Orçamento 2026'!F194</f>
        <v>7299.49</v>
      </c>
      <c r="K77" s="110">
        <f>'Base_Resultado Mensal_V2'!E206</f>
        <v>3728.1833333333334</v>
      </c>
      <c r="L77" s="110">
        <f>+J77-K77</f>
        <v>3571.3066666666664</v>
      </c>
      <c r="M77" s="201">
        <f>(K77/J77)-1</f>
        <v>-0.48925427210211492</v>
      </c>
      <c r="N77" s="171">
        <f>'Orçamento 2026'!G194</f>
        <v>5799.49</v>
      </c>
      <c r="O77" s="110">
        <f>'Base_Resultado Mensal_V2'!F206</f>
        <v>2633.6933333333336</v>
      </c>
      <c r="P77" s="110">
        <f>+N77-O77</f>
        <v>3165.7966666666662</v>
      </c>
      <c r="Q77" s="201">
        <f>(O77/N77)-1</f>
        <v>-0.54587501084865497</v>
      </c>
      <c r="R77" s="171">
        <f>'Orçamento 2026'!H194</f>
        <v>1901.49</v>
      </c>
      <c r="S77" s="110">
        <f>'Base_Resultado Mensal_V2'!G206</f>
        <v>1204.47</v>
      </c>
      <c r="T77" s="110">
        <f>+R77-S77</f>
        <v>697.02</v>
      </c>
      <c r="U77" s="201">
        <f>(S77/R77)-1</f>
        <v>-0.36656516731615729</v>
      </c>
      <c r="V77" s="225">
        <f>'Orçamento 2026'!B194</f>
        <v>39602.215250000008</v>
      </c>
      <c r="W77" s="255">
        <f t="shared" si="30"/>
        <v>22701.45</v>
      </c>
      <c r="X77" s="255">
        <f>C77+G77+K77+O77+S77</f>
        <v>10346.039999999999</v>
      </c>
      <c r="Y77" s="112">
        <f t="shared" ref="Y77:Y78" si="32">W77-X77</f>
        <v>12355.410000000002</v>
      </c>
      <c r="Z77" s="113">
        <f>X77/W77</f>
        <v>0.45574357585088171</v>
      </c>
      <c r="AA77" s="112">
        <f>V77-X77</f>
        <v>29256.175250000008</v>
      </c>
      <c r="AB77" s="172"/>
      <c r="AC77" s="85">
        <f t="shared" si="28"/>
        <v>10346.039999999999</v>
      </c>
      <c r="AD77" s="125">
        <f>X77-AC77</f>
        <v>0</v>
      </c>
    </row>
    <row r="78" spans="1:30" s="116" customFormat="1" ht="27.45" customHeight="1" x14ac:dyDescent="0.3">
      <c r="A78" s="109" t="s">
        <v>322</v>
      </c>
      <c r="B78" s="171">
        <f>'Orçamento 2026'!D196*'Rateio Mensal'!M4</f>
        <v>24458.641311115436</v>
      </c>
      <c r="C78" s="173">
        <f>'Rateio Mensal'!I4</f>
        <v>28506.059822885702</v>
      </c>
      <c r="D78" s="110">
        <f>+B78-C78</f>
        <v>-4047.4185117702655</v>
      </c>
      <c r="E78" s="201">
        <f t="shared" si="29"/>
        <v>0.16548010415978753</v>
      </c>
      <c r="F78" s="171">
        <f>'Orçamento 2026'!E196*'Rateio Mensal'!M4</f>
        <v>23917.868393044628</v>
      </c>
      <c r="G78" s="173">
        <f>'Rateio Mensal'!I10</f>
        <v>24776.642265606482</v>
      </c>
      <c r="H78" s="110">
        <f>+F78-G78</f>
        <v>-858.77387256185466</v>
      </c>
      <c r="I78" s="201">
        <f>(G78/F78)-1</f>
        <v>3.5905117397986297E-2</v>
      </c>
      <c r="J78" s="171">
        <f>'Orçamento 2026'!F196*'Rateio Mensal'!M4</f>
        <v>27972.30678968392</v>
      </c>
      <c r="K78" s="173">
        <f>'Rateio Mensal'!I16</f>
        <v>23282.159388697695</v>
      </c>
      <c r="L78" s="110">
        <f>+J78-K78</f>
        <v>4690.147400986225</v>
      </c>
      <c r="M78" s="201">
        <f>(K78/J78)-1</f>
        <v>-0.16767109828481985</v>
      </c>
      <c r="N78" s="171">
        <f>'Orçamento 2026'!G196*'Rateio Mensal'!M4</f>
        <v>26566.929397665852</v>
      </c>
      <c r="O78" s="173">
        <f>'Rateio Mensal'!I22</f>
        <v>26579.880050167762</v>
      </c>
      <c r="P78" s="110">
        <f>+N78-O78</f>
        <v>-12.950652501909644</v>
      </c>
      <c r="Q78" s="201">
        <f>(O78/N78)-1</f>
        <v>4.8747268862192605E-4</v>
      </c>
      <c r="R78" s="171">
        <f>'Orçamento 2026'!H196*'Rateio Mensal'!M4</f>
        <v>24140.724196560175</v>
      </c>
      <c r="S78" s="173">
        <f>'Rateio Mensal'!I28</f>
        <v>26080.54035874446</v>
      </c>
      <c r="T78" s="110">
        <f>+R78-S78</f>
        <v>-1939.8161621842846</v>
      </c>
      <c r="U78" s="201">
        <f>(S78/R78)-1</f>
        <v>8.0354514072974226E-2</v>
      </c>
      <c r="V78" s="171">
        <f>'Orçamento 2026'!B196*'Rateio Mensal'!M4</f>
        <v>320076.91570246703</v>
      </c>
      <c r="W78" s="255">
        <f t="shared" si="30"/>
        <v>127056.47008807001</v>
      </c>
      <c r="X78" s="255">
        <f>C78+G78+K78+O78+S78</f>
        <v>129225.28188610209</v>
      </c>
      <c r="Y78" s="112">
        <f t="shared" si="32"/>
        <v>-2168.8117980320822</v>
      </c>
      <c r="Z78" s="113">
        <f>X78/W78</f>
        <v>1.0170696682863041</v>
      </c>
      <c r="AA78" s="112">
        <f>V78-X78</f>
        <v>190851.63381636492</v>
      </c>
      <c r="AB78" s="172"/>
      <c r="AC78" s="85">
        <f t="shared" si="28"/>
        <v>129225.28188610209</v>
      </c>
      <c r="AD78" s="125">
        <f>X78-AC78</f>
        <v>0</v>
      </c>
    </row>
    <row r="79" spans="1:30" s="281" customFormat="1" ht="27.45" customHeight="1" x14ac:dyDescent="0.3">
      <c r="A79" s="276" t="s">
        <v>65</v>
      </c>
      <c r="B79" s="277">
        <f>B72-B75-B77-B78</f>
        <v>78103.17618888455</v>
      </c>
      <c r="C79" s="277">
        <f>C72-C75-C77-C78-C76</f>
        <v>42503.770177114304</v>
      </c>
      <c r="D79" s="277"/>
      <c r="E79" s="278"/>
      <c r="F79" s="277">
        <f>F72-F75-F77-F78</f>
        <v>76345.949106955362</v>
      </c>
      <c r="G79" s="277">
        <f>G72-G75-G77-G78-G76</f>
        <v>-26698.675598939819</v>
      </c>
      <c r="H79" s="277"/>
      <c r="I79" s="278"/>
      <c r="J79" s="277">
        <f>J72-J75-J77-J78</f>
        <v>83408.49071031608</v>
      </c>
      <c r="K79" s="277">
        <f>K72-K75-K77-K78-K76</f>
        <v>37249.717277968972</v>
      </c>
      <c r="L79" s="277"/>
      <c r="M79" s="278"/>
      <c r="N79" s="277">
        <f>N72-N75-N77-N78</f>
        <v>84713.868102334149</v>
      </c>
      <c r="O79" s="277">
        <f>O72-O75-O77-O78-O76</f>
        <v>-80776.263383501093</v>
      </c>
      <c r="P79" s="277"/>
      <c r="Q79" s="278"/>
      <c r="R79" s="277">
        <f>R72-R75-R77-R78</f>
        <v>92638.073303439829</v>
      </c>
      <c r="S79" s="277">
        <f>S72-S75-S77-S78-S76</f>
        <v>-39808.950358744463</v>
      </c>
      <c r="T79" s="277"/>
      <c r="U79" s="278"/>
      <c r="V79" s="226">
        <f>+V72-(V75+V77+V78)</f>
        <v>1032122.718047533</v>
      </c>
      <c r="W79" s="175">
        <f>+W72-(W75+W77+W78)</f>
        <v>415209.55741192994</v>
      </c>
      <c r="X79" s="277">
        <f>X72-X75-X77-X78-X76</f>
        <v>-67530.401886102103</v>
      </c>
      <c r="Y79" s="112"/>
      <c r="Z79" s="113"/>
      <c r="AA79" s="112"/>
      <c r="AB79" s="176"/>
      <c r="AC79" s="85"/>
      <c r="AD79" s="280"/>
    </row>
    <row r="80" spans="1:30" s="281" customFormat="1" ht="27.45" customHeight="1" x14ac:dyDescent="0.3">
      <c r="A80" s="276" t="s">
        <v>66</v>
      </c>
      <c r="B80" s="154">
        <f>B79/B72</f>
        <v>0.46513057549146836</v>
      </c>
      <c r="C80" s="154">
        <f>C79/C72</f>
        <v>0.31917165539362991</v>
      </c>
      <c r="D80" s="277"/>
      <c r="E80" s="278"/>
      <c r="F80" s="154">
        <f>F79/F72</f>
        <v>0.45466569962124431</v>
      </c>
      <c r="G80" s="154">
        <f>G79/G72</f>
        <v>-0.42713780435381915</v>
      </c>
      <c r="H80" s="277"/>
      <c r="I80" s="278"/>
      <c r="J80" s="154">
        <f>J79/J72</f>
        <v>0.49672550052433645</v>
      </c>
      <c r="K80" s="154">
        <f>K79/K72</f>
        <v>0.32835334859462795</v>
      </c>
      <c r="L80" s="277"/>
      <c r="M80" s="278"/>
      <c r="N80" s="154">
        <f>N79/N72</f>
        <v>0.5044994601404541</v>
      </c>
      <c r="O80" s="154">
        <f>O79/O72</f>
        <v>-23.23828060514991</v>
      </c>
      <c r="P80" s="277"/>
      <c r="Q80" s="278"/>
      <c r="R80" s="154">
        <f>R79/R72</f>
        <v>0.55169075638926568</v>
      </c>
      <c r="S80" s="154">
        <f>S79/S72</f>
        <v>-0.95100215859399095</v>
      </c>
      <c r="T80" s="277"/>
      <c r="U80" s="278"/>
      <c r="V80" s="227">
        <f>V79/V72</f>
        <v>0.51221970864780941</v>
      </c>
      <c r="W80" s="156">
        <f>W79/W72</f>
        <v>0.49454239843335379</v>
      </c>
      <c r="X80" s="156">
        <f>X79/X72</f>
        <v>-0.19051897105726284</v>
      </c>
      <c r="Y80" s="155"/>
      <c r="Z80" s="154"/>
      <c r="AA80" s="155"/>
      <c r="AB80" s="177"/>
      <c r="AC80" s="85"/>
      <c r="AD80" s="280"/>
    </row>
    <row r="81" spans="1:30" customFormat="1" ht="27.45" customHeight="1" x14ac:dyDescent="0.3">
      <c r="B81" s="56"/>
      <c r="F81" s="56"/>
      <c r="J81" s="56"/>
      <c r="N81" s="56"/>
      <c r="R81" s="56"/>
      <c r="AC81" s="85">
        <f t="shared" si="28"/>
        <v>0</v>
      </c>
    </row>
    <row r="82" spans="1:30" s="183" customFormat="1" ht="27.45" customHeight="1" x14ac:dyDescent="0.3">
      <c r="A82" s="178" t="s">
        <v>199</v>
      </c>
      <c r="B82" s="179">
        <f>B72*$A$34</f>
        <v>25187.500125000002</v>
      </c>
      <c r="C82" s="179">
        <f>C72*$A$34</f>
        <v>19975.349999999999</v>
      </c>
      <c r="D82" s="110">
        <f>(B82-C82)</f>
        <v>5212.1501250000038</v>
      </c>
      <c r="E82" s="201">
        <f>C82/B82</f>
        <v>0.79306600102696756</v>
      </c>
      <c r="F82" s="179">
        <f>F72*$A$34</f>
        <v>25187.500125000002</v>
      </c>
      <c r="G82" s="179">
        <f>G72*$A$34</f>
        <v>9375.9</v>
      </c>
      <c r="H82" s="179"/>
      <c r="I82" s="210"/>
      <c r="J82" s="179">
        <f>J72*$A$34</f>
        <v>25187.500125000002</v>
      </c>
      <c r="K82" s="179">
        <f>K72*$A$34</f>
        <v>17016.599999999999</v>
      </c>
      <c r="L82" s="179"/>
      <c r="M82" s="210"/>
      <c r="N82" s="179">
        <f>N72*$A$34</f>
        <v>25187.500125000002</v>
      </c>
      <c r="O82" s="179">
        <f>O72*$A$34</f>
        <v>521.4</v>
      </c>
      <c r="P82" s="179"/>
      <c r="Q82" s="210"/>
      <c r="R82" s="179">
        <f>R72*$A$34</f>
        <v>25187.500125000002</v>
      </c>
      <c r="S82" s="179">
        <f>S72*$A$34</f>
        <v>6279</v>
      </c>
      <c r="T82" s="179"/>
      <c r="U82" s="210"/>
      <c r="V82" s="228">
        <f>V72*$A$34</f>
        <v>302250.00150000001</v>
      </c>
      <c r="W82" s="124">
        <f>B82+F82+J82+N82+R82</f>
        <v>125937.50062500002</v>
      </c>
      <c r="X82" s="255">
        <f>X72*$A$34</f>
        <v>53168.25</v>
      </c>
      <c r="Y82" s="181"/>
      <c r="Z82" s="180"/>
      <c r="AA82" s="181"/>
      <c r="AB82" s="174"/>
      <c r="AC82" s="85">
        <f t="shared" si="28"/>
        <v>53168.25</v>
      </c>
      <c r="AD82" s="125">
        <f>X82-AC82</f>
        <v>0</v>
      </c>
    </row>
    <row r="83" spans="1:30" s="192" customFormat="1" ht="27.45" customHeight="1" x14ac:dyDescent="0.3">
      <c r="A83" s="184" t="s">
        <v>315</v>
      </c>
      <c r="B83" s="185">
        <f>B29*'Rateio Mensal'!M4</f>
        <v>2074.081507456488</v>
      </c>
      <c r="C83" s="186">
        <f>C29*'Rateio Mensal'!C4</f>
        <v>2382.8560634148366</v>
      </c>
      <c r="D83" s="110">
        <f>B83-C83</f>
        <v>-308.77455595834863</v>
      </c>
      <c r="E83" s="201">
        <f>C83/B83</f>
        <v>1.1488729130693656</v>
      </c>
      <c r="F83" s="185">
        <f>F29*'Rateio Mensal'!M4</f>
        <v>2074.081507456488</v>
      </c>
      <c r="G83" s="186">
        <f>G29*'Rateio Mensal'!C10</f>
        <v>2311.9428951996865</v>
      </c>
      <c r="H83" s="187"/>
      <c r="I83" s="211"/>
      <c r="J83" s="185">
        <f>J29*'Rateio Mensal'!M4</f>
        <v>2074.081507456488</v>
      </c>
      <c r="K83" s="186">
        <f>K29*'Rateio Mensal'!C10</f>
        <v>2311.9428951996865</v>
      </c>
      <c r="L83" s="187"/>
      <c r="M83" s="211"/>
      <c r="N83" s="185">
        <f>N29*'Rateio Mensal'!M4</f>
        <v>2074.081507456488</v>
      </c>
      <c r="O83" s="186">
        <f>O29*'Rateio Mensal'!C10</f>
        <v>2311.9428951996865</v>
      </c>
      <c r="P83" s="187"/>
      <c r="Q83" s="211"/>
      <c r="R83" s="185">
        <f>R29*'Rateio Mensal'!M4</f>
        <v>2074.081507456488</v>
      </c>
      <c r="S83" s="186">
        <f>S29*'Rateio Mensal'!C10</f>
        <v>2311.9428951996865</v>
      </c>
      <c r="T83" s="187"/>
      <c r="U83" s="211"/>
      <c r="V83" s="229">
        <f>V29*'Rateio Mensal'!M4</f>
        <v>24888.978089477856</v>
      </c>
      <c r="W83" s="124">
        <f>B83+F83+J83+N83+R83</f>
        <v>10370.407537282441</v>
      </c>
      <c r="X83" s="255">
        <f>C83+G83+K83+O83+S83</f>
        <v>11630.627644213584</v>
      </c>
      <c r="Y83" s="189"/>
      <c r="Z83" s="188"/>
      <c r="AA83" s="189"/>
      <c r="AB83" s="190"/>
      <c r="AC83" s="85">
        <f t="shared" si="28"/>
        <v>11630.627644213584</v>
      </c>
      <c r="AD83" s="125">
        <f>X83-AC83</f>
        <v>0</v>
      </c>
    </row>
    <row r="84" spans="1:30" s="259" customFormat="1" ht="27.45" customHeight="1" x14ac:dyDescent="0.3">
      <c r="A84" s="270" t="s">
        <v>69</v>
      </c>
      <c r="B84" s="457">
        <f>B79-B82-B83</f>
        <v>50841.594556428056</v>
      </c>
      <c r="C84" s="488">
        <f>C79-C82-C83</f>
        <v>20145.564113699467</v>
      </c>
      <c r="D84" s="251"/>
      <c r="E84" s="252"/>
      <c r="F84" s="457">
        <f>F79-F82-F83</f>
        <v>49084.367474498868</v>
      </c>
      <c r="G84" s="488">
        <f>G79-G82-G83</f>
        <v>-38386.518494139505</v>
      </c>
      <c r="H84" s="251"/>
      <c r="I84" s="252"/>
      <c r="J84" s="457">
        <f>J79-J82-J83</f>
        <v>56146.909077859586</v>
      </c>
      <c r="K84" s="537">
        <f>K79-K82-K83</f>
        <v>17921.174382769288</v>
      </c>
      <c r="L84" s="251"/>
      <c r="M84" s="252"/>
      <c r="N84" s="457">
        <f>N79-N82-N83</f>
        <v>57452.286469877654</v>
      </c>
      <c r="O84" s="537">
        <f>O79-O82-O83</f>
        <v>-83609.606278700769</v>
      </c>
      <c r="P84" s="251"/>
      <c r="Q84" s="252"/>
      <c r="R84" s="457">
        <f>R79-R82-R83</f>
        <v>65376.491670983334</v>
      </c>
      <c r="S84" s="537">
        <f>S79-S82-S83</f>
        <v>-48399.893253944152</v>
      </c>
      <c r="T84" s="251"/>
      <c r="U84" s="252"/>
      <c r="V84" s="254">
        <f>V79-V82-V83</f>
        <v>704983.73845805507</v>
      </c>
      <c r="W84" s="255">
        <f>W79-W82-W83</f>
        <v>278901.64924964751</v>
      </c>
      <c r="X84" s="488">
        <f>X79-X82-X83</f>
        <v>-132329.27953031569</v>
      </c>
      <c r="Y84" s="256"/>
      <c r="Z84" s="257"/>
      <c r="AA84" s="255"/>
      <c r="AB84" s="253"/>
      <c r="AC84" s="85"/>
      <c r="AD84" s="258"/>
    </row>
    <row r="85" spans="1:30" s="287" customFormat="1" ht="27.45" customHeight="1" x14ac:dyDescent="0.3">
      <c r="A85" s="284" t="s">
        <v>70</v>
      </c>
      <c r="B85" s="196">
        <f>B84/B72</f>
        <v>0.30277872538429251</v>
      </c>
      <c r="C85" s="314">
        <f>C84/C72</f>
        <v>0.15127818121108866</v>
      </c>
      <c r="D85" s="146"/>
      <c r="E85" s="285"/>
      <c r="F85" s="196">
        <f>F84/F72</f>
        <v>0.29231384951406841</v>
      </c>
      <c r="G85" s="314">
        <f>G84/G72</f>
        <v>-0.61412533987360418</v>
      </c>
      <c r="H85" s="146"/>
      <c r="I85" s="285"/>
      <c r="J85" s="196">
        <f>J84/J72</f>
        <v>0.33437365041716055</v>
      </c>
      <c r="K85" s="196">
        <f>K84/K72</f>
        <v>0.15797375253666379</v>
      </c>
      <c r="L85" s="146"/>
      <c r="M85" s="285"/>
      <c r="N85" s="196">
        <f>N84/N72</f>
        <v>0.34214761003327826</v>
      </c>
      <c r="O85" s="196">
        <f>O84/O72</f>
        <v>-24.05339651285983</v>
      </c>
      <c r="P85" s="146"/>
      <c r="Q85" s="285"/>
      <c r="R85" s="196">
        <f>R84/R72</f>
        <v>0.38933890628208978</v>
      </c>
      <c r="S85" s="196">
        <f>S84/S72</f>
        <v>-1.1562325192055458</v>
      </c>
      <c r="T85" s="146"/>
      <c r="U85" s="285"/>
      <c r="V85" s="230">
        <f>V84/V72</f>
        <v>0.34986785854063351</v>
      </c>
      <c r="W85" s="193">
        <f>W84/W72</f>
        <v>0.33219054832617795</v>
      </c>
      <c r="X85" s="314">
        <f>X84/X72</f>
        <v>-0.37333167688512137</v>
      </c>
      <c r="Y85" s="195"/>
      <c r="Z85" s="196"/>
      <c r="AA85" s="195"/>
      <c r="AB85" s="197"/>
      <c r="AC85" s="85"/>
      <c r="AD85" s="286"/>
    </row>
    <row r="86" spans="1:30" s="283" customFormat="1" ht="27.45" customHeight="1" x14ac:dyDescent="0.3">
      <c r="A86" s="178" t="s">
        <v>71</v>
      </c>
      <c r="B86" s="179">
        <f>B84*10%</f>
        <v>5084.1594556428063</v>
      </c>
      <c r="C86" s="489">
        <f>C84*10%</f>
        <v>2014.5564113699468</v>
      </c>
      <c r="D86" s="179"/>
      <c r="E86" s="210"/>
      <c r="F86" s="179">
        <f>F84*10%</f>
        <v>4908.4367474498868</v>
      </c>
      <c r="G86" s="489">
        <f>G84*10%</f>
        <v>-3838.6518494139509</v>
      </c>
      <c r="H86" s="179"/>
      <c r="I86" s="210"/>
      <c r="J86" s="179">
        <f>J84*10%</f>
        <v>5614.6909077859591</v>
      </c>
      <c r="K86" s="179">
        <f>K84*10%</f>
        <v>1792.1174382769289</v>
      </c>
      <c r="L86" s="179"/>
      <c r="M86" s="210"/>
      <c r="N86" s="179">
        <f>N84*10%</f>
        <v>5745.2286469877654</v>
      </c>
      <c r="O86" s="179">
        <f>O84*10%</f>
        <v>-8360.9606278700776</v>
      </c>
      <c r="P86" s="179"/>
      <c r="Q86" s="210"/>
      <c r="R86" s="179">
        <f>R84*10%</f>
        <v>6537.6491670983341</v>
      </c>
      <c r="S86" s="179">
        <f>S84*10%</f>
        <v>-4839.9893253944156</v>
      </c>
      <c r="T86" s="179"/>
      <c r="U86" s="210"/>
      <c r="V86" s="282">
        <f>V84*10%</f>
        <v>70498.373845805516</v>
      </c>
      <c r="W86" s="179">
        <f>W84*10%</f>
        <v>27890.164924964753</v>
      </c>
      <c r="X86" s="489">
        <f>X84*10%</f>
        <v>-13232.927953031569</v>
      </c>
      <c r="Y86" s="180"/>
      <c r="Z86" s="180"/>
      <c r="AA86" s="180"/>
      <c r="AB86" s="180"/>
      <c r="AC86" s="85"/>
      <c r="AD86" s="182"/>
    </row>
    <row r="87" spans="1:30" s="547" customFormat="1" ht="27.45" customHeight="1" x14ac:dyDescent="0.3">
      <c r="A87" s="541"/>
      <c r="B87" s="542"/>
      <c r="C87" s="543"/>
      <c r="D87" s="542"/>
      <c r="E87" s="544"/>
      <c r="F87" s="542"/>
      <c r="G87" s="543"/>
      <c r="H87" s="542"/>
      <c r="I87" s="544"/>
      <c r="J87" s="542"/>
      <c r="K87" s="542"/>
      <c r="L87" s="542"/>
      <c r="M87" s="544"/>
      <c r="N87" s="542"/>
      <c r="O87" s="542"/>
      <c r="P87" s="542"/>
      <c r="Q87" s="544"/>
      <c r="R87" s="542"/>
      <c r="S87" s="542"/>
      <c r="T87" s="542"/>
      <c r="U87" s="544"/>
      <c r="V87" s="542"/>
      <c r="W87" s="542"/>
      <c r="X87" s="543"/>
      <c r="Y87" s="544"/>
      <c r="Z87" s="544"/>
      <c r="AA87" s="544"/>
      <c r="AB87" s="544"/>
      <c r="AC87" s="545"/>
      <c r="AD87" s="546"/>
    </row>
    <row r="88" spans="1:30" s="547" customFormat="1" ht="27.45" customHeight="1" x14ac:dyDescent="0.3">
      <c r="A88" s="541" t="s">
        <v>323</v>
      </c>
      <c r="B88" s="542"/>
      <c r="C88" s="543">
        <v>46736</v>
      </c>
      <c r="D88" s="542"/>
      <c r="E88" s="544"/>
      <c r="F88" s="542"/>
      <c r="G88" s="543">
        <v>-22478</v>
      </c>
      <c r="H88" s="542"/>
      <c r="I88" s="544"/>
      <c r="J88" s="542"/>
      <c r="K88" s="542">
        <v>-4760</v>
      </c>
      <c r="L88" s="542"/>
      <c r="M88" s="544"/>
      <c r="N88" s="542"/>
      <c r="O88" s="542">
        <v>18470</v>
      </c>
      <c r="P88" s="542"/>
      <c r="Q88" s="544"/>
      <c r="R88" s="542"/>
      <c r="S88" s="542">
        <v>-33252</v>
      </c>
      <c r="T88" s="542"/>
      <c r="U88" s="544"/>
      <c r="V88" s="542"/>
      <c r="W88" s="542"/>
      <c r="X88" s="543"/>
      <c r="Y88" s="544"/>
      <c r="Z88" s="544"/>
      <c r="AA88" s="544"/>
      <c r="AB88" s="544"/>
      <c r="AC88" s="545"/>
      <c r="AD88" s="546"/>
    </row>
    <row r="89" spans="1:30" customFormat="1" ht="27.45" customHeight="1" x14ac:dyDescent="0.3">
      <c r="B89" s="56"/>
      <c r="C89" s="357">
        <f>C4</f>
        <v>279821.07</v>
      </c>
      <c r="F89" s="56"/>
      <c r="G89" s="357">
        <f>G4</f>
        <v>319233.58</v>
      </c>
      <c r="J89" s="56"/>
      <c r="K89" s="357">
        <f>K4</f>
        <v>612501.76000000001</v>
      </c>
      <c r="N89" s="538"/>
      <c r="O89" s="357">
        <f>O4</f>
        <v>238327.46</v>
      </c>
      <c r="R89" s="542"/>
      <c r="S89" s="357">
        <f>S4</f>
        <v>415928</v>
      </c>
      <c r="T89" s="542"/>
      <c r="U89" s="544"/>
      <c r="V89" s="542"/>
      <c r="W89" s="542"/>
      <c r="X89" s="543"/>
    </row>
    <row r="90" spans="1:30" customFormat="1" ht="27.45" customHeight="1" x14ac:dyDescent="0.3">
      <c r="B90" s="56"/>
      <c r="C90" s="357">
        <f>C36+C54+C72</f>
        <v>233084</v>
      </c>
      <c r="F90" s="56"/>
      <c r="G90" s="357">
        <f>G36+G54+G72</f>
        <v>341712</v>
      </c>
      <c r="J90" s="56"/>
      <c r="K90" s="357">
        <f>K36+K54+K72</f>
        <v>617262</v>
      </c>
      <c r="N90" s="538"/>
      <c r="O90" s="357">
        <f>O36+O54+O72</f>
        <v>219858</v>
      </c>
      <c r="R90" s="542"/>
      <c r="S90" s="357">
        <f>S36+S54+S72</f>
        <v>449181</v>
      </c>
      <c r="T90" s="542"/>
      <c r="U90" s="544"/>
      <c r="V90" s="542"/>
      <c r="W90" s="542"/>
      <c r="X90" s="543"/>
      <c r="AC90" s="357">
        <f>AC86+AC68+AC50</f>
        <v>0</v>
      </c>
    </row>
    <row r="91" spans="1:30" customFormat="1" ht="27.45" customHeight="1" x14ac:dyDescent="0.3">
      <c r="B91" s="56"/>
      <c r="C91" s="357">
        <f>C89-C90</f>
        <v>46737.070000000007</v>
      </c>
      <c r="F91" s="56"/>
      <c r="G91" s="357">
        <f>G89-G90</f>
        <v>-22478.419999999984</v>
      </c>
      <c r="J91" s="56"/>
      <c r="K91" s="357">
        <f>K89-K90</f>
        <v>-4760.2399999999907</v>
      </c>
      <c r="N91" s="538"/>
      <c r="O91" s="357">
        <f>O89-O90</f>
        <v>18469.459999999992</v>
      </c>
      <c r="R91" s="542"/>
      <c r="S91" s="357">
        <f>S89-S90</f>
        <v>-33253</v>
      </c>
      <c r="T91" s="542"/>
      <c r="U91" s="544"/>
      <c r="V91" s="542"/>
      <c r="W91" s="542"/>
      <c r="X91" s="543"/>
    </row>
    <row r="92" spans="1:30" customFormat="1" ht="27.45" customHeight="1" x14ac:dyDescent="0.3">
      <c r="B92" s="56"/>
      <c r="C92" s="357">
        <f>C88-C91</f>
        <v>-1.0700000000069849</v>
      </c>
      <c r="F92" s="56"/>
      <c r="G92" s="357">
        <f>G88-G91</f>
        <v>0.41999999998370185</v>
      </c>
      <c r="H92" s="521"/>
      <c r="J92" s="56"/>
      <c r="K92" s="357">
        <f>K88-K91</f>
        <v>0.23999999999068677</v>
      </c>
      <c r="L92" s="521"/>
      <c r="N92" s="56"/>
      <c r="O92" s="357">
        <f>O88-O91</f>
        <v>0.54000000000814907</v>
      </c>
      <c r="P92" s="521"/>
      <c r="R92" s="542"/>
      <c r="S92" s="357">
        <f>S88-S91</f>
        <v>1</v>
      </c>
      <c r="T92" s="542"/>
      <c r="U92" s="544"/>
      <c r="V92" s="542"/>
      <c r="W92" s="542"/>
      <c r="X92" s="543"/>
    </row>
    <row r="93" spans="1:30" customFormat="1" ht="27.45" customHeight="1" x14ac:dyDescent="0.3">
      <c r="B93" s="56"/>
      <c r="F93" s="56"/>
      <c r="J93" s="56"/>
      <c r="N93" s="56"/>
      <c r="R93" s="538">
        <f>R86+R68+R50</f>
        <v>26056.799403333338</v>
      </c>
      <c r="S93" s="357">
        <f>S86+S68+S50</f>
        <v>5808.5960000000023</v>
      </c>
      <c r="X93" s="27"/>
    </row>
    <row r="94" spans="1:30" customFormat="1" ht="27.45" customHeight="1" x14ac:dyDescent="0.3">
      <c r="B94" s="56"/>
      <c r="F94" s="56"/>
      <c r="J94" s="56"/>
      <c r="N94" s="56"/>
      <c r="R94" s="538">
        <f>R32</f>
        <v>26056.799403333334</v>
      </c>
      <c r="S94" s="538">
        <f>S32</f>
        <v>2982.0910000000022</v>
      </c>
      <c r="V94" s="357">
        <f>V86+V68+V50</f>
        <v>292805.19918833341</v>
      </c>
      <c r="W94" s="357">
        <f>W86+W68+W50</f>
        <v>121176.14672999999</v>
      </c>
      <c r="X94" s="357">
        <f>X86+X68+X50</f>
        <v>-1895.5909999999812</v>
      </c>
      <c r="Y94" s="357">
        <f>Y86+Y68+Y50</f>
        <v>0</v>
      </c>
      <c r="Z94" s="76"/>
    </row>
    <row r="95" spans="1:30" customFormat="1" ht="27.45" customHeight="1" x14ac:dyDescent="0.3">
      <c r="B95" s="56"/>
      <c r="F95" s="56"/>
      <c r="J95" s="56"/>
      <c r="N95" s="56"/>
      <c r="R95" s="538">
        <f>R93-R94</f>
        <v>0</v>
      </c>
      <c r="S95" s="538">
        <f>S93-S94</f>
        <v>2826.5050000000001</v>
      </c>
      <c r="V95" s="357">
        <f>V94-V32</f>
        <v>0</v>
      </c>
      <c r="W95" s="357">
        <f>W94-W32</f>
        <v>0</v>
      </c>
      <c r="X95" s="357">
        <f>X94-X32</f>
        <v>-400.76394999998274</v>
      </c>
      <c r="Y95" s="357">
        <f>Y94-Y32</f>
        <v>0</v>
      </c>
      <c r="Z95" s="27">
        <f>X99-Y95</f>
        <v>0</v>
      </c>
    </row>
    <row r="96" spans="1:30" customFormat="1" ht="27.45" customHeight="1" x14ac:dyDescent="0.3">
      <c r="B96" s="56"/>
      <c r="F96" s="56"/>
      <c r="J96" s="56"/>
      <c r="N96" s="56"/>
      <c r="R96" s="56"/>
      <c r="T96" s="521" t="s">
        <v>324</v>
      </c>
      <c r="V96" s="357">
        <f>V77+V78+V59+V41+V42+V60</f>
        <v>1386633.3943666664</v>
      </c>
      <c r="W96" s="357">
        <f>W77+W78+W59+W41+W42+W60</f>
        <v>572754.8702</v>
      </c>
      <c r="X96" s="357">
        <f>X77+X78+X59+X41+X42+X60</f>
        <v>512865.24</v>
      </c>
      <c r="Y96" s="27">
        <f>X46+X64+X82</f>
        <v>279164.55</v>
      </c>
      <c r="Z96" s="27">
        <f>X100-Y96</f>
        <v>-279164.55</v>
      </c>
    </row>
    <row r="97" spans="2:26" customFormat="1" ht="27.45" customHeight="1" x14ac:dyDescent="0.3">
      <c r="B97" s="56"/>
      <c r="F97" s="56"/>
      <c r="J97" s="56"/>
      <c r="N97" s="56"/>
      <c r="R97" s="56"/>
      <c r="V97" s="357">
        <f>V13</f>
        <v>1386633.3943666664</v>
      </c>
      <c r="W97" s="357">
        <f>W13</f>
        <v>572754.8702</v>
      </c>
      <c r="X97" s="357">
        <f>X13</f>
        <v>512865.24</v>
      </c>
      <c r="Y97" s="27"/>
      <c r="Z97" s="27"/>
    </row>
    <row r="98" spans="2:26" customFormat="1" ht="27.45" customHeight="1" x14ac:dyDescent="0.3">
      <c r="B98" s="56"/>
      <c r="F98" s="56"/>
      <c r="J98" s="56"/>
      <c r="N98" s="56"/>
      <c r="R98" s="56"/>
      <c r="V98" s="357">
        <f>V96-V97</f>
        <v>0</v>
      </c>
      <c r="W98" s="357">
        <f>W96-W97</f>
        <v>0</v>
      </c>
      <c r="X98" s="357">
        <f>X96-X97</f>
        <v>0</v>
      </c>
    </row>
    <row r="99" spans="2:26" customFormat="1" ht="27.45" customHeight="1" x14ac:dyDescent="0.3">
      <c r="B99" s="56"/>
      <c r="F99" s="56"/>
      <c r="J99" s="56"/>
      <c r="N99" s="56"/>
      <c r="R99" s="56"/>
      <c r="S99" s="357"/>
      <c r="V99" s="27"/>
      <c r="X99" s="27"/>
    </row>
    <row r="100" spans="2:26" customFormat="1" ht="27.45" customHeight="1" x14ac:dyDescent="0.3">
      <c r="B100" s="56"/>
      <c r="F100" s="56"/>
      <c r="J100" s="56"/>
      <c r="N100" s="56"/>
      <c r="R100" s="56"/>
      <c r="S100" s="357"/>
      <c r="X100" s="27"/>
    </row>
    <row r="101" spans="2:26" customFormat="1" ht="27.45" customHeight="1" x14ac:dyDescent="0.3">
      <c r="B101" s="56"/>
      <c r="F101" s="56"/>
      <c r="J101" s="56"/>
      <c r="N101" s="56"/>
      <c r="R101" s="56"/>
      <c r="S101" s="357"/>
      <c r="X101" s="27"/>
    </row>
    <row r="102" spans="2:26" customFormat="1" ht="27.45" customHeight="1" x14ac:dyDescent="0.3">
      <c r="B102" s="56"/>
      <c r="F102" s="56"/>
      <c r="J102" s="56"/>
      <c r="N102" s="56"/>
      <c r="R102" s="56"/>
    </row>
    <row r="103" spans="2:26" customFormat="1" ht="27.45" customHeight="1" x14ac:dyDescent="0.3">
      <c r="B103" s="56"/>
      <c r="F103" s="56"/>
      <c r="J103" s="56"/>
      <c r="N103" s="56"/>
      <c r="R103" s="56"/>
    </row>
    <row r="104" spans="2:26" customFormat="1" ht="27.45" customHeight="1" x14ac:dyDescent="0.3">
      <c r="B104" s="56"/>
      <c r="F104" s="56"/>
      <c r="J104" s="56"/>
      <c r="N104" s="56"/>
      <c r="R104" s="56"/>
    </row>
    <row r="105" spans="2:26" customFormat="1" ht="27.45" customHeight="1" x14ac:dyDescent="0.3">
      <c r="B105" s="56"/>
      <c r="F105" s="56"/>
      <c r="J105" s="56"/>
      <c r="N105" s="56"/>
      <c r="R105" s="56"/>
    </row>
    <row r="106" spans="2:26" customFormat="1" ht="27.45" customHeight="1" x14ac:dyDescent="0.3">
      <c r="B106" s="56"/>
      <c r="F106" s="56"/>
      <c r="J106" s="56"/>
      <c r="N106" s="56"/>
      <c r="R106" s="56"/>
    </row>
    <row r="107" spans="2:26" customFormat="1" ht="27.45" customHeight="1" x14ac:dyDescent="0.3">
      <c r="B107" s="56"/>
      <c r="F107" s="56"/>
      <c r="J107" s="56"/>
      <c r="N107" s="56"/>
      <c r="R107" s="56"/>
    </row>
    <row r="108" spans="2:26" customFormat="1" ht="27.45" customHeight="1" x14ac:dyDescent="0.3">
      <c r="B108" s="56"/>
      <c r="F108" s="56"/>
      <c r="J108" s="56"/>
      <c r="N108" s="56"/>
      <c r="R108" s="56"/>
    </row>
    <row r="109" spans="2:26" customFormat="1" ht="27.45" customHeight="1" x14ac:dyDescent="0.3">
      <c r="B109" s="56"/>
      <c r="F109" s="56"/>
      <c r="J109" s="56"/>
      <c r="N109" s="56"/>
      <c r="R109" s="56"/>
    </row>
    <row r="110" spans="2:26" customFormat="1" ht="27.45" customHeight="1" x14ac:dyDescent="0.3">
      <c r="B110" s="56"/>
      <c r="F110" s="56"/>
      <c r="J110" s="56"/>
      <c r="N110" s="56"/>
      <c r="R110" s="56"/>
    </row>
    <row r="111" spans="2:26" customFormat="1" ht="27.45" customHeight="1" x14ac:dyDescent="0.3">
      <c r="B111" s="56"/>
      <c r="F111" s="56"/>
      <c r="J111" s="56"/>
      <c r="N111" s="56"/>
      <c r="R111" s="56"/>
    </row>
    <row r="112" spans="2:26" customFormat="1" ht="27.45" customHeight="1" x14ac:dyDescent="0.3">
      <c r="B112" s="56"/>
      <c r="F112" s="56"/>
      <c r="J112" s="56"/>
      <c r="N112" s="56"/>
      <c r="R112" s="56"/>
    </row>
    <row r="113" spans="2:18" customFormat="1" ht="27.45" customHeight="1" x14ac:dyDescent="0.3">
      <c r="B113" s="56"/>
      <c r="F113" s="56"/>
      <c r="J113" s="56"/>
      <c r="N113" s="56"/>
      <c r="R113" s="56"/>
    </row>
    <row r="114" spans="2:18" customFormat="1" ht="27.45" customHeight="1" x14ac:dyDescent="0.3">
      <c r="B114" s="56"/>
      <c r="F114" s="56"/>
      <c r="J114" s="56"/>
      <c r="N114" s="56"/>
      <c r="R114" s="56"/>
    </row>
    <row r="115" spans="2:18" customFormat="1" ht="27.45" customHeight="1" x14ac:dyDescent="0.3">
      <c r="B115" s="56"/>
      <c r="F115" s="56"/>
      <c r="J115" s="56"/>
      <c r="N115" s="56"/>
      <c r="R115" s="56"/>
    </row>
    <row r="116" spans="2:18" customFormat="1" ht="27.45" customHeight="1" x14ac:dyDescent="0.3">
      <c r="B116" s="56"/>
      <c r="F116" s="56"/>
      <c r="J116" s="56"/>
      <c r="N116" s="56"/>
      <c r="R116" s="56"/>
    </row>
    <row r="117" spans="2:18" customFormat="1" ht="27.45" customHeight="1" x14ac:dyDescent="0.3">
      <c r="B117" s="56"/>
      <c r="F117" s="56"/>
      <c r="J117" s="56"/>
      <c r="N117" s="56"/>
      <c r="R117" s="56"/>
    </row>
    <row r="118" spans="2:18" customFormat="1" ht="27.45" customHeight="1" x14ac:dyDescent="0.3">
      <c r="B118" s="56"/>
      <c r="F118" s="56"/>
      <c r="J118" s="56"/>
      <c r="N118" s="56"/>
      <c r="R118" s="56"/>
    </row>
    <row r="119" spans="2:18" customFormat="1" ht="27.45" customHeight="1" x14ac:dyDescent="0.3">
      <c r="B119" s="56"/>
      <c r="F119" s="56"/>
      <c r="J119" s="56"/>
      <c r="N119" s="56"/>
      <c r="R119" s="56"/>
    </row>
    <row r="120" spans="2:18" customFormat="1" ht="27.45" customHeight="1" x14ac:dyDescent="0.3">
      <c r="B120" s="56"/>
      <c r="F120" s="56"/>
      <c r="J120" s="56"/>
      <c r="N120" s="56"/>
      <c r="R120" s="56"/>
    </row>
    <row r="121" spans="2:18" customFormat="1" ht="27.45" customHeight="1" x14ac:dyDescent="0.3">
      <c r="B121" s="56"/>
      <c r="F121" s="56"/>
      <c r="J121" s="56"/>
      <c r="N121" s="56"/>
      <c r="R121" s="56"/>
    </row>
    <row r="122" spans="2:18" customFormat="1" ht="27.45" customHeight="1" x14ac:dyDescent="0.3">
      <c r="B122" s="56"/>
      <c r="F122" s="56"/>
      <c r="J122" s="56"/>
      <c r="N122" s="56"/>
      <c r="R122" s="56"/>
    </row>
    <row r="123" spans="2:18" customFormat="1" ht="27.45" customHeight="1" x14ac:dyDescent="0.3">
      <c r="B123" s="56"/>
      <c r="F123" s="56"/>
      <c r="J123" s="56"/>
      <c r="N123" s="56"/>
      <c r="R123" s="56"/>
    </row>
    <row r="124" spans="2:18" customFormat="1" ht="27.45" customHeight="1" x14ac:dyDescent="0.3">
      <c r="B124" s="56"/>
      <c r="F124" s="56"/>
      <c r="J124" s="56"/>
      <c r="N124" s="56"/>
      <c r="R124" s="56"/>
    </row>
    <row r="125" spans="2:18" customFormat="1" ht="27.45" customHeight="1" x14ac:dyDescent="0.3">
      <c r="B125" s="56"/>
      <c r="F125" s="56"/>
      <c r="J125" s="56"/>
      <c r="N125" s="56"/>
      <c r="R125" s="56"/>
    </row>
    <row r="126" spans="2:18" customFormat="1" ht="27.45" customHeight="1" x14ac:dyDescent="0.3">
      <c r="B126" s="56"/>
      <c r="F126" s="56"/>
      <c r="J126" s="56"/>
      <c r="N126" s="56"/>
      <c r="R126" s="56"/>
    </row>
    <row r="127" spans="2:18" customFormat="1" ht="27.45" customHeight="1" x14ac:dyDescent="0.3">
      <c r="B127" s="56"/>
      <c r="F127" s="56"/>
      <c r="J127" s="56"/>
      <c r="N127" s="56"/>
      <c r="R127" s="56"/>
    </row>
    <row r="128" spans="2:18" customFormat="1" ht="27.45" customHeight="1" x14ac:dyDescent="0.3">
      <c r="B128" s="56"/>
      <c r="F128" s="56"/>
      <c r="J128" s="56"/>
      <c r="N128" s="56"/>
      <c r="R128" s="56"/>
    </row>
    <row r="129" spans="2:18" customFormat="1" ht="27.45" customHeight="1" x14ac:dyDescent="0.3">
      <c r="B129" s="56"/>
      <c r="F129" s="56"/>
      <c r="J129" s="56"/>
      <c r="N129" s="56"/>
      <c r="R129" s="56"/>
    </row>
    <row r="130" spans="2:18" customFormat="1" ht="27.45" customHeight="1" x14ac:dyDescent="0.3">
      <c r="B130" s="56"/>
      <c r="F130" s="56"/>
      <c r="J130" s="56"/>
      <c r="N130" s="56"/>
      <c r="R130" s="56"/>
    </row>
    <row r="131" spans="2:18" customFormat="1" ht="27.45" customHeight="1" x14ac:dyDescent="0.3">
      <c r="B131" s="56"/>
      <c r="F131" s="56"/>
      <c r="J131" s="56"/>
      <c r="N131" s="56"/>
      <c r="R131" s="56"/>
    </row>
    <row r="132" spans="2:18" customFormat="1" ht="27.45" customHeight="1" x14ac:dyDescent="0.3">
      <c r="B132" s="56"/>
      <c r="F132" s="56"/>
      <c r="J132" s="56"/>
      <c r="N132" s="56"/>
      <c r="R132" s="56"/>
    </row>
    <row r="133" spans="2:18" customFormat="1" ht="27.45" customHeight="1" x14ac:dyDescent="0.3">
      <c r="B133" s="56"/>
      <c r="F133" s="56"/>
      <c r="J133" s="56"/>
      <c r="N133" s="56"/>
      <c r="R133" s="56"/>
    </row>
    <row r="134" spans="2:18" customFormat="1" ht="27.45" customHeight="1" x14ac:dyDescent="0.3">
      <c r="B134" s="56"/>
      <c r="F134" s="56"/>
      <c r="J134" s="56"/>
      <c r="N134" s="56"/>
      <c r="R134" s="56"/>
    </row>
    <row r="135" spans="2:18" customFormat="1" ht="27.45" customHeight="1" x14ac:dyDescent="0.3">
      <c r="B135" s="56"/>
      <c r="F135" s="56"/>
      <c r="J135" s="56"/>
      <c r="N135" s="56"/>
      <c r="R135" s="56"/>
    </row>
    <row r="136" spans="2:18" customFormat="1" ht="27.45" customHeight="1" x14ac:dyDescent="0.3">
      <c r="B136" s="56"/>
      <c r="F136" s="56"/>
      <c r="J136" s="56"/>
      <c r="N136" s="56"/>
      <c r="R136" s="56"/>
    </row>
    <row r="137" spans="2:18" customFormat="1" ht="27.45" customHeight="1" x14ac:dyDescent="0.3">
      <c r="B137" s="56"/>
      <c r="F137" s="56"/>
      <c r="J137" s="56"/>
      <c r="N137" s="56"/>
      <c r="R137" s="56"/>
    </row>
    <row r="138" spans="2:18" customFormat="1" ht="27.45" customHeight="1" x14ac:dyDescent="0.3">
      <c r="B138" s="56"/>
      <c r="F138" s="56"/>
      <c r="J138" s="56"/>
      <c r="N138" s="56"/>
      <c r="R138" s="56"/>
    </row>
    <row r="139" spans="2:18" customFormat="1" ht="27.45" customHeight="1" x14ac:dyDescent="0.3">
      <c r="B139" s="56"/>
      <c r="F139" s="56"/>
      <c r="J139" s="56"/>
      <c r="N139" s="56"/>
      <c r="R139" s="56"/>
    </row>
    <row r="140" spans="2:18" customFormat="1" ht="27.45" customHeight="1" x14ac:dyDescent="0.3">
      <c r="B140" s="56"/>
      <c r="F140" s="56"/>
      <c r="J140" s="56"/>
      <c r="N140" s="56"/>
      <c r="R140" s="56"/>
    </row>
    <row r="141" spans="2:18" customFormat="1" ht="27.45" customHeight="1" x14ac:dyDescent="0.3">
      <c r="B141" s="56"/>
      <c r="F141" s="56"/>
      <c r="J141" s="56"/>
      <c r="N141" s="56"/>
      <c r="R141" s="56"/>
    </row>
    <row r="142" spans="2:18" customFormat="1" ht="27.45" customHeight="1" x14ac:dyDescent="0.3">
      <c r="B142" s="56"/>
      <c r="F142" s="56"/>
      <c r="J142" s="56"/>
      <c r="N142" s="56"/>
      <c r="R142" s="56"/>
    </row>
    <row r="143" spans="2:18" customFormat="1" ht="27.45" customHeight="1" x14ac:dyDescent="0.3">
      <c r="B143" s="56"/>
      <c r="F143" s="56"/>
      <c r="J143" s="56"/>
      <c r="N143" s="56"/>
      <c r="R143" s="56"/>
    </row>
    <row r="144" spans="2:18" customFormat="1" ht="27.45" customHeight="1" x14ac:dyDescent="0.3">
      <c r="B144" s="56"/>
      <c r="F144" s="56"/>
      <c r="J144" s="56"/>
      <c r="N144" s="56"/>
      <c r="R144" s="56"/>
    </row>
    <row r="145" spans="2:18" customFormat="1" ht="27.45" customHeight="1" x14ac:dyDescent="0.3">
      <c r="B145" s="56"/>
      <c r="F145" s="56"/>
      <c r="J145" s="56"/>
      <c r="N145" s="56"/>
      <c r="R145" s="56"/>
    </row>
    <row r="146" spans="2:18" customFormat="1" ht="27.45" customHeight="1" x14ac:dyDescent="0.3">
      <c r="B146" s="56"/>
      <c r="F146" s="56"/>
      <c r="J146" s="56"/>
      <c r="N146" s="56"/>
      <c r="R146" s="56"/>
    </row>
    <row r="147" spans="2:18" customFormat="1" ht="27.45" customHeight="1" x14ac:dyDescent="0.3">
      <c r="B147" s="56"/>
      <c r="F147" s="56"/>
      <c r="J147" s="56"/>
      <c r="N147" s="56"/>
      <c r="R147" s="56"/>
    </row>
    <row r="148" spans="2:18" customFormat="1" ht="27.45" customHeight="1" x14ac:dyDescent="0.3">
      <c r="B148" s="56"/>
      <c r="F148" s="56"/>
      <c r="J148" s="56"/>
      <c r="N148" s="56"/>
      <c r="R148" s="56"/>
    </row>
    <row r="149" spans="2:18" customFormat="1" ht="27.45" customHeight="1" x14ac:dyDescent="0.3">
      <c r="B149" s="56"/>
      <c r="F149" s="56"/>
      <c r="J149" s="56"/>
      <c r="N149" s="56"/>
      <c r="R149" s="56"/>
    </row>
    <row r="150" spans="2:18" customFormat="1" ht="27.45" customHeight="1" x14ac:dyDescent="0.3">
      <c r="B150" s="56"/>
      <c r="F150" s="56"/>
      <c r="J150" s="56"/>
      <c r="N150" s="56"/>
      <c r="R150" s="56"/>
    </row>
    <row r="151" spans="2:18" customFormat="1" ht="27.45" customHeight="1" x14ac:dyDescent="0.3">
      <c r="B151" s="56"/>
      <c r="F151" s="56"/>
      <c r="J151" s="56"/>
      <c r="N151" s="56"/>
      <c r="R151" s="56"/>
    </row>
    <row r="152" spans="2:18" customFormat="1" ht="27.45" customHeight="1" x14ac:dyDescent="0.3">
      <c r="B152" s="56"/>
      <c r="F152" s="56"/>
      <c r="J152" s="56"/>
      <c r="N152" s="56"/>
      <c r="R152" s="56"/>
    </row>
    <row r="153" spans="2:18" customFormat="1" ht="27.45" customHeight="1" x14ac:dyDescent="0.3">
      <c r="B153" s="56"/>
      <c r="F153" s="56"/>
      <c r="J153" s="56"/>
      <c r="N153" s="56"/>
      <c r="R153" s="56"/>
    </row>
    <row r="154" spans="2:18" customFormat="1" ht="27.45" customHeight="1" x14ac:dyDescent="0.3">
      <c r="B154" s="56"/>
      <c r="F154" s="56"/>
      <c r="J154" s="56"/>
      <c r="N154" s="56"/>
      <c r="R154" s="56"/>
    </row>
    <row r="155" spans="2:18" customFormat="1" ht="27.45" customHeight="1" x14ac:dyDescent="0.3">
      <c r="B155" s="56"/>
      <c r="F155" s="56"/>
      <c r="J155" s="56"/>
      <c r="N155" s="56"/>
      <c r="R155" s="56"/>
    </row>
    <row r="156" spans="2:18" customFormat="1" ht="27.45" customHeight="1" x14ac:dyDescent="0.3">
      <c r="B156" s="56"/>
      <c r="F156" s="56"/>
      <c r="J156" s="56"/>
      <c r="N156" s="56"/>
      <c r="R156" s="56"/>
    </row>
    <row r="157" spans="2:18" customFormat="1" ht="27.45" customHeight="1" x14ac:dyDescent="0.3">
      <c r="B157" s="56"/>
      <c r="F157" s="56"/>
      <c r="J157" s="56"/>
      <c r="N157" s="56"/>
      <c r="R157" s="56"/>
    </row>
    <row r="158" spans="2:18" customFormat="1" ht="27.45" customHeight="1" x14ac:dyDescent="0.3">
      <c r="B158" s="56"/>
      <c r="F158" s="56"/>
      <c r="J158" s="56"/>
      <c r="N158" s="56"/>
      <c r="R158" s="56"/>
    </row>
    <row r="159" spans="2:18" customFormat="1" ht="27.45" customHeight="1" x14ac:dyDescent="0.3">
      <c r="B159" s="56"/>
      <c r="F159" s="56"/>
      <c r="J159" s="56"/>
      <c r="N159" s="56"/>
      <c r="R159" s="56"/>
    </row>
    <row r="160" spans="2:18" customFormat="1" ht="27.45" customHeight="1" x14ac:dyDescent="0.3">
      <c r="B160" s="56"/>
      <c r="F160" s="56"/>
      <c r="J160" s="56"/>
      <c r="N160" s="56"/>
      <c r="R160" s="56"/>
    </row>
    <row r="161" spans="2:18" customFormat="1" ht="27.45" customHeight="1" x14ac:dyDescent="0.3">
      <c r="B161" s="56"/>
      <c r="F161" s="56"/>
      <c r="J161" s="56"/>
      <c r="N161" s="56"/>
      <c r="R161" s="56"/>
    </row>
    <row r="162" spans="2:18" customFormat="1" ht="27.45" customHeight="1" x14ac:dyDescent="0.3">
      <c r="B162" s="56"/>
      <c r="F162" s="56"/>
      <c r="J162" s="56"/>
      <c r="N162" s="56"/>
      <c r="R162" s="56"/>
    </row>
    <row r="163" spans="2:18" customFormat="1" ht="27.45" customHeight="1" x14ac:dyDescent="0.3">
      <c r="B163" s="56"/>
      <c r="F163" s="56"/>
      <c r="J163" s="56"/>
      <c r="N163" s="56"/>
      <c r="R163" s="56"/>
    </row>
    <row r="164" spans="2:18" customFormat="1" ht="27.45" customHeight="1" x14ac:dyDescent="0.3">
      <c r="B164" s="56"/>
      <c r="F164" s="56"/>
      <c r="J164" s="56"/>
      <c r="N164" s="56"/>
      <c r="R164" s="56"/>
    </row>
    <row r="165" spans="2:18" customFormat="1" ht="27.45" customHeight="1" x14ac:dyDescent="0.3">
      <c r="B165" s="56"/>
      <c r="F165" s="56"/>
      <c r="J165" s="56"/>
      <c r="N165" s="56"/>
      <c r="R165" s="56"/>
    </row>
    <row r="166" spans="2:18" customFormat="1" ht="27.45" customHeight="1" x14ac:dyDescent="0.3">
      <c r="B166" s="56"/>
      <c r="F166" s="56"/>
      <c r="J166" s="56"/>
      <c r="N166" s="56"/>
      <c r="R166" s="56"/>
    </row>
    <row r="167" spans="2:18" customFormat="1" ht="27.45" customHeight="1" x14ac:dyDescent="0.3">
      <c r="B167" s="56"/>
      <c r="F167" s="56"/>
      <c r="J167" s="56"/>
      <c r="N167" s="56"/>
      <c r="R167" s="56"/>
    </row>
    <row r="168" spans="2:18" customFormat="1" ht="27.45" customHeight="1" x14ac:dyDescent="0.3">
      <c r="B168" s="56"/>
      <c r="F168" s="56"/>
      <c r="J168" s="56"/>
      <c r="N168" s="56"/>
      <c r="R168" s="56"/>
    </row>
    <row r="169" spans="2:18" customFormat="1" ht="27.45" customHeight="1" x14ac:dyDescent="0.3">
      <c r="B169" s="56"/>
      <c r="F169" s="56"/>
      <c r="J169" s="56"/>
      <c r="N169" s="56"/>
      <c r="R169" s="56"/>
    </row>
    <row r="170" spans="2:18" customFormat="1" ht="27.45" customHeight="1" x14ac:dyDescent="0.3">
      <c r="B170" s="56"/>
      <c r="F170" s="56"/>
      <c r="J170" s="56"/>
      <c r="N170" s="56"/>
      <c r="R170" s="56"/>
    </row>
    <row r="171" spans="2:18" customFormat="1" ht="27.45" customHeight="1" x14ac:dyDescent="0.3">
      <c r="B171" s="56"/>
      <c r="F171" s="56"/>
      <c r="J171" s="56"/>
      <c r="N171" s="56"/>
      <c r="R171" s="56"/>
    </row>
    <row r="172" spans="2:18" customFormat="1" ht="27.45" customHeight="1" x14ac:dyDescent="0.3">
      <c r="B172" s="56"/>
      <c r="F172" s="56"/>
      <c r="J172" s="56"/>
      <c r="N172" s="56"/>
      <c r="R172" s="56"/>
    </row>
    <row r="173" spans="2:18" customFormat="1" ht="27.45" customHeight="1" x14ac:dyDescent="0.3">
      <c r="B173" s="56"/>
      <c r="F173" s="56"/>
      <c r="J173" s="56"/>
      <c r="N173" s="56"/>
      <c r="R173" s="56"/>
    </row>
    <row r="174" spans="2:18" customFormat="1" ht="27.45" customHeight="1" x14ac:dyDescent="0.3">
      <c r="B174" s="56"/>
      <c r="F174" s="56"/>
      <c r="J174" s="56"/>
      <c r="N174" s="56"/>
      <c r="R174" s="56"/>
    </row>
    <row r="175" spans="2:18" customFormat="1" ht="27.45" customHeight="1" x14ac:dyDescent="0.3">
      <c r="B175" s="56"/>
      <c r="F175" s="56"/>
      <c r="J175" s="56"/>
      <c r="N175" s="56"/>
      <c r="R175" s="56"/>
    </row>
    <row r="176" spans="2:18" customFormat="1" ht="27.45" customHeight="1" x14ac:dyDescent="0.3">
      <c r="B176" s="56"/>
      <c r="F176" s="56"/>
      <c r="J176" s="56"/>
      <c r="N176" s="56"/>
      <c r="R176" s="56"/>
    </row>
    <row r="177" spans="2:18" customFormat="1" ht="27.45" customHeight="1" x14ac:dyDescent="0.3">
      <c r="B177" s="56"/>
      <c r="F177" s="56"/>
      <c r="J177" s="56"/>
      <c r="N177" s="56"/>
      <c r="R177" s="56"/>
    </row>
    <row r="178" spans="2:18" customFormat="1" ht="27.45" customHeight="1" x14ac:dyDescent="0.3">
      <c r="B178" s="56"/>
      <c r="F178" s="56"/>
      <c r="J178" s="56"/>
      <c r="N178" s="56"/>
      <c r="R178" s="56"/>
    </row>
    <row r="179" spans="2:18" customFormat="1" ht="27.45" customHeight="1" x14ac:dyDescent="0.3">
      <c r="B179" s="56"/>
      <c r="F179" s="56"/>
      <c r="J179" s="56"/>
      <c r="N179" s="56"/>
      <c r="R179" s="56"/>
    </row>
    <row r="180" spans="2:18" customFormat="1" ht="27.45" customHeight="1" x14ac:dyDescent="0.3">
      <c r="B180" s="56"/>
      <c r="F180" s="56"/>
      <c r="J180" s="56"/>
      <c r="N180" s="56"/>
      <c r="R180" s="56"/>
    </row>
    <row r="181" spans="2:18" customFormat="1" ht="27.45" customHeight="1" x14ac:dyDescent="0.3">
      <c r="B181" s="56"/>
      <c r="F181" s="56"/>
      <c r="J181" s="56"/>
      <c r="N181" s="56"/>
      <c r="R181" s="56"/>
    </row>
    <row r="182" spans="2:18" customFormat="1" ht="27.45" customHeight="1" x14ac:dyDescent="0.3">
      <c r="B182" s="56"/>
      <c r="F182" s="56"/>
      <c r="J182" s="56"/>
      <c r="N182" s="56"/>
      <c r="R182" s="56"/>
    </row>
    <row r="183" spans="2:18" customFormat="1" ht="27.45" customHeight="1" x14ac:dyDescent="0.3">
      <c r="B183" s="56"/>
      <c r="F183" s="56"/>
      <c r="J183" s="56"/>
      <c r="N183" s="56"/>
      <c r="R183" s="56"/>
    </row>
    <row r="184" spans="2:18" customFormat="1" ht="27.45" customHeight="1" x14ac:dyDescent="0.3">
      <c r="B184" s="56"/>
      <c r="F184" s="56"/>
      <c r="J184" s="56"/>
      <c r="N184" s="56"/>
      <c r="R184" s="56"/>
    </row>
    <row r="185" spans="2:18" customFormat="1" ht="27.45" customHeight="1" x14ac:dyDescent="0.3">
      <c r="B185" s="56"/>
      <c r="F185" s="56"/>
      <c r="J185" s="56"/>
      <c r="N185" s="56"/>
      <c r="R185" s="56"/>
    </row>
    <row r="186" spans="2:18" customFormat="1" ht="27.45" customHeight="1" x14ac:dyDescent="0.3">
      <c r="B186" s="56"/>
      <c r="F186" s="56"/>
      <c r="J186" s="56"/>
      <c r="N186" s="56"/>
      <c r="R186" s="56"/>
    </row>
    <row r="187" spans="2:18" customFormat="1" ht="27.45" customHeight="1" x14ac:dyDescent="0.3">
      <c r="B187" s="56"/>
      <c r="F187" s="56"/>
      <c r="J187" s="56"/>
      <c r="N187" s="56"/>
      <c r="R187" s="56"/>
    </row>
    <row r="188" spans="2:18" customFormat="1" ht="27.45" customHeight="1" x14ac:dyDescent="0.3">
      <c r="B188" s="56"/>
      <c r="F188" s="56"/>
      <c r="J188" s="56"/>
      <c r="N188" s="56"/>
      <c r="R188" s="56"/>
    </row>
    <row r="189" spans="2:18" customFormat="1" ht="27.45" customHeight="1" x14ac:dyDescent="0.3">
      <c r="B189" s="56"/>
      <c r="F189" s="56"/>
      <c r="J189" s="56"/>
      <c r="N189" s="56"/>
      <c r="R189" s="56"/>
    </row>
    <row r="190" spans="2:18" customFormat="1" ht="27.45" customHeight="1" x14ac:dyDescent="0.3">
      <c r="B190" s="56"/>
      <c r="F190" s="56"/>
      <c r="J190" s="56"/>
      <c r="N190" s="56"/>
      <c r="R190" s="56"/>
    </row>
    <row r="191" spans="2:18" customFormat="1" ht="27.45" customHeight="1" x14ac:dyDescent="0.3">
      <c r="B191" s="56"/>
      <c r="F191" s="56"/>
      <c r="J191" s="56"/>
      <c r="N191" s="56"/>
      <c r="R191" s="56"/>
    </row>
    <row r="192" spans="2:18" customFormat="1" ht="27.45" customHeight="1" x14ac:dyDescent="0.3">
      <c r="B192" s="56"/>
      <c r="F192" s="56"/>
      <c r="J192" s="56"/>
      <c r="N192" s="56"/>
      <c r="R192" s="56"/>
    </row>
    <row r="193" spans="2:18" customFormat="1" ht="27.45" customHeight="1" x14ac:dyDescent="0.3">
      <c r="B193" s="56"/>
      <c r="F193" s="56"/>
      <c r="J193" s="56"/>
      <c r="N193" s="56"/>
      <c r="R193" s="56"/>
    </row>
    <row r="194" spans="2:18" customFormat="1" ht="27.45" customHeight="1" x14ac:dyDescent="0.3">
      <c r="B194" s="56"/>
      <c r="F194" s="56"/>
      <c r="J194" s="56"/>
      <c r="N194" s="56"/>
      <c r="R194" s="56"/>
    </row>
    <row r="195" spans="2:18" customFormat="1" ht="27.45" customHeight="1" x14ac:dyDescent="0.3">
      <c r="B195" s="56"/>
      <c r="F195" s="56"/>
      <c r="J195" s="56"/>
      <c r="N195" s="56"/>
      <c r="R195" s="56"/>
    </row>
    <row r="196" spans="2:18" customFormat="1" ht="27.45" customHeight="1" x14ac:dyDescent="0.3">
      <c r="B196" s="56"/>
      <c r="F196" s="56"/>
      <c r="J196" s="56"/>
      <c r="N196" s="56"/>
      <c r="R196" s="56"/>
    </row>
    <row r="197" spans="2:18" customFormat="1" ht="27.45" customHeight="1" x14ac:dyDescent="0.3">
      <c r="B197" s="56"/>
      <c r="F197" s="56"/>
      <c r="J197" s="56"/>
      <c r="N197" s="56"/>
      <c r="R197" s="56"/>
    </row>
    <row r="198" spans="2:18" customFormat="1" ht="27.45" customHeight="1" x14ac:dyDescent="0.3">
      <c r="B198" s="56"/>
      <c r="F198" s="56"/>
      <c r="J198" s="56"/>
      <c r="N198" s="56"/>
      <c r="R198" s="56"/>
    </row>
    <row r="199" spans="2:18" customFormat="1" ht="27.45" customHeight="1" x14ac:dyDescent="0.3">
      <c r="B199" s="56"/>
      <c r="F199" s="56"/>
      <c r="J199" s="56"/>
      <c r="N199" s="56"/>
      <c r="R199" s="56"/>
    </row>
    <row r="200" spans="2:18" customFormat="1" ht="27.45" customHeight="1" x14ac:dyDescent="0.3">
      <c r="B200" s="56"/>
      <c r="F200" s="56"/>
      <c r="J200" s="56"/>
      <c r="N200" s="56"/>
      <c r="R200" s="56"/>
    </row>
    <row r="201" spans="2:18" customFormat="1" ht="27.45" customHeight="1" x14ac:dyDescent="0.3">
      <c r="B201" s="56"/>
      <c r="F201" s="56"/>
      <c r="J201" s="56"/>
      <c r="N201" s="56"/>
      <c r="R201" s="56"/>
    </row>
    <row r="202" spans="2:18" customFormat="1" ht="27.45" customHeight="1" x14ac:dyDescent="0.3">
      <c r="B202" s="56"/>
      <c r="F202" s="56"/>
      <c r="J202" s="56"/>
      <c r="N202" s="56"/>
      <c r="R202" s="56"/>
    </row>
    <row r="203" spans="2:18" customFormat="1" ht="27.45" customHeight="1" x14ac:dyDescent="0.3">
      <c r="B203" s="56"/>
      <c r="F203" s="56"/>
      <c r="J203" s="56"/>
      <c r="N203" s="56"/>
      <c r="R203" s="56"/>
    </row>
    <row r="204" spans="2:18" customFormat="1" ht="27.45" customHeight="1" x14ac:dyDescent="0.3">
      <c r="B204" s="56"/>
      <c r="F204" s="56"/>
      <c r="J204" s="56"/>
      <c r="N204" s="56"/>
      <c r="R204" s="56"/>
    </row>
    <row r="205" spans="2:18" customFormat="1" ht="27.45" customHeight="1" x14ac:dyDescent="0.3">
      <c r="B205" s="56"/>
      <c r="F205" s="56"/>
      <c r="J205" s="56"/>
      <c r="N205" s="56"/>
      <c r="R205" s="56"/>
    </row>
    <row r="206" spans="2:18" customFormat="1" ht="27.45" customHeight="1" x14ac:dyDescent="0.3">
      <c r="B206" s="56"/>
      <c r="F206" s="56"/>
      <c r="J206" s="56"/>
      <c r="N206" s="56"/>
      <c r="R206" s="56"/>
    </row>
    <row r="207" spans="2:18" customFormat="1" ht="27.45" customHeight="1" x14ac:dyDescent="0.3">
      <c r="B207" s="56"/>
      <c r="F207" s="56"/>
      <c r="J207" s="56"/>
      <c r="N207" s="56"/>
      <c r="R207" s="56"/>
    </row>
    <row r="208" spans="2:18" customFormat="1" ht="27.45" customHeight="1" x14ac:dyDescent="0.3">
      <c r="B208" s="56"/>
      <c r="F208" s="56"/>
      <c r="J208" s="56"/>
      <c r="N208" s="56"/>
      <c r="R208" s="56"/>
    </row>
    <row r="209" spans="2:18" customFormat="1" ht="27.45" customHeight="1" x14ac:dyDescent="0.3">
      <c r="B209" s="56"/>
      <c r="F209" s="56"/>
      <c r="J209" s="56"/>
      <c r="N209" s="56"/>
      <c r="R209" s="56"/>
    </row>
    <row r="210" spans="2:18" customFormat="1" ht="27.45" customHeight="1" x14ac:dyDescent="0.3">
      <c r="B210" s="56"/>
      <c r="F210" s="56"/>
      <c r="J210" s="56"/>
      <c r="N210" s="56"/>
      <c r="R210" s="56"/>
    </row>
    <row r="211" spans="2:18" customFormat="1" ht="27.45" customHeight="1" x14ac:dyDescent="0.3">
      <c r="B211" s="56"/>
      <c r="F211" s="56"/>
      <c r="J211" s="56"/>
      <c r="N211" s="56"/>
      <c r="R211" s="56"/>
    </row>
    <row r="212" spans="2:18" customFormat="1" ht="27.45" customHeight="1" x14ac:dyDescent="0.3">
      <c r="B212" s="56"/>
      <c r="F212" s="56"/>
      <c r="J212" s="56"/>
      <c r="N212" s="56"/>
      <c r="R212" s="56"/>
    </row>
    <row r="213" spans="2:18" customFormat="1" ht="27.45" customHeight="1" x14ac:dyDescent="0.3">
      <c r="B213" s="56"/>
      <c r="F213" s="56"/>
      <c r="J213" s="56"/>
      <c r="N213" s="56"/>
      <c r="R213" s="56"/>
    </row>
    <row r="214" spans="2:18" customFormat="1" ht="27.45" customHeight="1" x14ac:dyDescent="0.3">
      <c r="B214" s="56"/>
      <c r="F214" s="56"/>
      <c r="J214" s="56"/>
      <c r="N214" s="56"/>
      <c r="R214" s="56"/>
    </row>
    <row r="215" spans="2:18" customFormat="1" ht="27.45" customHeight="1" x14ac:dyDescent="0.3">
      <c r="B215" s="56"/>
      <c r="F215" s="56"/>
      <c r="J215" s="56"/>
      <c r="N215" s="56"/>
      <c r="R215" s="56"/>
    </row>
    <row r="216" spans="2:18" customFormat="1" ht="27.45" customHeight="1" x14ac:dyDescent="0.3">
      <c r="B216" s="56"/>
      <c r="F216" s="56"/>
      <c r="J216" s="56"/>
      <c r="N216" s="56"/>
      <c r="R216" s="56"/>
    </row>
    <row r="217" spans="2:18" customFormat="1" ht="27.45" customHeight="1" x14ac:dyDescent="0.3">
      <c r="B217" s="56"/>
      <c r="F217" s="56"/>
      <c r="J217" s="56"/>
      <c r="N217" s="56"/>
      <c r="R217" s="56"/>
    </row>
    <row r="218" spans="2:18" customFormat="1" ht="27.45" customHeight="1" x14ac:dyDescent="0.3">
      <c r="B218" s="56"/>
      <c r="F218" s="56"/>
      <c r="J218" s="56"/>
      <c r="N218" s="56"/>
      <c r="R218" s="56"/>
    </row>
    <row r="219" spans="2:18" customFormat="1" ht="27.45" customHeight="1" x14ac:dyDescent="0.3">
      <c r="B219" s="56"/>
      <c r="F219" s="56"/>
      <c r="J219" s="56"/>
      <c r="N219" s="56"/>
      <c r="R219" s="56"/>
    </row>
    <row r="220" spans="2:18" customFormat="1" ht="27.45" customHeight="1" x14ac:dyDescent="0.3">
      <c r="B220" s="56"/>
      <c r="F220" s="56"/>
      <c r="J220" s="56"/>
      <c r="N220" s="56"/>
      <c r="R220" s="56"/>
    </row>
    <row r="221" spans="2:18" customFormat="1" ht="27.45" customHeight="1" x14ac:dyDescent="0.3">
      <c r="B221" s="56"/>
      <c r="F221" s="56"/>
      <c r="J221" s="56"/>
      <c r="N221" s="56"/>
      <c r="R221" s="56"/>
    </row>
    <row r="222" spans="2:18" customFormat="1" ht="27.45" customHeight="1" x14ac:dyDescent="0.3">
      <c r="B222" s="56"/>
      <c r="F222" s="56"/>
      <c r="J222" s="56"/>
      <c r="N222" s="56"/>
      <c r="R222" s="56"/>
    </row>
    <row r="223" spans="2:18" customFormat="1" ht="27.45" customHeight="1" x14ac:dyDescent="0.3">
      <c r="B223" s="56"/>
      <c r="F223" s="56"/>
      <c r="J223" s="56"/>
      <c r="N223" s="56"/>
      <c r="R223" s="56"/>
    </row>
    <row r="224" spans="2:18" customFormat="1" ht="27.45" customHeight="1" x14ac:dyDescent="0.3">
      <c r="B224" s="56"/>
      <c r="F224" s="56"/>
      <c r="J224" s="56"/>
      <c r="N224" s="56"/>
      <c r="R224" s="56"/>
    </row>
    <row r="225" spans="2:18" customFormat="1" ht="27.45" customHeight="1" x14ac:dyDescent="0.3">
      <c r="B225" s="56"/>
      <c r="F225" s="56"/>
      <c r="J225" s="56"/>
      <c r="N225" s="56"/>
      <c r="R225" s="56"/>
    </row>
    <row r="226" spans="2:18" customFormat="1" ht="27.45" customHeight="1" x14ac:dyDescent="0.3">
      <c r="B226" s="56"/>
      <c r="F226" s="56"/>
      <c r="J226" s="56"/>
      <c r="N226" s="56"/>
      <c r="R226" s="56"/>
    </row>
    <row r="227" spans="2:18" customFormat="1" ht="27.45" customHeight="1" x14ac:dyDescent="0.3">
      <c r="B227" s="56"/>
      <c r="F227" s="56"/>
      <c r="J227" s="56"/>
      <c r="N227" s="56"/>
      <c r="R227" s="56"/>
    </row>
    <row r="228" spans="2:18" customFormat="1" ht="27.45" customHeight="1" x14ac:dyDescent="0.3">
      <c r="B228" s="56"/>
      <c r="F228" s="56"/>
      <c r="J228" s="56"/>
      <c r="N228" s="56"/>
      <c r="R228" s="56"/>
    </row>
    <row r="229" spans="2:18" customFormat="1" ht="27.45" customHeight="1" x14ac:dyDescent="0.3">
      <c r="B229" s="56"/>
      <c r="F229" s="56"/>
      <c r="J229" s="56"/>
      <c r="N229" s="56"/>
      <c r="R229" s="56"/>
    </row>
    <row r="230" spans="2:18" customFormat="1" ht="27.45" customHeight="1" x14ac:dyDescent="0.3">
      <c r="B230" s="56"/>
      <c r="F230" s="56"/>
      <c r="J230" s="56"/>
      <c r="N230" s="56"/>
      <c r="R230" s="56"/>
    </row>
    <row r="231" spans="2:18" customFormat="1" ht="27.45" customHeight="1" x14ac:dyDescent="0.3">
      <c r="B231" s="56"/>
      <c r="F231" s="56"/>
      <c r="J231" s="56"/>
      <c r="N231" s="56"/>
      <c r="R231" s="56"/>
    </row>
    <row r="232" spans="2:18" customFormat="1" ht="27.45" customHeight="1" x14ac:dyDescent="0.3">
      <c r="B232" s="56"/>
      <c r="F232" s="56"/>
      <c r="J232" s="56"/>
      <c r="N232" s="56"/>
      <c r="R232" s="56"/>
    </row>
    <row r="233" spans="2:18" customFormat="1" ht="27.45" customHeight="1" x14ac:dyDescent="0.3">
      <c r="B233" s="56"/>
      <c r="F233" s="56"/>
      <c r="J233" s="56"/>
      <c r="N233" s="56"/>
      <c r="R233" s="56"/>
    </row>
    <row r="234" spans="2:18" customFormat="1" ht="27.45" customHeight="1" x14ac:dyDescent="0.3">
      <c r="B234" s="56"/>
      <c r="F234" s="56"/>
      <c r="J234" s="56"/>
      <c r="N234" s="56"/>
      <c r="R234" s="56"/>
    </row>
    <row r="235" spans="2:18" customFormat="1" ht="27.45" customHeight="1" x14ac:dyDescent="0.3">
      <c r="B235" s="56"/>
      <c r="F235" s="56"/>
      <c r="J235" s="56"/>
      <c r="N235" s="56"/>
      <c r="R235" s="56"/>
    </row>
    <row r="236" spans="2:18" customFormat="1" ht="27.45" customHeight="1" x14ac:dyDescent="0.3">
      <c r="B236" s="56"/>
      <c r="F236" s="56"/>
      <c r="J236" s="56"/>
      <c r="N236" s="56"/>
      <c r="R236" s="56"/>
    </row>
    <row r="237" spans="2:18" customFormat="1" ht="27.45" customHeight="1" x14ac:dyDescent="0.3">
      <c r="B237" s="56"/>
      <c r="F237" s="56"/>
      <c r="J237" s="56"/>
      <c r="N237" s="56"/>
      <c r="R237" s="56"/>
    </row>
    <row r="238" spans="2:18" customFormat="1" ht="27.45" customHeight="1" x14ac:dyDescent="0.3">
      <c r="B238" s="56"/>
      <c r="F238" s="56"/>
      <c r="J238" s="56"/>
      <c r="N238" s="56"/>
      <c r="R238" s="56"/>
    </row>
    <row r="239" spans="2:18" customFormat="1" ht="27.45" customHeight="1" x14ac:dyDescent="0.3">
      <c r="B239" s="56"/>
      <c r="F239" s="56"/>
      <c r="J239" s="56"/>
      <c r="N239" s="56"/>
      <c r="R239" s="56"/>
    </row>
    <row r="240" spans="2:18" customFormat="1" ht="27.45" customHeight="1" x14ac:dyDescent="0.3">
      <c r="B240" s="56"/>
      <c r="F240" s="56"/>
      <c r="J240" s="56"/>
      <c r="N240" s="56"/>
      <c r="R240" s="56"/>
    </row>
    <row r="241" spans="2:18" customFormat="1" ht="27.45" customHeight="1" x14ac:dyDescent="0.3">
      <c r="B241" s="56"/>
      <c r="F241" s="56"/>
      <c r="J241" s="56"/>
      <c r="N241" s="56"/>
      <c r="R241" s="56"/>
    </row>
    <row r="242" spans="2:18" customFormat="1" ht="27.45" customHeight="1" x14ac:dyDescent="0.3">
      <c r="B242" s="56"/>
      <c r="F242" s="56"/>
      <c r="J242" s="56"/>
      <c r="N242" s="56"/>
      <c r="R242" s="56"/>
    </row>
    <row r="243" spans="2:18" customFormat="1" ht="27.45" customHeight="1" x14ac:dyDescent="0.3">
      <c r="B243" s="56"/>
      <c r="F243" s="56"/>
      <c r="J243" s="56"/>
      <c r="N243" s="56"/>
      <c r="R243" s="56"/>
    </row>
    <row r="244" spans="2:18" customFormat="1" ht="27.45" customHeight="1" x14ac:dyDescent="0.3">
      <c r="B244" s="56"/>
      <c r="F244" s="56"/>
      <c r="J244" s="56"/>
      <c r="N244" s="56"/>
      <c r="R244" s="56"/>
    </row>
    <row r="245" spans="2:18" customFormat="1" ht="27.45" customHeight="1" x14ac:dyDescent="0.3">
      <c r="B245" s="56"/>
      <c r="F245" s="56"/>
      <c r="J245" s="56"/>
      <c r="N245" s="56"/>
      <c r="R245" s="56"/>
    </row>
    <row r="246" spans="2:18" customFormat="1" ht="27.45" customHeight="1" x14ac:dyDescent="0.3">
      <c r="B246" s="56"/>
      <c r="F246" s="56"/>
      <c r="J246" s="56"/>
      <c r="N246" s="56"/>
      <c r="R246" s="56"/>
    </row>
    <row r="247" spans="2:18" customFormat="1" ht="27.45" customHeight="1" x14ac:dyDescent="0.3">
      <c r="B247" s="56"/>
      <c r="F247" s="56"/>
      <c r="J247" s="56"/>
      <c r="N247" s="56"/>
      <c r="R247" s="56"/>
    </row>
    <row r="248" spans="2:18" customFormat="1" ht="27.45" customHeight="1" x14ac:dyDescent="0.3">
      <c r="B248" s="56"/>
      <c r="F248" s="56"/>
      <c r="J248" s="56"/>
      <c r="N248" s="56"/>
      <c r="R248" s="56"/>
    </row>
    <row r="249" spans="2:18" customFormat="1" ht="27.45" customHeight="1" x14ac:dyDescent="0.3">
      <c r="B249" s="56"/>
      <c r="F249" s="56"/>
      <c r="J249" s="56"/>
      <c r="N249" s="56"/>
      <c r="R249" s="56"/>
    </row>
    <row r="250" spans="2:18" customFormat="1" ht="27.45" customHeight="1" x14ac:dyDescent="0.3">
      <c r="B250" s="56"/>
      <c r="F250" s="56"/>
      <c r="J250" s="56"/>
      <c r="N250" s="56"/>
      <c r="R250" s="56"/>
    </row>
    <row r="251" spans="2:18" customFormat="1" ht="27.45" customHeight="1" x14ac:dyDescent="0.3">
      <c r="B251" s="56"/>
      <c r="F251" s="56"/>
      <c r="J251" s="56"/>
      <c r="N251" s="56"/>
      <c r="R251" s="56"/>
    </row>
    <row r="252" spans="2:18" customFormat="1" ht="27.45" customHeight="1" x14ac:dyDescent="0.3">
      <c r="B252" s="56"/>
      <c r="F252" s="56"/>
      <c r="J252" s="56"/>
      <c r="N252" s="56"/>
      <c r="R252" s="56"/>
    </row>
    <row r="253" spans="2:18" customFormat="1" ht="27.45" customHeight="1" x14ac:dyDescent="0.3">
      <c r="B253" s="56"/>
      <c r="F253" s="56"/>
      <c r="J253" s="56"/>
      <c r="N253" s="56"/>
      <c r="R253" s="56"/>
    </row>
    <row r="254" spans="2:18" customFormat="1" ht="27.45" customHeight="1" x14ac:dyDescent="0.3">
      <c r="B254" s="56"/>
      <c r="F254" s="56"/>
      <c r="J254" s="56"/>
      <c r="N254" s="56"/>
      <c r="R254" s="56"/>
    </row>
    <row r="255" spans="2:18" customFormat="1" ht="27.45" customHeight="1" x14ac:dyDescent="0.3">
      <c r="B255" s="56"/>
      <c r="F255" s="56"/>
      <c r="J255" s="56"/>
      <c r="N255" s="56"/>
      <c r="R255" s="56"/>
    </row>
    <row r="256" spans="2:18" customFormat="1" ht="27.45" customHeight="1" x14ac:dyDescent="0.3">
      <c r="B256" s="56"/>
      <c r="F256" s="56"/>
      <c r="J256" s="56"/>
      <c r="N256" s="56"/>
      <c r="R256" s="56"/>
    </row>
    <row r="257" spans="2:18" customFormat="1" ht="27.45" customHeight="1" x14ac:dyDescent="0.3">
      <c r="B257" s="56"/>
      <c r="F257" s="56"/>
      <c r="J257" s="56"/>
      <c r="N257" s="56"/>
      <c r="R257" s="56"/>
    </row>
    <row r="258" spans="2:18" customFormat="1" ht="27.45" customHeight="1" x14ac:dyDescent="0.3">
      <c r="B258" s="56"/>
      <c r="F258" s="56"/>
      <c r="J258" s="56"/>
      <c r="N258" s="56"/>
      <c r="R258" s="56"/>
    </row>
    <row r="259" spans="2:18" customFormat="1" ht="27.45" customHeight="1" x14ac:dyDescent="0.3">
      <c r="B259" s="56"/>
      <c r="F259" s="56"/>
      <c r="J259" s="56"/>
      <c r="N259" s="56"/>
      <c r="R259" s="56"/>
    </row>
    <row r="260" spans="2:18" customFormat="1" ht="27.45" customHeight="1" x14ac:dyDescent="0.3">
      <c r="B260" s="56"/>
      <c r="F260" s="56"/>
      <c r="J260" s="56"/>
      <c r="N260" s="56"/>
      <c r="R260" s="56"/>
    </row>
    <row r="261" spans="2:18" customFormat="1" ht="27.45" customHeight="1" x14ac:dyDescent="0.3">
      <c r="B261" s="56"/>
      <c r="F261" s="56"/>
      <c r="J261" s="56"/>
      <c r="N261" s="56"/>
      <c r="R261" s="56"/>
    </row>
    <row r="262" spans="2:18" customFormat="1" ht="27.45" customHeight="1" x14ac:dyDescent="0.3">
      <c r="B262" s="56"/>
      <c r="F262" s="56"/>
      <c r="J262" s="56"/>
      <c r="N262" s="56"/>
      <c r="R262" s="56"/>
    </row>
    <row r="263" spans="2:18" customFormat="1" ht="27.45" customHeight="1" x14ac:dyDescent="0.3">
      <c r="B263" s="56"/>
      <c r="F263" s="56"/>
      <c r="J263" s="56"/>
      <c r="N263" s="56"/>
      <c r="R263" s="56"/>
    </row>
    <row r="264" spans="2:18" customFormat="1" ht="27.45" customHeight="1" x14ac:dyDescent="0.3">
      <c r="B264" s="56"/>
      <c r="F264" s="56"/>
      <c r="J264" s="56"/>
      <c r="N264" s="56"/>
      <c r="R264" s="56"/>
    </row>
    <row r="265" spans="2:18" customFormat="1" ht="27.45" customHeight="1" x14ac:dyDescent="0.3">
      <c r="B265" s="56"/>
      <c r="F265" s="56"/>
      <c r="J265" s="56"/>
      <c r="N265" s="56"/>
      <c r="R265" s="56"/>
    </row>
    <row r="266" spans="2:18" customFormat="1" ht="27.45" customHeight="1" x14ac:dyDescent="0.3">
      <c r="B266" s="56"/>
      <c r="F266" s="56"/>
      <c r="J266" s="56"/>
      <c r="N266" s="56"/>
      <c r="R266" s="56"/>
    </row>
    <row r="267" spans="2:18" customFormat="1" ht="27.45" customHeight="1" x14ac:dyDescent="0.3">
      <c r="B267" s="56"/>
      <c r="F267" s="56"/>
      <c r="J267" s="56"/>
      <c r="N267" s="56"/>
      <c r="R267" s="56"/>
    </row>
    <row r="268" spans="2:18" customFormat="1" ht="27.45" customHeight="1" x14ac:dyDescent="0.3">
      <c r="B268" s="56"/>
      <c r="F268" s="56"/>
      <c r="J268" s="56"/>
      <c r="N268" s="56"/>
      <c r="R268" s="56"/>
    </row>
    <row r="269" spans="2:18" customFormat="1" ht="27.45" customHeight="1" x14ac:dyDescent="0.3">
      <c r="B269" s="56"/>
      <c r="F269" s="56"/>
      <c r="J269" s="56"/>
      <c r="N269" s="56"/>
      <c r="R269" s="56"/>
    </row>
    <row r="270" spans="2:18" customFormat="1" ht="27.45" customHeight="1" x14ac:dyDescent="0.3">
      <c r="B270" s="56"/>
      <c r="F270" s="56"/>
      <c r="J270" s="56"/>
      <c r="N270" s="56"/>
      <c r="R270" s="56"/>
    </row>
    <row r="271" spans="2:18" customFormat="1" ht="27.45" customHeight="1" x14ac:dyDescent="0.3">
      <c r="B271" s="56"/>
      <c r="F271" s="56"/>
      <c r="J271" s="56"/>
      <c r="N271" s="56"/>
      <c r="R271" s="56"/>
    </row>
    <row r="272" spans="2:18" customFormat="1" ht="27.45" customHeight="1" x14ac:dyDescent="0.3">
      <c r="B272" s="56"/>
      <c r="F272" s="56"/>
      <c r="J272" s="56"/>
      <c r="N272" s="56"/>
      <c r="R272" s="56"/>
    </row>
    <row r="273" spans="2:18" customFormat="1" ht="27.45" customHeight="1" x14ac:dyDescent="0.3">
      <c r="B273" s="56"/>
      <c r="F273" s="56"/>
      <c r="J273" s="56"/>
      <c r="N273" s="56"/>
      <c r="R273" s="56"/>
    </row>
    <row r="274" spans="2:18" customFormat="1" ht="27.45" customHeight="1" x14ac:dyDescent="0.3">
      <c r="B274" s="56"/>
      <c r="F274" s="56"/>
      <c r="J274" s="56"/>
      <c r="N274" s="56"/>
      <c r="R274" s="56"/>
    </row>
    <row r="275" spans="2:18" customFormat="1" ht="27.45" customHeight="1" x14ac:dyDescent="0.3">
      <c r="B275" s="56"/>
      <c r="F275" s="56"/>
      <c r="J275" s="56"/>
      <c r="N275" s="56"/>
      <c r="R275" s="56"/>
    </row>
    <row r="276" spans="2:18" customFormat="1" ht="27.45" customHeight="1" x14ac:dyDescent="0.3">
      <c r="B276" s="56"/>
      <c r="F276" s="56"/>
      <c r="J276" s="56"/>
      <c r="N276" s="56"/>
      <c r="R276" s="56"/>
    </row>
    <row r="277" spans="2:18" customFormat="1" ht="27.45" customHeight="1" x14ac:dyDescent="0.3">
      <c r="B277" s="56"/>
      <c r="F277" s="56"/>
      <c r="J277" s="56"/>
      <c r="N277" s="56"/>
      <c r="R277" s="56"/>
    </row>
    <row r="278" spans="2:18" customFormat="1" ht="27.45" customHeight="1" x14ac:dyDescent="0.3">
      <c r="B278" s="56"/>
      <c r="F278" s="56"/>
      <c r="J278" s="56"/>
      <c r="N278" s="56"/>
      <c r="R278" s="56"/>
    </row>
    <row r="279" spans="2:18" customFormat="1" ht="27.45" customHeight="1" x14ac:dyDescent="0.3">
      <c r="B279" s="56"/>
      <c r="F279" s="56"/>
      <c r="J279" s="56"/>
      <c r="N279" s="56"/>
      <c r="R279" s="56"/>
    </row>
    <row r="280" spans="2:18" customFormat="1" ht="27.45" customHeight="1" x14ac:dyDescent="0.3">
      <c r="B280" s="56"/>
      <c r="F280" s="56"/>
      <c r="J280" s="56"/>
      <c r="N280" s="56"/>
      <c r="R280" s="56"/>
    </row>
    <row r="281" spans="2:18" customFormat="1" ht="27.45" customHeight="1" x14ac:dyDescent="0.3">
      <c r="B281" s="56"/>
      <c r="F281" s="56"/>
      <c r="J281" s="56"/>
      <c r="N281" s="56"/>
      <c r="R281" s="56"/>
    </row>
    <row r="282" spans="2:18" customFormat="1" ht="27.45" customHeight="1" x14ac:dyDescent="0.3">
      <c r="B282" s="56"/>
      <c r="F282" s="56"/>
      <c r="J282" s="56"/>
      <c r="N282" s="56"/>
      <c r="R282" s="56"/>
    </row>
    <row r="283" spans="2:18" customFormat="1" ht="27.45" customHeight="1" x14ac:dyDescent="0.3">
      <c r="B283" s="56"/>
      <c r="F283" s="56"/>
      <c r="J283" s="56"/>
      <c r="N283" s="56"/>
      <c r="R283" s="56"/>
    </row>
    <row r="284" spans="2:18" customFormat="1" ht="27.45" customHeight="1" x14ac:dyDescent="0.3">
      <c r="B284" s="56"/>
      <c r="F284" s="56"/>
      <c r="J284" s="56"/>
      <c r="N284" s="56"/>
      <c r="R284" s="56"/>
    </row>
    <row r="285" spans="2:18" customFormat="1" ht="27.45" customHeight="1" x14ac:dyDescent="0.3">
      <c r="B285" s="56"/>
      <c r="F285" s="56"/>
      <c r="J285" s="56"/>
      <c r="N285" s="56"/>
      <c r="R285" s="56"/>
    </row>
    <row r="286" spans="2:18" customFormat="1" ht="27.45" customHeight="1" x14ac:dyDescent="0.3">
      <c r="B286" s="56"/>
      <c r="F286" s="56"/>
      <c r="J286" s="56"/>
      <c r="N286" s="56"/>
      <c r="R286" s="56"/>
    </row>
    <row r="287" spans="2:18" customFormat="1" ht="27.45" customHeight="1" x14ac:dyDescent="0.3">
      <c r="B287" s="56"/>
      <c r="F287" s="56"/>
      <c r="J287" s="56"/>
      <c r="N287" s="56"/>
      <c r="R287" s="56"/>
    </row>
    <row r="288" spans="2:18" customFormat="1" ht="27.45" customHeight="1" x14ac:dyDescent="0.3">
      <c r="B288" s="56"/>
      <c r="F288" s="56"/>
      <c r="J288" s="56"/>
      <c r="N288" s="56"/>
      <c r="R288" s="56"/>
    </row>
    <row r="289" spans="2:18" customFormat="1" ht="27.45" customHeight="1" x14ac:dyDescent="0.3">
      <c r="B289" s="56"/>
      <c r="F289" s="56"/>
      <c r="J289" s="56"/>
      <c r="N289" s="56"/>
      <c r="R289" s="56"/>
    </row>
    <row r="290" spans="2:18" customFormat="1" ht="27.45" customHeight="1" x14ac:dyDescent="0.3">
      <c r="B290" s="56"/>
      <c r="F290" s="56"/>
      <c r="J290" s="56"/>
      <c r="N290" s="56"/>
      <c r="R290" s="56"/>
    </row>
    <row r="291" spans="2:18" customFormat="1" ht="27.45" customHeight="1" x14ac:dyDescent="0.3">
      <c r="B291" s="56"/>
      <c r="F291" s="56"/>
      <c r="J291" s="56"/>
      <c r="N291" s="56"/>
      <c r="R291" s="56"/>
    </row>
    <row r="292" spans="2:18" customFormat="1" ht="27.45" customHeight="1" x14ac:dyDescent="0.3">
      <c r="B292" s="56"/>
      <c r="F292" s="56"/>
      <c r="J292" s="56"/>
      <c r="N292" s="56"/>
      <c r="R292" s="56"/>
    </row>
    <row r="293" spans="2:18" customFormat="1" ht="27.45" customHeight="1" x14ac:dyDescent="0.3">
      <c r="B293" s="56"/>
      <c r="F293" s="56"/>
      <c r="J293" s="56"/>
      <c r="N293" s="56"/>
      <c r="R293" s="56"/>
    </row>
    <row r="294" spans="2:18" customFormat="1" ht="27.45" customHeight="1" x14ac:dyDescent="0.3">
      <c r="B294" s="56"/>
      <c r="F294" s="56"/>
      <c r="J294" s="56"/>
      <c r="N294" s="56"/>
      <c r="R294" s="56"/>
    </row>
    <row r="295" spans="2:18" customFormat="1" ht="27.45" customHeight="1" x14ac:dyDescent="0.3">
      <c r="B295" s="56"/>
      <c r="F295" s="56"/>
      <c r="J295" s="56"/>
      <c r="N295" s="56"/>
      <c r="R295" s="56"/>
    </row>
    <row r="296" spans="2:18" customFormat="1" ht="27.45" customHeight="1" x14ac:dyDescent="0.3">
      <c r="B296" s="56"/>
      <c r="F296" s="56"/>
      <c r="J296" s="56"/>
      <c r="N296" s="56"/>
      <c r="R296" s="56"/>
    </row>
    <row r="297" spans="2:18" customFormat="1" ht="27.45" customHeight="1" x14ac:dyDescent="0.3">
      <c r="B297" s="56"/>
      <c r="F297" s="56"/>
      <c r="J297" s="56"/>
      <c r="N297" s="56"/>
      <c r="R297" s="56"/>
    </row>
    <row r="298" spans="2:18" customFormat="1" ht="27.45" customHeight="1" x14ac:dyDescent="0.3">
      <c r="B298" s="56"/>
      <c r="F298" s="56"/>
      <c r="J298" s="56"/>
      <c r="N298" s="56"/>
      <c r="R298" s="56"/>
    </row>
    <row r="299" spans="2:18" customFormat="1" ht="27.45" customHeight="1" x14ac:dyDescent="0.3">
      <c r="B299" s="56"/>
      <c r="F299" s="56"/>
      <c r="J299" s="56"/>
      <c r="N299" s="56"/>
      <c r="R299" s="56"/>
    </row>
    <row r="300" spans="2:18" customFormat="1" ht="27.45" customHeight="1" x14ac:dyDescent="0.3">
      <c r="B300" s="56"/>
      <c r="F300" s="56"/>
      <c r="J300" s="56"/>
      <c r="N300" s="56"/>
      <c r="R300" s="56"/>
    </row>
    <row r="301" spans="2:18" customFormat="1" ht="27.45" customHeight="1" x14ac:dyDescent="0.3">
      <c r="B301" s="56"/>
      <c r="F301" s="56"/>
      <c r="J301" s="56"/>
      <c r="N301" s="56"/>
      <c r="R301" s="56"/>
    </row>
    <row r="302" spans="2:18" customFormat="1" ht="27.45" customHeight="1" x14ac:dyDescent="0.3">
      <c r="B302" s="56"/>
      <c r="F302" s="56"/>
      <c r="J302" s="56"/>
      <c r="N302" s="56"/>
      <c r="R302" s="56"/>
    </row>
    <row r="303" spans="2:18" customFormat="1" ht="27.45" customHeight="1" x14ac:dyDescent="0.3">
      <c r="B303" s="56"/>
      <c r="F303" s="56"/>
      <c r="J303" s="56"/>
      <c r="N303" s="56"/>
      <c r="R303" s="56"/>
    </row>
    <row r="304" spans="2:18" customFormat="1" ht="27.45" customHeight="1" x14ac:dyDescent="0.3">
      <c r="B304" s="56"/>
      <c r="F304" s="56"/>
      <c r="J304" s="56"/>
      <c r="N304" s="56"/>
      <c r="R304" s="56"/>
    </row>
    <row r="305" spans="2:18" customFormat="1" ht="27.45" customHeight="1" x14ac:dyDescent="0.3">
      <c r="B305" s="56"/>
      <c r="F305" s="56"/>
      <c r="J305" s="56"/>
      <c r="N305" s="56"/>
      <c r="R305" s="56"/>
    </row>
    <row r="306" spans="2:18" customFormat="1" ht="27.45" customHeight="1" x14ac:dyDescent="0.3">
      <c r="B306" s="56"/>
      <c r="F306" s="56"/>
      <c r="J306" s="56"/>
      <c r="N306" s="56"/>
      <c r="R306" s="56"/>
    </row>
    <row r="307" spans="2:18" customFormat="1" ht="27.45" customHeight="1" x14ac:dyDescent="0.3">
      <c r="B307" s="56"/>
      <c r="F307" s="56"/>
      <c r="J307" s="56"/>
      <c r="N307" s="56"/>
      <c r="R307" s="56"/>
    </row>
    <row r="308" spans="2:18" customFormat="1" ht="27.45" customHeight="1" x14ac:dyDescent="0.3">
      <c r="B308" s="56"/>
      <c r="F308" s="56"/>
      <c r="J308" s="56"/>
      <c r="N308" s="56"/>
      <c r="R308" s="56"/>
    </row>
    <row r="309" spans="2:18" customFormat="1" ht="27.45" customHeight="1" x14ac:dyDescent="0.3">
      <c r="B309" s="56"/>
      <c r="F309" s="56"/>
      <c r="J309" s="56"/>
      <c r="N309" s="56"/>
      <c r="R309" s="56"/>
    </row>
    <row r="310" spans="2:18" customFormat="1" ht="27.45" customHeight="1" x14ac:dyDescent="0.3">
      <c r="B310" s="56"/>
      <c r="F310" s="56"/>
      <c r="J310" s="56"/>
      <c r="N310" s="56"/>
      <c r="R310" s="56"/>
    </row>
    <row r="311" spans="2:18" customFormat="1" ht="27.45" customHeight="1" x14ac:dyDescent="0.3">
      <c r="B311" s="56"/>
      <c r="F311" s="56"/>
      <c r="J311" s="56"/>
      <c r="N311" s="56"/>
      <c r="R311" s="56"/>
    </row>
    <row r="312" spans="2:18" customFormat="1" ht="27.45" customHeight="1" x14ac:dyDescent="0.3">
      <c r="B312" s="56"/>
      <c r="F312" s="56"/>
      <c r="J312" s="56"/>
      <c r="N312" s="56"/>
      <c r="R312" s="56"/>
    </row>
    <row r="313" spans="2:18" customFormat="1" ht="27.45" customHeight="1" x14ac:dyDescent="0.3">
      <c r="B313" s="56"/>
      <c r="F313" s="56"/>
      <c r="J313" s="56"/>
      <c r="N313" s="56"/>
      <c r="R313" s="56"/>
    </row>
    <row r="314" spans="2:18" customFormat="1" ht="27.45" customHeight="1" x14ac:dyDescent="0.3">
      <c r="B314" s="56"/>
      <c r="F314" s="56"/>
      <c r="J314" s="56"/>
      <c r="N314" s="56"/>
      <c r="R314" s="56"/>
    </row>
    <row r="315" spans="2:18" customFormat="1" ht="27.45" customHeight="1" x14ac:dyDescent="0.3">
      <c r="B315" s="56"/>
      <c r="F315" s="56"/>
      <c r="J315" s="56"/>
      <c r="N315" s="56"/>
      <c r="R315" s="56"/>
    </row>
    <row r="316" spans="2:18" customFormat="1" ht="27.45" customHeight="1" x14ac:dyDescent="0.3">
      <c r="B316" s="56"/>
      <c r="F316" s="56"/>
      <c r="J316" s="56"/>
      <c r="N316" s="56"/>
      <c r="R316" s="56"/>
    </row>
    <row r="317" spans="2:18" customFormat="1" ht="27.45" customHeight="1" x14ac:dyDescent="0.3">
      <c r="B317" s="56"/>
      <c r="F317" s="56"/>
      <c r="J317" s="56"/>
      <c r="N317" s="56"/>
      <c r="R317" s="56"/>
    </row>
    <row r="318" spans="2:18" customFormat="1" ht="27.45" customHeight="1" x14ac:dyDescent="0.3">
      <c r="B318" s="56"/>
      <c r="F318" s="56"/>
      <c r="J318" s="56"/>
      <c r="N318" s="56"/>
      <c r="R318" s="56"/>
    </row>
    <row r="319" spans="2:18" customFormat="1" ht="27.45" customHeight="1" x14ac:dyDescent="0.3">
      <c r="B319" s="56"/>
      <c r="F319" s="56"/>
      <c r="J319" s="56"/>
      <c r="N319" s="56"/>
      <c r="R319" s="56"/>
    </row>
    <row r="320" spans="2:18" customFormat="1" ht="27.45" customHeight="1" x14ac:dyDescent="0.3">
      <c r="B320" s="56"/>
      <c r="F320" s="56"/>
      <c r="J320" s="56"/>
      <c r="N320" s="56"/>
      <c r="R320" s="56"/>
    </row>
    <row r="321" spans="2:18" customFormat="1" ht="27.45" customHeight="1" x14ac:dyDescent="0.3">
      <c r="B321" s="56"/>
      <c r="F321" s="56"/>
      <c r="J321" s="56"/>
      <c r="N321" s="56"/>
      <c r="R321" s="56"/>
    </row>
    <row r="322" spans="2:18" customFormat="1" ht="27.45" customHeight="1" x14ac:dyDescent="0.3">
      <c r="B322" s="56"/>
      <c r="F322" s="56"/>
      <c r="J322" s="56"/>
      <c r="N322" s="56"/>
      <c r="R322" s="56"/>
    </row>
    <row r="323" spans="2:18" customFormat="1" ht="27.45" customHeight="1" x14ac:dyDescent="0.3">
      <c r="B323" s="56"/>
      <c r="F323" s="56"/>
      <c r="J323" s="56"/>
      <c r="N323" s="56"/>
      <c r="R323" s="56"/>
    </row>
    <row r="324" spans="2:18" customFormat="1" ht="27.45" customHeight="1" x14ac:dyDescent="0.3">
      <c r="B324" s="56"/>
      <c r="F324" s="56"/>
      <c r="J324" s="56"/>
      <c r="N324" s="56"/>
      <c r="R324" s="56"/>
    </row>
    <row r="325" spans="2:18" customFormat="1" ht="27.45" customHeight="1" x14ac:dyDescent="0.3">
      <c r="B325" s="56"/>
      <c r="F325" s="56"/>
      <c r="J325" s="56"/>
      <c r="N325" s="56"/>
      <c r="R325" s="56"/>
    </row>
    <row r="326" spans="2:18" customFormat="1" ht="27.45" customHeight="1" x14ac:dyDescent="0.3">
      <c r="B326" s="56"/>
      <c r="F326" s="56"/>
      <c r="J326" s="56"/>
      <c r="N326" s="56"/>
      <c r="R326" s="56"/>
    </row>
    <row r="327" spans="2:18" customFormat="1" ht="27.45" customHeight="1" x14ac:dyDescent="0.3">
      <c r="B327" s="56"/>
      <c r="F327" s="56"/>
      <c r="J327" s="56"/>
      <c r="N327" s="56"/>
      <c r="R327" s="56"/>
    </row>
    <row r="328" spans="2:18" customFormat="1" ht="27.45" customHeight="1" x14ac:dyDescent="0.3">
      <c r="B328" s="56"/>
      <c r="F328" s="56"/>
      <c r="J328" s="56"/>
      <c r="N328" s="56"/>
      <c r="R328" s="56"/>
    </row>
    <row r="329" spans="2:18" customFormat="1" ht="27.45" customHeight="1" x14ac:dyDescent="0.3">
      <c r="B329" s="56"/>
      <c r="F329" s="56"/>
      <c r="J329" s="56"/>
      <c r="N329" s="56"/>
      <c r="R329" s="56"/>
    </row>
    <row r="330" spans="2:18" customFormat="1" ht="27.45" customHeight="1" x14ac:dyDescent="0.3">
      <c r="B330" s="56"/>
      <c r="F330" s="56"/>
      <c r="J330" s="56"/>
      <c r="N330" s="56"/>
      <c r="R330" s="56"/>
    </row>
    <row r="331" spans="2:18" customFormat="1" ht="27.45" customHeight="1" x14ac:dyDescent="0.3">
      <c r="B331" s="56"/>
      <c r="F331" s="56"/>
      <c r="J331" s="56"/>
      <c r="N331" s="56"/>
      <c r="R331" s="56"/>
    </row>
    <row r="332" spans="2:18" customFormat="1" ht="27.45" customHeight="1" x14ac:dyDescent="0.3">
      <c r="B332" s="56"/>
      <c r="F332" s="56"/>
      <c r="J332" s="56"/>
      <c r="N332" s="56"/>
      <c r="R332" s="56"/>
    </row>
    <row r="333" spans="2:18" customFormat="1" ht="27.45" customHeight="1" x14ac:dyDescent="0.3">
      <c r="B333" s="56"/>
      <c r="F333" s="56"/>
      <c r="J333" s="56"/>
      <c r="N333" s="56"/>
      <c r="R333" s="56"/>
    </row>
    <row r="334" spans="2:18" customFormat="1" ht="27.45" customHeight="1" x14ac:dyDescent="0.3">
      <c r="B334" s="56"/>
      <c r="F334" s="56"/>
      <c r="J334" s="56"/>
      <c r="N334" s="56"/>
      <c r="R334" s="56"/>
    </row>
    <row r="335" spans="2:18" customFormat="1" ht="27.45" customHeight="1" x14ac:dyDescent="0.3">
      <c r="B335" s="56"/>
      <c r="F335" s="56"/>
      <c r="J335" s="56"/>
      <c r="N335" s="56"/>
      <c r="R335" s="56"/>
    </row>
    <row r="336" spans="2:18" customFormat="1" ht="27.45" customHeight="1" x14ac:dyDescent="0.3">
      <c r="B336" s="56"/>
      <c r="F336" s="56"/>
      <c r="J336" s="56"/>
      <c r="N336" s="56"/>
      <c r="R336" s="56"/>
    </row>
    <row r="337" spans="2:18" customFormat="1" ht="27.45" customHeight="1" x14ac:dyDescent="0.3">
      <c r="B337" s="56"/>
      <c r="F337" s="56"/>
      <c r="J337" s="56"/>
      <c r="N337" s="56"/>
      <c r="R337" s="56"/>
    </row>
    <row r="338" spans="2:18" customFormat="1" ht="27.45" customHeight="1" x14ac:dyDescent="0.3">
      <c r="B338" s="56"/>
      <c r="F338" s="56"/>
      <c r="J338" s="56"/>
      <c r="N338" s="56"/>
      <c r="R338" s="56"/>
    </row>
    <row r="339" spans="2:18" customFormat="1" ht="27.45" customHeight="1" x14ac:dyDescent="0.3">
      <c r="B339" s="56"/>
      <c r="F339" s="56"/>
      <c r="J339" s="56"/>
      <c r="N339" s="56"/>
      <c r="R339" s="56"/>
    </row>
    <row r="340" spans="2:18" customFormat="1" ht="27.45" customHeight="1" x14ac:dyDescent="0.3">
      <c r="B340" s="56"/>
      <c r="F340" s="56"/>
      <c r="J340" s="56"/>
      <c r="N340" s="56"/>
      <c r="R340" s="56"/>
    </row>
    <row r="341" spans="2:18" customFormat="1" ht="27.45" customHeight="1" x14ac:dyDescent="0.3">
      <c r="B341" s="56"/>
      <c r="F341" s="56"/>
      <c r="J341" s="56"/>
      <c r="N341" s="56"/>
      <c r="R341" s="56"/>
    </row>
    <row r="342" spans="2:18" customFormat="1" ht="27.45" customHeight="1" x14ac:dyDescent="0.3">
      <c r="B342" s="56"/>
      <c r="F342" s="56"/>
      <c r="J342" s="56"/>
      <c r="N342" s="56"/>
      <c r="R342" s="56"/>
    </row>
    <row r="343" spans="2:18" customFormat="1" ht="27.45" customHeight="1" x14ac:dyDescent="0.3">
      <c r="B343" s="56"/>
      <c r="F343" s="56"/>
      <c r="J343" s="56"/>
      <c r="N343" s="56"/>
      <c r="R343" s="56"/>
    </row>
    <row r="344" spans="2:18" customFormat="1" ht="27.45" customHeight="1" x14ac:dyDescent="0.3">
      <c r="B344" s="56"/>
      <c r="F344" s="56"/>
      <c r="J344" s="56"/>
      <c r="N344" s="56"/>
      <c r="R344" s="56"/>
    </row>
    <row r="345" spans="2:18" customFormat="1" ht="27.45" customHeight="1" x14ac:dyDescent="0.3">
      <c r="B345" s="56"/>
      <c r="F345" s="56"/>
      <c r="J345" s="56"/>
      <c r="N345" s="56"/>
      <c r="R345" s="56"/>
    </row>
    <row r="346" spans="2:18" customFormat="1" ht="27.45" customHeight="1" x14ac:dyDescent="0.3">
      <c r="B346" s="56"/>
      <c r="F346" s="56"/>
      <c r="J346" s="56"/>
      <c r="N346" s="56"/>
      <c r="R346" s="56"/>
    </row>
    <row r="347" spans="2:18" customFormat="1" ht="27.45" customHeight="1" x14ac:dyDescent="0.3">
      <c r="B347" s="56"/>
      <c r="F347" s="56"/>
      <c r="J347" s="56"/>
      <c r="N347" s="56"/>
      <c r="R347" s="56"/>
    </row>
    <row r="348" spans="2:18" customFormat="1" ht="27.45" customHeight="1" x14ac:dyDescent="0.3">
      <c r="B348" s="56"/>
      <c r="F348" s="56"/>
      <c r="J348" s="56"/>
      <c r="N348" s="56"/>
      <c r="R348" s="56"/>
    </row>
    <row r="349" spans="2:18" customFormat="1" ht="27.45" customHeight="1" x14ac:dyDescent="0.3">
      <c r="B349" s="56"/>
      <c r="F349" s="56"/>
      <c r="J349" s="56"/>
      <c r="N349" s="56"/>
      <c r="R349" s="56"/>
    </row>
    <row r="350" spans="2:18" customFormat="1" ht="27.45" customHeight="1" x14ac:dyDescent="0.3">
      <c r="B350" s="56"/>
      <c r="F350" s="56"/>
      <c r="J350" s="56"/>
      <c r="N350" s="56"/>
      <c r="R350" s="56"/>
    </row>
    <row r="351" spans="2:18" customFormat="1" ht="27.45" customHeight="1" x14ac:dyDescent="0.3">
      <c r="B351" s="56"/>
      <c r="F351" s="56"/>
      <c r="J351" s="56"/>
      <c r="N351" s="56"/>
      <c r="R351" s="56"/>
    </row>
    <row r="352" spans="2:18" customFormat="1" ht="27.45" customHeight="1" x14ac:dyDescent="0.3">
      <c r="B352" s="56"/>
      <c r="F352" s="56"/>
      <c r="J352" s="56"/>
      <c r="N352" s="56"/>
      <c r="R352" s="56"/>
    </row>
    <row r="353" spans="2:18" customFormat="1" ht="27.45" customHeight="1" x14ac:dyDescent="0.3">
      <c r="B353" s="56"/>
      <c r="F353" s="56"/>
      <c r="J353" s="56"/>
      <c r="N353" s="56"/>
      <c r="R353" s="56"/>
    </row>
    <row r="354" spans="2:18" customFormat="1" ht="27.45" customHeight="1" x14ac:dyDescent="0.3">
      <c r="B354" s="56"/>
      <c r="F354" s="56"/>
      <c r="J354" s="56"/>
      <c r="N354" s="56"/>
      <c r="R354" s="56"/>
    </row>
    <row r="355" spans="2:18" customFormat="1" ht="27.45" customHeight="1" x14ac:dyDescent="0.3">
      <c r="B355" s="56"/>
      <c r="F355" s="56"/>
      <c r="J355" s="56"/>
      <c r="N355" s="56"/>
      <c r="R355" s="56"/>
    </row>
    <row r="356" spans="2:18" customFormat="1" ht="27.45" customHeight="1" x14ac:dyDescent="0.3">
      <c r="B356" s="56"/>
      <c r="F356" s="56"/>
      <c r="J356" s="56"/>
      <c r="N356" s="56"/>
      <c r="R356" s="56"/>
    </row>
    <row r="357" spans="2:18" customFormat="1" ht="27.45" customHeight="1" x14ac:dyDescent="0.3">
      <c r="B357" s="56"/>
      <c r="F357" s="56"/>
      <c r="J357" s="56"/>
      <c r="N357" s="56"/>
      <c r="R357" s="56"/>
    </row>
    <row r="358" spans="2:18" customFormat="1" ht="27.45" customHeight="1" x14ac:dyDescent="0.3">
      <c r="B358" s="56"/>
      <c r="F358" s="56"/>
      <c r="J358" s="56"/>
      <c r="N358" s="56"/>
      <c r="R358" s="56"/>
    </row>
    <row r="359" spans="2:18" customFormat="1" ht="27.45" customHeight="1" x14ac:dyDescent="0.3">
      <c r="B359" s="56"/>
      <c r="F359" s="56"/>
      <c r="J359" s="56"/>
      <c r="N359" s="56"/>
      <c r="R359" s="56"/>
    </row>
    <row r="360" spans="2:18" customFormat="1" ht="27.45" customHeight="1" x14ac:dyDescent="0.3">
      <c r="B360" s="56"/>
      <c r="F360" s="56"/>
      <c r="J360" s="56"/>
      <c r="N360" s="56"/>
      <c r="R360" s="56"/>
    </row>
    <row r="361" spans="2:18" customFormat="1" ht="27.45" customHeight="1" x14ac:dyDescent="0.3">
      <c r="B361" s="56"/>
      <c r="F361" s="56"/>
      <c r="J361" s="56"/>
      <c r="N361" s="56"/>
      <c r="R361" s="56"/>
    </row>
    <row r="362" spans="2:18" customFormat="1" ht="27.45" customHeight="1" x14ac:dyDescent="0.3">
      <c r="B362" s="56"/>
      <c r="F362" s="56"/>
      <c r="J362" s="56"/>
      <c r="N362" s="56"/>
      <c r="R362" s="56"/>
    </row>
    <row r="363" spans="2:18" customFormat="1" ht="27.45" customHeight="1" x14ac:dyDescent="0.3">
      <c r="B363" s="56"/>
      <c r="F363" s="56"/>
      <c r="J363" s="56"/>
      <c r="N363" s="56"/>
      <c r="R363" s="56"/>
    </row>
    <row r="364" spans="2:18" customFormat="1" ht="27.45" customHeight="1" x14ac:dyDescent="0.3">
      <c r="B364" s="56"/>
      <c r="F364" s="56"/>
      <c r="J364" s="56"/>
      <c r="N364" s="56"/>
      <c r="R364" s="56"/>
    </row>
    <row r="365" spans="2:18" customFormat="1" ht="27.45" customHeight="1" x14ac:dyDescent="0.3">
      <c r="B365" s="56"/>
      <c r="F365" s="56"/>
      <c r="J365" s="56"/>
      <c r="N365" s="56"/>
      <c r="R365" s="56"/>
    </row>
    <row r="366" spans="2:18" customFormat="1" ht="27.45" customHeight="1" x14ac:dyDescent="0.3">
      <c r="B366" s="56"/>
      <c r="F366" s="56"/>
      <c r="J366" s="56"/>
      <c r="N366" s="56"/>
      <c r="R366" s="56"/>
    </row>
    <row r="367" spans="2:18" customFormat="1" ht="27.45" customHeight="1" x14ac:dyDescent="0.3">
      <c r="B367" s="56"/>
      <c r="F367" s="56"/>
      <c r="J367" s="56"/>
      <c r="N367" s="56"/>
      <c r="R367" s="56"/>
    </row>
    <row r="368" spans="2:18" customFormat="1" ht="27.45" customHeight="1" x14ac:dyDescent="0.3">
      <c r="B368" s="56"/>
      <c r="F368" s="56"/>
      <c r="J368" s="56"/>
      <c r="N368" s="56"/>
      <c r="R368" s="56"/>
    </row>
    <row r="369" spans="2:18" customFormat="1" ht="27.45" customHeight="1" x14ac:dyDescent="0.3">
      <c r="B369" s="56"/>
      <c r="F369" s="56"/>
      <c r="J369" s="56"/>
      <c r="N369" s="56"/>
      <c r="R369" s="56"/>
    </row>
    <row r="370" spans="2:18" customFormat="1" ht="27.45" customHeight="1" x14ac:dyDescent="0.3">
      <c r="B370" s="56"/>
      <c r="F370" s="56"/>
      <c r="J370" s="56"/>
      <c r="N370" s="56"/>
      <c r="R370" s="56"/>
    </row>
    <row r="371" spans="2:18" customFormat="1" ht="27.45" customHeight="1" x14ac:dyDescent="0.3">
      <c r="B371" s="56"/>
      <c r="F371" s="56"/>
      <c r="J371" s="56"/>
      <c r="N371" s="56"/>
      <c r="R371" s="56"/>
    </row>
    <row r="372" spans="2:18" customFormat="1" ht="27.45" customHeight="1" x14ac:dyDescent="0.3">
      <c r="B372" s="56"/>
      <c r="F372" s="56"/>
      <c r="J372" s="56"/>
      <c r="N372" s="56"/>
      <c r="R372" s="56"/>
    </row>
    <row r="373" spans="2:18" customFormat="1" ht="27.45" customHeight="1" x14ac:dyDescent="0.3">
      <c r="B373" s="56"/>
      <c r="F373" s="56"/>
      <c r="J373" s="56"/>
      <c r="N373" s="56"/>
      <c r="R373" s="56"/>
    </row>
    <row r="374" spans="2:18" customFormat="1" ht="27.45" customHeight="1" x14ac:dyDescent="0.3">
      <c r="B374" s="56"/>
      <c r="F374" s="56"/>
      <c r="J374" s="56"/>
      <c r="N374" s="56"/>
      <c r="R374" s="56"/>
    </row>
    <row r="375" spans="2:18" customFormat="1" ht="27.45" customHeight="1" x14ac:dyDescent="0.3">
      <c r="B375" s="56"/>
      <c r="F375" s="56"/>
      <c r="J375" s="56"/>
      <c r="N375" s="56"/>
      <c r="R375" s="56"/>
    </row>
    <row r="376" spans="2:18" customFormat="1" ht="27.45" customHeight="1" x14ac:dyDescent="0.3">
      <c r="B376" s="56"/>
      <c r="F376" s="56"/>
      <c r="J376" s="56"/>
      <c r="N376" s="56"/>
      <c r="R376" s="56"/>
    </row>
    <row r="377" spans="2:18" customFormat="1" ht="27.45" customHeight="1" x14ac:dyDescent="0.3">
      <c r="B377" s="56"/>
      <c r="F377" s="56"/>
      <c r="J377" s="56"/>
      <c r="N377" s="56"/>
      <c r="R377" s="56"/>
    </row>
    <row r="378" spans="2:18" customFormat="1" ht="27.45" customHeight="1" x14ac:dyDescent="0.3">
      <c r="B378" s="56"/>
      <c r="F378" s="56"/>
      <c r="J378" s="56"/>
      <c r="N378" s="56"/>
      <c r="R378" s="56"/>
    </row>
    <row r="379" spans="2:18" customFormat="1" ht="27.45" customHeight="1" x14ac:dyDescent="0.3">
      <c r="B379" s="56"/>
      <c r="F379" s="56"/>
      <c r="J379" s="56"/>
      <c r="N379" s="56"/>
      <c r="R379" s="56"/>
    </row>
    <row r="380" spans="2:18" customFormat="1" ht="27.45" customHeight="1" x14ac:dyDescent="0.3">
      <c r="B380" s="56"/>
      <c r="F380" s="56"/>
      <c r="J380" s="56"/>
      <c r="N380" s="56"/>
      <c r="R380" s="56"/>
    </row>
    <row r="381" spans="2:18" customFormat="1" ht="27.45" customHeight="1" x14ac:dyDescent="0.3">
      <c r="B381" s="56"/>
      <c r="F381" s="56"/>
      <c r="J381" s="56"/>
      <c r="N381" s="56"/>
      <c r="R381" s="56"/>
    </row>
    <row r="382" spans="2:18" customFormat="1" ht="27.45" customHeight="1" x14ac:dyDescent="0.3">
      <c r="B382" s="56"/>
      <c r="F382" s="56"/>
      <c r="J382" s="56"/>
      <c r="N382" s="56"/>
      <c r="R382" s="56"/>
    </row>
    <row r="383" spans="2:18" customFormat="1" ht="27.45" customHeight="1" x14ac:dyDescent="0.3">
      <c r="B383" s="56"/>
      <c r="F383" s="56"/>
      <c r="J383" s="56"/>
      <c r="N383" s="56"/>
      <c r="R383" s="56"/>
    </row>
    <row r="384" spans="2:18" customFormat="1" ht="27.45" customHeight="1" x14ac:dyDescent="0.3">
      <c r="B384" s="56"/>
      <c r="F384" s="56"/>
      <c r="J384" s="56"/>
      <c r="N384" s="56"/>
      <c r="R384" s="56"/>
    </row>
    <row r="385" spans="2:18" customFormat="1" ht="27.45" customHeight="1" x14ac:dyDescent="0.3">
      <c r="B385" s="56"/>
      <c r="F385" s="56"/>
      <c r="J385" s="56"/>
      <c r="N385" s="56"/>
      <c r="R385" s="56"/>
    </row>
    <row r="386" spans="2:18" customFormat="1" ht="27.45" customHeight="1" x14ac:dyDescent="0.3">
      <c r="B386" s="56"/>
      <c r="F386" s="56"/>
      <c r="J386" s="56"/>
      <c r="N386" s="56"/>
      <c r="R386" s="56"/>
    </row>
    <row r="387" spans="2:18" customFormat="1" ht="27.45" customHeight="1" x14ac:dyDescent="0.3">
      <c r="B387" s="56"/>
      <c r="F387" s="56"/>
      <c r="J387" s="56"/>
      <c r="N387" s="56"/>
      <c r="R387" s="56"/>
    </row>
    <row r="388" spans="2:18" customFormat="1" ht="27.45" customHeight="1" x14ac:dyDescent="0.3">
      <c r="B388" s="56"/>
      <c r="F388" s="56"/>
      <c r="J388" s="56"/>
      <c r="N388" s="56"/>
      <c r="R388" s="56"/>
    </row>
    <row r="389" spans="2:18" customFormat="1" ht="27.45" customHeight="1" x14ac:dyDescent="0.3">
      <c r="B389" s="56"/>
      <c r="F389" s="56"/>
      <c r="J389" s="56"/>
      <c r="N389" s="56"/>
      <c r="R389" s="56"/>
    </row>
    <row r="390" spans="2:18" customFormat="1" ht="27.45" customHeight="1" x14ac:dyDescent="0.3">
      <c r="B390" s="56"/>
      <c r="F390" s="56"/>
      <c r="J390" s="56"/>
      <c r="N390" s="56"/>
      <c r="R390" s="56"/>
    </row>
    <row r="391" spans="2:18" customFormat="1" ht="27.45" customHeight="1" x14ac:dyDescent="0.3">
      <c r="B391" s="56"/>
      <c r="F391" s="56"/>
      <c r="J391" s="56"/>
      <c r="N391" s="56"/>
      <c r="R391" s="56"/>
    </row>
    <row r="392" spans="2:18" customFormat="1" ht="27.45" customHeight="1" x14ac:dyDescent="0.3">
      <c r="B392" s="56"/>
      <c r="F392" s="56"/>
      <c r="J392" s="56"/>
      <c r="N392" s="56"/>
      <c r="R392" s="56"/>
    </row>
    <row r="393" spans="2:18" customFormat="1" ht="27.45" customHeight="1" x14ac:dyDescent="0.3">
      <c r="B393" s="56"/>
      <c r="F393" s="56"/>
      <c r="J393" s="56"/>
      <c r="N393" s="56"/>
      <c r="R393" s="56"/>
    </row>
    <row r="394" spans="2:18" customFormat="1" ht="27.45" customHeight="1" x14ac:dyDescent="0.3">
      <c r="B394" s="56"/>
      <c r="F394" s="56"/>
      <c r="J394" s="56"/>
      <c r="N394" s="56"/>
      <c r="R394" s="56"/>
    </row>
    <row r="395" spans="2:18" customFormat="1" ht="27.45" customHeight="1" x14ac:dyDescent="0.3">
      <c r="B395" s="56"/>
      <c r="F395" s="56"/>
      <c r="J395" s="56"/>
      <c r="N395" s="56"/>
      <c r="R395" s="56"/>
    </row>
    <row r="396" spans="2:18" customFormat="1" ht="27.45" customHeight="1" x14ac:dyDescent="0.3">
      <c r="B396" s="56"/>
      <c r="F396" s="56"/>
      <c r="J396" s="56"/>
      <c r="N396" s="56"/>
      <c r="R396" s="56"/>
    </row>
    <row r="397" spans="2:18" customFormat="1" ht="27.45" customHeight="1" x14ac:dyDescent="0.3">
      <c r="B397" s="56"/>
      <c r="F397" s="56"/>
      <c r="J397" s="56"/>
      <c r="N397" s="56"/>
      <c r="R397" s="56"/>
    </row>
    <row r="398" spans="2:18" customFormat="1" ht="27.45" customHeight="1" x14ac:dyDescent="0.3">
      <c r="B398" s="56"/>
      <c r="F398" s="56"/>
      <c r="J398" s="56"/>
      <c r="N398" s="56"/>
      <c r="R398" s="56"/>
    </row>
    <row r="399" spans="2:18" customFormat="1" ht="27.45" customHeight="1" x14ac:dyDescent="0.3">
      <c r="B399" s="56"/>
      <c r="F399" s="56"/>
      <c r="J399" s="56"/>
      <c r="N399" s="56"/>
      <c r="R399" s="56"/>
    </row>
    <row r="400" spans="2:18" customFormat="1" ht="27.45" customHeight="1" x14ac:dyDescent="0.3">
      <c r="B400" s="56"/>
      <c r="F400" s="56"/>
      <c r="J400" s="56"/>
      <c r="N400" s="56"/>
      <c r="R400" s="56"/>
    </row>
    <row r="401" spans="2:24" customFormat="1" ht="27.45" customHeight="1" x14ac:dyDescent="0.3">
      <c r="B401" s="56"/>
      <c r="F401" s="56"/>
      <c r="J401" s="56"/>
      <c r="N401" s="56"/>
      <c r="R401" s="56"/>
    </row>
    <row r="402" spans="2:24" customFormat="1" ht="27.45" customHeight="1" x14ac:dyDescent="0.3">
      <c r="B402" s="56"/>
      <c r="F402" s="56"/>
      <c r="J402" s="56"/>
      <c r="N402" s="56"/>
      <c r="R402" s="56"/>
    </row>
    <row r="403" spans="2:24" customFormat="1" ht="27.45" customHeight="1" x14ac:dyDescent="0.3">
      <c r="B403" s="56"/>
      <c r="F403" s="56"/>
      <c r="J403" s="56"/>
      <c r="N403" s="56"/>
      <c r="R403" s="56"/>
    </row>
    <row r="404" spans="2:24" customFormat="1" ht="27.45" customHeight="1" x14ac:dyDescent="0.3">
      <c r="B404" s="56"/>
      <c r="F404" s="56"/>
      <c r="J404" s="56"/>
      <c r="N404" s="56"/>
      <c r="R404" s="56"/>
    </row>
    <row r="405" spans="2:24" customFormat="1" ht="27.45" customHeight="1" x14ac:dyDescent="0.3">
      <c r="B405" s="56"/>
      <c r="F405" s="56"/>
      <c r="J405" s="56"/>
      <c r="N405" s="56"/>
      <c r="R405" s="56"/>
    </row>
    <row r="406" spans="2:24" customFormat="1" ht="27.45" customHeight="1" x14ac:dyDescent="0.3">
      <c r="B406" s="56"/>
      <c r="F406" s="56"/>
      <c r="J406" s="56"/>
      <c r="N406" s="56"/>
      <c r="R406" s="56"/>
    </row>
    <row r="407" spans="2:24" customFormat="1" ht="27.45" customHeight="1" x14ac:dyDescent="0.3">
      <c r="B407" s="56"/>
      <c r="F407" s="56"/>
      <c r="J407" s="56"/>
      <c r="N407" s="56"/>
      <c r="R407" s="56"/>
    </row>
    <row r="408" spans="2:24" customFormat="1" ht="27.45" customHeight="1" x14ac:dyDescent="0.3">
      <c r="B408" s="56"/>
      <c r="F408" s="56"/>
      <c r="J408" s="56"/>
      <c r="N408" s="56"/>
      <c r="R408" s="56"/>
    </row>
    <row r="409" spans="2:24" customFormat="1" ht="27.45" customHeight="1" x14ac:dyDescent="0.3">
      <c r="B409" s="56"/>
      <c r="F409" s="56"/>
      <c r="J409" s="56"/>
      <c r="N409" s="56"/>
      <c r="R409" s="56"/>
    </row>
    <row r="410" spans="2:24" customFormat="1" ht="27.45" customHeight="1" x14ac:dyDescent="0.3">
      <c r="B410" s="56"/>
      <c r="F410" s="56"/>
      <c r="J410" s="56"/>
      <c r="N410" s="56"/>
      <c r="R410" s="56"/>
    </row>
    <row r="411" spans="2:24" ht="27.45" customHeight="1" x14ac:dyDescent="0.3">
      <c r="R411" s="56"/>
      <c r="S411"/>
      <c r="T411"/>
      <c r="U411"/>
      <c r="V411"/>
      <c r="W411"/>
      <c r="X411"/>
    </row>
    <row r="412" spans="2:24" ht="27.45" customHeight="1" x14ac:dyDescent="0.3">
      <c r="R412" s="56"/>
      <c r="S412"/>
      <c r="T412"/>
      <c r="U412"/>
      <c r="V412"/>
      <c r="W412"/>
      <c r="X412"/>
    </row>
    <row r="413" spans="2:24" ht="27.45" customHeight="1" x14ac:dyDescent="0.3">
      <c r="R413" s="56"/>
      <c r="S413"/>
      <c r="T413"/>
      <c r="U413"/>
      <c r="V413"/>
      <c r="W413"/>
      <c r="X413"/>
    </row>
    <row r="414" spans="2:24" ht="27.45" customHeight="1" x14ac:dyDescent="0.3">
      <c r="R414" s="56"/>
      <c r="S414"/>
      <c r="T414"/>
      <c r="U414"/>
      <c r="V414"/>
      <c r="W414"/>
      <c r="X414"/>
    </row>
  </sheetData>
  <mergeCells count="20">
    <mergeCell ref="R1:U1"/>
    <mergeCell ref="R34:T34"/>
    <mergeCell ref="R52:T52"/>
    <mergeCell ref="R70:U70"/>
    <mergeCell ref="N1:Q1"/>
    <mergeCell ref="N34:P34"/>
    <mergeCell ref="N52:P52"/>
    <mergeCell ref="N70:Q70"/>
    <mergeCell ref="B52:E52"/>
    <mergeCell ref="F70:I70"/>
    <mergeCell ref="B34:D34"/>
    <mergeCell ref="B70:D70"/>
    <mergeCell ref="B1:E1"/>
    <mergeCell ref="J1:M1"/>
    <mergeCell ref="J34:L34"/>
    <mergeCell ref="J52:L52"/>
    <mergeCell ref="J70:M70"/>
    <mergeCell ref="F1:I1"/>
    <mergeCell ref="F34:H34"/>
    <mergeCell ref="F52:H52"/>
  </mergeCells>
  <phoneticPr fontId="15" type="noConversion"/>
  <pageMargins left="0.25" right="0.25" top="0.75" bottom="0.75" header="0.3" footer="0.3"/>
  <pageSetup paperSize="9" fitToWidth="0" orientation="landscape" r:id="rId1"/>
  <rowBreaks count="1" manualBreakCount="1">
    <brk id="52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1343-FD0F-4105-8BCE-EAAFEB4B40BB}">
  <dimension ref="A1:E31"/>
  <sheetViews>
    <sheetView showGridLines="0" topLeftCell="A16" workbookViewId="0">
      <selection activeCell="E3" sqref="E3:E5"/>
    </sheetView>
  </sheetViews>
  <sheetFormatPr defaultRowHeight="14.4" x14ac:dyDescent="0.3"/>
  <cols>
    <col min="1" max="1" width="24.109375" bestFit="1" customWidth="1"/>
    <col min="2" max="2" width="14.88671875" customWidth="1"/>
    <col min="3" max="3" width="20.5546875" bestFit="1" customWidth="1"/>
    <col min="4" max="4" width="8.88671875" style="289"/>
  </cols>
  <sheetData>
    <row r="1" spans="1:5" x14ac:dyDescent="0.3">
      <c r="B1" t="s">
        <v>325</v>
      </c>
      <c r="C1" s="290" t="s">
        <v>242</v>
      </c>
    </row>
    <row r="2" spans="1:5" x14ac:dyDescent="0.3">
      <c r="A2" t="s">
        <v>14</v>
      </c>
      <c r="B2" s="304">
        <f>'Areas Sintetico atualizado'!W3</f>
        <v>3358333.35</v>
      </c>
      <c r="C2" s="304">
        <f>'Areas Sintetico atualizado'!X4</f>
        <v>1865811.87</v>
      </c>
    </row>
    <row r="3" spans="1:5" x14ac:dyDescent="0.3">
      <c r="A3" t="s">
        <v>326</v>
      </c>
      <c r="B3" s="305">
        <f>'[1]Areas Sintetico atualizado'!AI7</f>
        <v>1806527.7499999995</v>
      </c>
      <c r="C3" s="305">
        <f>'Areas Sintetico atualizado'!X6</f>
        <v>1047438.1200000001</v>
      </c>
      <c r="D3" s="49">
        <f>C3/$C$2</f>
        <v>0.56138463734824462</v>
      </c>
      <c r="E3" s="49"/>
    </row>
    <row r="4" spans="1:5" x14ac:dyDescent="0.3">
      <c r="A4" t="s">
        <v>49</v>
      </c>
      <c r="B4" s="306">
        <f>'[1]Areas Sintetico atualizado'!AI11</f>
        <v>1228915.9292000001</v>
      </c>
      <c r="C4" s="306">
        <f>'Areas Sintetico atualizado'!X13</f>
        <v>512865.24</v>
      </c>
      <c r="D4" s="49">
        <f t="shared" ref="D4:D5" si="0">C4/$C$2</f>
        <v>0.2748751083891432</v>
      </c>
      <c r="E4" s="49"/>
    </row>
    <row r="5" spans="1:5" x14ac:dyDescent="0.3">
      <c r="A5" s="307" t="s">
        <v>65</v>
      </c>
      <c r="B5" s="308">
        <f>B2-B3-B4</f>
        <v>322889.67080000043</v>
      </c>
      <c r="C5" s="308">
        <f>C2-C3-C4</f>
        <v>305508.51</v>
      </c>
      <c r="D5" s="49">
        <f t="shared" si="0"/>
        <v>0.16374025426261224</v>
      </c>
      <c r="E5" s="49"/>
    </row>
    <row r="6" spans="1:5" x14ac:dyDescent="0.3">
      <c r="A6" t="s">
        <v>225</v>
      </c>
      <c r="B6" s="290">
        <f>B2*14.53%</f>
        <v>487965.83575499995</v>
      </c>
      <c r="C6" s="290">
        <f>'Areas Sintetico atualizado'!X28</f>
        <v>279871.78049999999</v>
      </c>
      <c r="D6" s="49"/>
    </row>
    <row r="7" spans="1:5" x14ac:dyDescent="0.3">
      <c r="A7" t="s">
        <v>68</v>
      </c>
      <c r="B7" s="290"/>
      <c r="C7" s="290">
        <f>'Areas Sintetico atualizado'!X29</f>
        <v>40585</v>
      </c>
      <c r="D7" s="49"/>
    </row>
    <row r="8" spans="1:5" x14ac:dyDescent="0.3">
      <c r="A8" s="307" t="s">
        <v>327</v>
      </c>
      <c r="B8" s="308">
        <f>B5-B6</f>
        <v>-165076.16495499952</v>
      </c>
      <c r="C8" s="308">
        <f>C5-C6-C7</f>
        <v>-14948.270499999984</v>
      </c>
      <c r="D8" s="49"/>
    </row>
    <row r="11" spans="1:5" x14ac:dyDescent="0.3">
      <c r="A11" t="s">
        <v>14</v>
      </c>
    </row>
    <row r="12" spans="1:5" x14ac:dyDescent="0.3">
      <c r="A12" t="s">
        <v>326</v>
      </c>
      <c r="C12" s="49">
        <f>D3</f>
        <v>0.56138463734824462</v>
      </c>
    </row>
    <row r="13" spans="1:5" x14ac:dyDescent="0.3">
      <c r="A13" t="s">
        <v>49</v>
      </c>
      <c r="C13" s="49">
        <f>D4</f>
        <v>0.2748751083891432</v>
      </c>
    </row>
    <row r="14" spans="1:5" x14ac:dyDescent="0.3">
      <c r="A14" s="307" t="s">
        <v>65</v>
      </c>
      <c r="B14" s="307"/>
      <c r="C14" s="49">
        <f>D5</f>
        <v>0.16374025426261224</v>
      </c>
    </row>
    <row r="15" spans="1:5" x14ac:dyDescent="0.3">
      <c r="A15" t="s">
        <v>225</v>
      </c>
    </row>
    <row r="16" spans="1:5" x14ac:dyDescent="0.3">
      <c r="A16" s="307" t="s">
        <v>327</v>
      </c>
      <c r="B16" s="307"/>
    </row>
    <row r="20" spans="1:3" x14ac:dyDescent="0.3">
      <c r="A20" t="str">
        <f>A2</f>
        <v>Recebimento</v>
      </c>
      <c r="B20" s="48">
        <f>C2</f>
        <v>1865811.87</v>
      </c>
    </row>
    <row r="21" spans="1:3" x14ac:dyDescent="0.3">
      <c r="A21" t="str">
        <f>'Areas Sintetico atualizado'!A14</f>
        <v>Ocupação</v>
      </c>
      <c r="B21" s="48">
        <f>'Areas Sintetico atualizado'!X14</f>
        <v>172052.00999999998</v>
      </c>
      <c r="C21" s="49">
        <f>B21/$B$20</f>
        <v>9.2212946421012951E-2</v>
      </c>
    </row>
    <row r="22" spans="1:3" x14ac:dyDescent="0.3">
      <c r="A22" t="str">
        <f>'Areas Sintetico atualizado'!A15</f>
        <v>Telecomunicações</v>
      </c>
      <c r="B22" s="48">
        <f>'Areas Sintetico atualizado'!X15</f>
        <v>4071.2999999999993</v>
      </c>
      <c r="C22" s="49">
        <f t="shared" ref="C22:C30" si="1">B22/$B$20</f>
        <v>2.1820527918498017E-3</v>
      </c>
    </row>
    <row r="23" spans="1:3" x14ac:dyDescent="0.3">
      <c r="A23" t="str">
        <f>'Areas Sintetico atualizado'!A16</f>
        <v>Despesas Gerais</v>
      </c>
      <c r="B23" s="48">
        <f>'Areas Sintetico atualizado'!X16</f>
        <v>30500.48</v>
      </c>
      <c r="C23" s="49">
        <f t="shared" si="1"/>
        <v>1.6347028599405362E-2</v>
      </c>
    </row>
    <row r="24" spans="1:3" x14ac:dyDescent="0.3">
      <c r="A24" t="str">
        <f>'Areas Sintetico atualizado'!A17</f>
        <v>Consultoria</v>
      </c>
      <c r="B24" s="48">
        <f>'Areas Sintetico atualizado'!X17</f>
        <v>120094.62</v>
      </c>
      <c r="C24" s="49">
        <f t="shared" si="1"/>
        <v>6.4365878431248261E-2</v>
      </c>
    </row>
    <row r="25" spans="1:3" x14ac:dyDescent="0.3">
      <c r="A25" t="str">
        <f>'Areas Sintetico atualizado'!A18</f>
        <v>Salários Administração</v>
      </c>
      <c r="B25" s="48">
        <f>'Areas Sintetico atualizado'!X18</f>
        <v>43770.759999999995</v>
      </c>
      <c r="C25" s="49">
        <f t="shared" si="1"/>
        <v>2.3459364099768534E-2</v>
      </c>
    </row>
    <row r="26" spans="1:3" x14ac:dyDescent="0.3">
      <c r="A26" t="str">
        <f>'Areas Sintetico atualizado'!A19</f>
        <v xml:space="preserve">Administrativas </v>
      </c>
      <c r="B26" s="48">
        <f>'Areas Sintetico atualizado'!X19</f>
        <v>28428.880000000001</v>
      </c>
      <c r="C26" s="49">
        <f t="shared" si="1"/>
        <v>1.5236734451689387E-2</v>
      </c>
    </row>
    <row r="27" spans="1:3" x14ac:dyDescent="0.3">
      <c r="A27" t="str">
        <f>'Areas Sintetico atualizado'!A21</f>
        <v>Investimentos em Prospecção</v>
      </c>
      <c r="B27" s="48">
        <f>'Areas Sintetico atualizado'!X21</f>
        <v>6548.8200000000006</v>
      </c>
      <c r="C27" s="49">
        <f t="shared" si="1"/>
        <v>3.5099037074943682E-3</v>
      </c>
    </row>
    <row r="28" spans="1:3" x14ac:dyDescent="0.3">
      <c r="A28" t="str">
        <f>'Areas Sintetico atualizado'!A22</f>
        <v>Endomarketing</v>
      </c>
      <c r="B28" s="48">
        <f>'Areas Sintetico atualizado'!X22</f>
        <v>547.94000000000005</v>
      </c>
      <c r="C28" s="49">
        <f t="shared" si="1"/>
        <v>2.9367376679836433E-4</v>
      </c>
    </row>
    <row r="29" spans="1:3" x14ac:dyDescent="0.3">
      <c r="A29" t="str">
        <f>'Areas Sintetico atualizado'!A23</f>
        <v>Gestão do Conhecimento</v>
      </c>
      <c r="B29" s="48">
        <f>'Areas Sintetico atualizado'!X23</f>
        <v>4836.8600000000006</v>
      </c>
      <c r="C29" s="49">
        <f t="shared" si="1"/>
        <v>2.5923621120493784E-3</v>
      </c>
    </row>
    <row r="30" spans="1:3" x14ac:dyDescent="0.3">
      <c r="A30" t="str">
        <f>'Areas Sintetico atualizado'!A24</f>
        <v xml:space="preserve">Informática </v>
      </c>
      <c r="B30" s="48">
        <f>'Areas Sintetico atualizado'!X24</f>
        <v>102013.57</v>
      </c>
      <c r="C30" s="49">
        <f t="shared" si="1"/>
        <v>5.4675164007826793E-2</v>
      </c>
    </row>
    <row r="31" spans="1:3" x14ac:dyDescent="0.3">
      <c r="A31" t="str">
        <f>'Areas Sintetico atualizado'!A25</f>
        <v>Resultado Bruto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FDBF-C525-49F5-A919-69E09FAB356B}">
  <dimension ref="A1"/>
  <sheetViews>
    <sheetView workbookViewId="0">
      <selection activeCell="D16" sqref="D16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70729-A5C7-4629-91B2-85A248457CFD}">
  <dimension ref="A1:D50"/>
  <sheetViews>
    <sheetView showGridLines="0" topLeftCell="A10" workbookViewId="0">
      <selection activeCell="F30" sqref="F30"/>
    </sheetView>
  </sheetViews>
  <sheetFormatPr defaultRowHeight="14.4" x14ac:dyDescent="0.3"/>
  <cols>
    <col min="1" max="1" width="24.44140625" customWidth="1"/>
    <col min="2" max="2" width="13.109375" bestFit="1" customWidth="1"/>
  </cols>
  <sheetData>
    <row r="1" spans="1:2" x14ac:dyDescent="0.3">
      <c r="B1" t="s">
        <v>325</v>
      </c>
    </row>
    <row r="2" spans="1:2" x14ac:dyDescent="0.3">
      <c r="A2" t="s">
        <v>14</v>
      </c>
      <c r="B2" s="304">
        <f>'Areas Sintetico atualizado'!W3</f>
        <v>3358333.35</v>
      </c>
    </row>
    <row r="3" spans="1:2" x14ac:dyDescent="0.3">
      <c r="A3" t="s">
        <v>326</v>
      </c>
      <c r="B3" s="305">
        <f>'[1]Areas Sintetico atualizado'!AI7</f>
        <v>1806527.7499999995</v>
      </c>
    </row>
    <row r="4" spans="1:2" x14ac:dyDescent="0.3">
      <c r="A4" t="s">
        <v>49</v>
      </c>
      <c r="B4" s="306">
        <f>'[1]Areas Sintetico atualizado'!AI11</f>
        <v>1228915.9292000001</v>
      </c>
    </row>
    <row r="5" spans="1:2" x14ac:dyDescent="0.3">
      <c r="A5" s="307" t="s">
        <v>65</v>
      </c>
      <c r="B5" s="308">
        <f>B2-B3-B4</f>
        <v>322889.67080000043</v>
      </c>
    </row>
    <row r="6" spans="1:2" x14ac:dyDescent="0.3">
      <c r="A6" t="s">
        <v>225</v>
      </c>
      <c r="B6" s="290">
        <f>B2*14.53%</f>
        <v>487965.83575499995</v>
      </c>
    </row>
    <row r="7" spans="1:2" x14ac:dyDescent="0.3">
      <c r="A7" t="s">
        <v>68</v>
      </c>
      <c r="B7" s="290"/>
    </row>
    <row r="8" spans="1:2" x14ac:dyDescent="0.3">
      <c r="A8" s="307" t="s">
        <v>327</v>
      </c>
      <c r="B8" s="308">
        <f>B5-B6</f>
        <v>-165076.16495499952</v>
      </c>
    </row>
    <row r="11" spans="1:2" x14ac:dyDescent="0.3">
      <c r="A11" t="s">
        <v>14</v>
      </c>
    </row>
    <row r="12" spans="1:2" x14ac:dyDescent="0.3">
      <c r="A12" t="s">
        <v>326</v>
      </c>
    </row>
    <row r="13" spans="1:2" x14ac:dyDescent="0.3">
      <c r="A13" t="s">
        <v>49</v>
      </c>
    </row>
    <row r="14" spans="1:2" x14ac:dyDescent="0.3">
      <c r="A14" s="307" t="s">
        <v>65</v>
      </c>
      <c r="B14" s="307"/>
    </row>
    <row r="15" spans="1:2" x14ac:dyDescent="0.3">
      <c r="A15" t="s">
        <v>225</v>
      </c>
    </row>
    <row r="16" spans="1:2" x14ac:dyDescent="0.3">
      <c r="A16" s="307" t="s">
        <v>327</v>
      </c>
      <c r="B16" s="307"/>
    </row>
    <row r="20" spans="1:4" s="289" customFormat="1" x14ac:dyDescent="0.3">
      <c r="A20" t="str">
        <f>A2</f>
        <v>Recebimento</v>
      </c>
      <c r="B20" s="48">
        <f>'DRE 2026'!B3</f>
        <v>8060000.04</v>
      </c>
      <c r="C20"/>
      <c r="D20"/>
    </row>
    <row r="21" spans="1:4" s="289" customFormat="1" x14ac:dyDescent="0.3">
      <c r="A21" t="str">
        <f>'DRE 2026'!A5</f>
        <v>Custos Diretos</v>
      </c>
      <c r="B21" s="48">
        <f>'DRE 2026'!B5</f>
        <v>2438910.6477500005</v>
      </c>
      <c r="C21" s="513">
        <f>B21/$B$32</f>
        <v>0.63753302037546411</v>
      </c>
      <c r="D21"/>
    </row>
    <row r="22" spans="1:4" s="289" customFormat="1" x14ac:dyDescent="0.3">
      <c r="A22" t="str">
        <f>'DRE 2026'!A10</f>
        <v>Ocupação</v>
      </c>
      <c r="B22" s="48">
        <f>'DRE 2026'!B10</f>
        <v>410635.67999999993</v>
      </c>
      <c r="C22" s="513">
        <f t="shared" ref="C22:C31" si="0">B22/$B$32</f>
        <v>0.10734046595181686</v>
      </c>
      <c r="D22"/>
    </row>
    <row r="23" spans="1:4" s="289" customFormat="1" x14ac:dyDescent="0.3">
      <c r="A23" t="str">
        <f>'DRE 2026'!A11</f>
        <v>Telecomunicações</v>
      </c>
      <c r="B23" s="48">
        <f>'DRE 2026'!B11</f>
        <v>10127.401800000001</v>
      </c>
      <c r="C23" s="513">
        <f t="shared" si="0"/>
        <v>2.647310209607867E-3</v>
      </c>
      <c r="D23"/>
    </row>
    <row r="24" spans="1:4" s="289" customFormat="1" x14ac:dyDescent="0.3">
      <c r="A24" t="str">
        <f>'DRE 2026'!A12</f>
        <v>Despesas Gerais</v>
      </c>
      <c r="B24" s="48">
        <f>'DRE 2026'!B12</f>
        <v>74921.849999999977</v>
      </c>
      <c r="C24" s="49">
        <f t="shared" si="0"/>
        <v>1.9584626180004935E-2</v>
      </c>
      <c r="D24"/>
    </row>
    <row r="25" spans="1:4" s="289" customFormat="1" x14ac:dyDescent="0.3">
      <c r="A25" t="str">
        <f>'DRE 2026'!A13</f>
        <v>Consultoria</v>
      </c>
      <c r="B25" s="48">
        <f>'DRE 2026'!B13</f>
        <v>287104.88299999991</v>
      </c>
      <c r="C25" s="513">
        <f t="shared" si="0"/>
        <v>7.50494256082712E-2</v>
      </c>
      <c r="D25"/>
    </row>
    <row r="26" spans="1:4" s="289" customFormat="1" x14ac:dyDescent="0.3">
      <c r="A26" t="str">
        <f>'DRE 2026'!A14</f>
        <v>Salários Administração</v>
      </c>
      <c r="B26" s="48">
        <f>'DRE 2026'!B14</f>
        <v>94659.531000000017</v>
      </c>
      <c r="C26" s="513">
        <f t="shared" si="0"/>
        <v>2.4744070374791725E-2</v>
      </c>
      <c r="D26"/>
    </row>
    <row r="27" spans="1:4" s="289" customFormat="1" x14ac:dyDescent="0.3">
      <c r="A27" t="str">
        <f>'DRE 2026'!A15</f>
        <v xml:space="preserve">Administrativas </v>
      </c>
      <c r="B27" s="48">
        <f>'DRE 2026'!B15</f>
        <v>91084.048566666679</v>
      </c>
      <c r="C27" s="49">
        <f t="shared" si="0"/>
        <v>2.3809436661529067E-2</v>
      </c>
      <c r="D27"/>
    </row>
    <row r="28" spans="1:4" s="289" customFormat="1" x14ac:dyDescent="0.3">
      <c r="A28" t="s">
        <v>328</v>
      </c>
      <c r="B28" s="48">
        <f>'DRE 2026'!B17</f>
        <v>96000</v>
      </c>
      <c r="C28" s="49">
        <f t="shared" si="0"/>
        <v>2.5094469948092234E-2</v>
      </c>
      <c r="D28"/>
    </row>
    <row r="29" spans="1:4" s="289" customFormat="1" x14ac:dyDescent="0.3">
      <c r="A29" t="str">
        <f>'DRE 2026'!A18</f>
        <v>Endomarketing</v>
      </c>
      <c r="B29" s="48">
        <f>'DRE 2026'!B18</f>
        <v>1200</v>
      </c>
      <c r="C29" s="49">
        <f t="shared" si="0"/>
        <v>3.1368087435115294E-4</v>
      </c>
      <c r="D29"/>
    </row>
    <row r="30" spans="1:4" s="289" customFormat="1" x14ac:dyDescent="0.3">
      <c r="A30" t="str">
        <f>'DRE 2026'!A19</f>
        <v>Gestão do Conhecimento</v>
      </c>
      <c r="B30" s="48">
        <f>'DRE 2026'!B19</f>
        <v>2300</v>
      </c>
      <c r="C30" s="49">
        <f t="shared" si="0"/>
        <v>6.0122167583970981E-4</v>
      </c>
      <c r="D30"/>
    </row>
    <row r="31" spans="1:4" s="289" customFormat="1" x14ac:dyDescent="0.3">
      <c r="A31" t="str">
        <f>'DRE 2026'!A20</f>
        <v xml:space="preserve">Informática </v>
      </c>
      <c r="B31" s="48">
        <f>'DRE 2026'!B20</f>
        <v>318600</v>
      </c>
      <c r="C31" s="513">
        <f t="shared" si="0"/>
        <v>8.3282272140231109E-2</v>
      </c>
      <c r="D31"/>
    </row>
    <row r="32" spans="1:4" x14ac:dyDescent="0.3">
      <c r="B32" s="48">
        <f>SUM(B21:B31)</f>
        <v>3825544.0421166671</v>
      </c>
    </row>
    <row r="35" spans="1:3" x14ac:dyDescent="0.3">
      <c r="A35" t="str">
        <f>A21</f>
        <v>Custos Diretos</v>
      </c>
      <c r="B35" s="4">
        <f>C21</f>
        <v>0.63753302037546411</v>
      </c>
    </row>
    <row r="36" spans="1:3" x14ac:dyDescent="0.3">
      <c r="A36" t="str">
        <f>A22</f>
        <v>Ocupação</v>
      </c>
      <c r="B36" s="4">
        <f>C22</f>
        <v>0.10734046595181686</v>
      </c>
    </row>
    <row r="37" spans="1:3" x14ac:dyDescent="0.3">
      <c r="A37" t="str">
        <f>A25</f>
        <v>Consultoria</v>
      </c>
      <c r="B37" s="4">
        <f>C25</f>
        <v>7.50494256082712E-2</v>
      </c>
    </row>
    <row r="38" spans="1:3" x14ac:dyDescent="0.3">
      <c r="A38" t="str">
        <f>A27</f>
        <v xml:space="preserve">Administrativas </v>
      </c>
      <c r="B38" s="4">
        <f>C24+C29+C30+C27</f>
        <v>4.4308965391724867E-2</v>
      </c>
    </row>
    <row r="39" spans="1:3" x14ac:dyDescent="0.3">
      <c r="A39" t="s">
        <v>329</v>
      </c>
      <c r="B39" s="4">
        <f>C26</f>
        <v>2.4744070374791725E-2</v>
      </c>
    </row>
    <row r="40" spans="1:3" x14ac:dyDescent="0.3">
      <c r="A40" t="s">
        <v>330</v>
      </c>
      <c r="B40" s="4">
        <f>C31+C23</f>
        <v>8.5929582349838982E-2</v>
      </c>
    </row>
    <row r="41" spans="1:3" x14ac:dyDescent="0.3">
      <c r="A41" t="str">
        <f>A28</f>
        <v>Prospecção</v>
      </c>
      <c r="B41" s="4">
        <f>C28</f>
        <v>2.5094469948092234E-2</v>
      </c>
    </row>
    <row r="43" spans="1:3" x14ac:dyDescent="0.3">
      <c r="C43" s="49"/>
    </row>
    <row r="44" spans="1:3" x14ac:dyDescent="0.3">
      <c r="C44" s="49"/>
    </row>
    <row r="45" spans="1:3" x14ac:dyDescent="0.3">
      <c r="C45" s="49"/>
    </row>
    <row r="48" spans="1:3" x14ac:dyDescent="0.3">
      <c r="C48" s="49"/>
    </row>
    <row r="49" spans="3:3" x14ac:dyDescent="0.3">
      <c r="C49" s="49"/>
    </row>
    <row r="50" spans="3:3" x14ac:dyDescent="0.3">
      <c r="C50" s="49"/>
    </row>
  </sheetData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C845-9261-4ABB-ADA3-B2CEA94CEDDB}">
  <dimension ref="A1:D18"/>
  <sheetViews>
    <sheetView showGridLines="0" workbookViewId="0">
      <selection activeCell="B14" sqref="B14:B18"/>
    </sheetView>
  </sheetViews>
  <sheetFormatPr defaultRowHeight="14.4" x14ac:dyDescent="0.3"/>
  <cols>
    <col min="1" max="1" width="17.5546875" bestFit="1" customWidth="1"/>
    <col min="2" max="2" width="13.44140625" customWidth="1"/>
    <col min="3" max="3" width="15.5546875" customWidth="1"/>
    <col min="4" max="4" width="8.88671875" style="289"/>
  </cols>
  <sheetData>
    <row r="1" spans="1:4" x14ac:dyDescent="0.3">
      <c r="B1" s="56" t="s">
        <v>47</v>
      </c>
      <c r="C1" s="302" t="s">
        <v>242</v>
      </c>
    </row>
    <row r="2" spans="1:4" x14ac:dyDescent="0.3">
      <c r="A2" t="s">
        <v>14</v>
      </c>
      <c r="B2" s="290">
        <f>'Areas Sintetico atualizado'!W36</f>
        <v>1259375.0062500001</v>
      </c>
      <c r="C2" s="309">
        <f>'Areas Sintetico atualizado'!X36</f>
        <v>654441</v>
      </c>
    </row>
    <row r="3" spans="1:4" x14ac:dyDescent="0.3">
      <c r="A3" t="s">
        <v>326</v>
      </c>
      <c r="B3" s="290">
        <f>'Areas Sintetico atualizado'!W39</f>
        <v>374870.32500000001</v>
      </c>
      <c r="C3" s="309">
        <f>'Areas Sintetico atualizado'!X39</f>
        <v>372279.42499999993</v>
      </c>
      <c r="D3" s="49">
        <f>C3/$C$2</f>
        <v>0.56885101177951858</v>
      </c>
    </row>
    <row r="4" spans="1:4" x14ac:dyDescent="0.3">
      <c r="B4" s="290"/>
      <c r="C4" s="309"/>
      <c r="D4" s="49"/>
    </row>
    <row r="5" spans="1:4" x14ac:dyDescent="0.3">
      <c r="A5" t="s">
        <v>319</v>
      </c>
      <c r="B5" s="290">
        <f>'Areas Sintetico atualizado'!W41</f>
        <v>23746.449999999997</v>
      </c>
      <c r="C5" s="309">
        <f>'Areas Sintetico atualizado'!X41</f>
        <v>11996.265000000001</v>
      </c>
      <c r="D5" s="49">
        <f>C5/$C$2</f>
        <v>1.8330552333976631E-2</v>
      </c>
    </row>
    <row r="6" spans="1:4" x14ac:dyDescent="0.3">
      <c r="A6" t="s">
        <v>331</v>
      </c>
      <c r="B6" s="290">
        <f>'Areas Sintetico atualizado'!W42</f>
        <v>183816.0519751707</v>
      </c>
      <c r="C6" s="309">
        <f>'Areas Sintetico atualizado'!X42</f>
        <v>170869.75778144351</v>
      </c>
      <c r="D6" s="49">
        <f>C6/$C$2</f>
        <v>0.261092684873722</v>
      </c>
    </row>
    <row r="7" spans="1:4" x14ac:dyDescent="0.3">
      <c r="A7" t="s">
        <v>65</v>
      </c>
      <c r="B7" s="309">
        <f>B2-B3-B5-B6</f>
        <v>676942.17927482945</v>
      </c>
      <c r="C7" s="309">
        <f>C2-C3-C5-C6-C4</f>
        <v>99295.55221855655</v>
      </c>
      <c r="D7" s="49">
        <f>C7/$C$2</f>
        <v>0.15172575101278274</v>
      </c>
    </row>
    <row r="10" spans="1:4" x14ac:dyDescent="0.3">
      <c r="A10" s="244"/>
      <c r="B10" s="244"/>
      <c r="C10" s="244"/>
    </row>
    <row r="11" spans="1:4" x14ac:dyDescent="0.3">
      <c r="A11" s="244"/>
      <c r="B11" s="244"/>
      <c r="C11" s="310"/>
    </row>
    <row r="12" spans="1:4" x14ac:dyDescent="0.3">
      <c r="A12" s="244"/>
      <c r="B12" s="244"/>
      <c r="C12" s="310"/>
    </row>
    <row r="13" spans="1:4" x14ac:dyDescent="0.3">
      <c r="A13" t="s">
        <v>14</v>
      </c>
      <c r="B13" s="244"/>
      <c r="C13" s="310"/>
    </row>
    <row r="14" spans="1:4" x14ac:dyDescent="0.3">
      <c r="A14" t="s">
        <v>326</v>
      </c>
      <c r="B14" s="311">
        <f>D3</f>
        <v>0.56885101177951858</v>
      </c>
      <c r="C14" s="312"/>
    </row>
    <row r="15" spans="1:4" x14ac:dyDescent="0.3">
      <c r="B15" s="311"/>
      <c r="C15" s="312"/>
    </row>
    <row r="16" spans="1:4" x14ac:dyDescent="0.3">
      <c r="A16" t="s">
        <v>319</v>
      </c>
      <c r="B16" s="311">
        <f>D5</f>
        <v>1.8330552333976631E-2</v>
      </c>
      <c r="C16" s="312"/>
    </row>
    <row r="17" spans="1:3" x14ac:dyDescent="0.3">
      <c r="A17" t="s">
        <v>331</v>
      </c>
      <c r="B17" s="311">
        <f>D6</f>
        <v>0.261092684873722</v>
      </c>
      <c r="C17" s="313"/>
    </row>
    <row r="18" spans="1:3" x14ac:dyDescent="0.3">
      <c r="A18" t="str">
        <f>A7</f>
        <v>Resultado Bruto</v>
      </c>
      <c r="B18" s="311">
        <f>D7</f>
        <v>0.15172575101278274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17CA-7A4A-417E-B93F-AD901B1DBAB5}">
  <dimension ref="A1:D18"/>
  <sheetViews>
    <sheetView showGridLines="0" workbookViewId="0">
      <selection activeCell="A14" sqref="A14:B18"/>
    </sheetView>
  </sheetViews>
  <sheetFormatPr defaultRowHeight="14.4" x14ac:dyDescent="0.3"/>
  <cols>
    <col min="1" max="1" width="31.88671875" bestFit="1" customWidth="1"/>
    <col min="2" max="2" width="13.44140625" customWidth="1"/>
    <col min="3" max="3" width="15.5546875" customWidth="1"/>
    <col min="4" max="4" width="8.88671875" style="289"/>
  </cols>
  <sheetData>
    <row r="1" spans="1:4" x14ac:dyDescent="0.3">
      <c r="B1" s="56" t="s">
        <v>47</v>
      </c>
      <c r="C1" s="302" t="s">
        <v>242</v>
      </c>
    </row>
    <row r="2" spans="1:4" x14ac:dyDescent="0.3">
      <c r="A2" t="s">
        <v>14</v>
      </c>
      <c r="B2" s="290">
        <f>'Areas Sintetico atualizado'!W54</f>
        <v>1259375.0062500001</v>
      </c>
      <c r="C2" s="309">
        <f>'Areas Sintetico atualizado'!X54</f>
        <v>852201</v>
      </c>
    </row>
    <row r="3" spans="1:4" x14ac:dyDescent="0.3">
      <c r="A3" t="s">
        <v>326</v>
      </c>
      <c r="B3" s="290">
        <f>'Areas Sintetico atualizado'!W57</f>
        <v>379995.82500000013</v>
      </c>
      <c r="C3" s="309">
        <f>'Areas Sintetico atualizado'!X57</f>
        <v>389116.55499999993</v>
      </c>
      <c r="D3" s="49">
        <f>C3/$C$2</f>
        <v>0.45660185214520982</v>
      </c>
    </row>
    <row r="4" spans="1:4" x14ac:dyDescent="0.3">
      <c r="A4" t="str">
        <f>'Areas Sintetico atualizado'!A40</f>
        <v>Participação/Comissão - Contencioso</v>
      </c>
      <c r="B4" s="290"/>
      <c r="C4" s="309">
        <f>'Areas Sintetico atualizado'!X10</f>
        <v>3628.06</v>
      </c>
      <c r="D4" s="49">
        <f>C4/$C$2</f>
        <v>4.2572820261886574E-3</v>
      </c>
    </row>
    <row r="5" spans="1:4" x14ac:dyDescent="0.3">
      <c r="A5" t="s">
        <v>319</v>
      </c>
      <c r="B5" s="290">
        <f>'Areas Sintetico atualizado'!W59</f>
        <v>29066.449999999997</v>
      </c>
      <c r="C5" s="309">
        <f>'Areas Sintetico atualizado'!X59</f>
        <v>11726.605000000003</v>
      </c>
      <c r="D5" s="49">
        <f>C5/$C$2</f>
        <v>1.3760374606460216E-2</v>
      </c>
    </row>
    <row r="6" spans="1:4" x14ac:dyDescent="0.3">
      <c r="A6" t="s">
        <v>331</v>
      </c>
      <c r="B6" s="290">
        <f>'Areas Sintetico atualizado'!W60</f>
        <v>186367.99813675924</v>
      </c>
      <c r="C6" s="309">
        <f>'Areas Sintetico atualizado'!X60</f>
        <v>178701.29033245437</v>
      </c>
      <c r="D6" s="49">
        <f>C6/$C$2</f>
        <v>0.20969382848935214</v>
      </c>
    </row>
    <row r="7" spans="1:4" x14ac:dyDescent="0.3">
      <c r="A7" t="s">
        <v>65</v>
      </c>
      <c r="B7" s="309">
        <f>B2-B3-B5-B6</f>
        <v>663944.73311324068</v>
      </c>
      <c r="C7" s="309">
        <f>C2-C3-C5-C6-C4</f>
        <v>269028.48966754571</v>
      </c>
      <c r="D7" s="49">
        <f t="shared" ref="D7" si="0">C7/$C$2</f>
        <v>0.31568666273278922</v>
      </c>
    </row>
    <row r="10" spans="1:4" x14ac:dyDescent="0.3">
      <c r="A10" s="244"/>
      <c r="B10" s="244"/>
      <c r="C10" s="244"/>
    </row>
    <row r="11" spans="1:4" x14ac:dyDescent="0.3">
      <c r="A11" s="244"/>
      <c r="B11" s="244"/>
      <c r="C11" s="310"/>
    </row>
    <row r="12" spans="1:4" x14ac:dyDescent="0.3">
      <c r="A12" s="244"/>
      <c r="B12" s="244"/>
      <c r="C12" s="310"/>
    </row>
    <row r="13" spans="1:4" x14ac:dyDescent="0.3">
      <c r="A13" t="s">
        <v>14</v>
      </c>
      <c r="B13" s="244"/>
      <c r="C13" s="310"/>
    </row>
    <row r="14" spans="1:4" x14ac:dyDescent="0.3">
      <c r="A14" t="s">
        <v>326</v>
      </c>
      <c r="B14" s="311">
        <f>D3</f>
        <v>0.45660185214520982</v>
      </c>
      <c r="C14" s="312"/>
    </row>
    <row r="15" spans="1:4" x14ac:dyDescent="0.3">
      <c r="A15" t="str">
        <f>A4</f>
        <v>Participação/Comissão - Contencioso</v>
      </c>
      <c r="B15" s="311">
        <f>D4</f>
        <v>4.2572820261886574E-3</v>
      </c>
      <c r="C15" s="312"/>
    </row>
    <row r="16" spans="1:4" x14ac:dyDescent="0.3">
      <c r="A16" t="s">
        <v>319</v>
      </c>
      <c r="B16" s="311">
        <f>D5</f>
        <v>1.3760374606460216E-2</v>
      </c>
      <c r="C16" s="312"/>
    </row>
    <row r="17" spans="1:3" x14ac:dyDescent="0.3">
      <c r="A17" t="s">
        <v>331</v>
      </c>
      <c r="B17" s="311">
        <f>D6</f>
        <v>0.20969382848935214</v>
      </c>
      <c r="C17" s="313"/>
    </row>
    <row r="18" spans="1:3" x14ac:dyDescent="0.3">
      <c r="A18" t="s">
        <v>65</v>
      </c>
      <c r="B18" s="311">
        <f t="shared" ref="B18" si="1">D7</f>
        <v>0.31568666273278922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F201-5D5D-4E0D-959C-762305AA06CD}">
  <dimension ref="A1:D17"/>
  <sheetViews>
    <sheetView showGridLines="0" workbookViewId="0">
      <selection activeCell="A14" sqref="A14:B17"/>
    </sheetView>
  </sheetViews>
  <sheetFormatPr defaultRowHeight="14.4" x14ac:dyDescent="0.3"/>
  <cols>
    <col min="1" max="1" width="17.5546875" bestFit="1" customWidth="1"/>
    <col min="2" max="2" width="13.44140625" customWidth="1"/>
    <col min="3" max="3" width="15.5546875" customWidth="1"/>
    <col min="4" max="4" width="8.88671875" style="289"/>
  </cols>
  <sheetData>
    <row r="1" spans="1:4" x14ac:dyDescent="0.3">
      <c r="B1" s="56" t="s">
        <v>47</v>
      </c>
      <c r="C1" s="302" t="s">
        <v>242</v>
      </c>
    </row>
    <row r="2" spans="1:4" x14ac:dyDescent="0.3">
      <c r="A2" t="s">
        <v>14</v>
      </c>
      <c r="B2" s="290">
        <f>'Areas Sintetico atualizado'!W72</f>
        <v>839583.33750000002</v>
      </c>
      <c r="C2" s="309">
        <f>'Areas Sintetico atualizado'!X72</f>
        <v>354455</v>
      </c>
    </row>
    <row r="3" spans="1:4" x14ac:dyDescent="0.3">
      <c r="A3" t="s">
        <v>326</v>
      </c>
      <c r="B3" s="290">
        <f>'Areas Sintetico atualizado'!W75</f>
        <v>274615.86000000004</v>
      </c>
      <c r="C3" s="309">
        <f>'Areas Sintetico atualizado'!X75</f>
        <v>282414.08000000002</v>
      </c>
      <c r="D3" s="49">
        <f>C3/$C$2</f>
        <v>0.79675580821260816</v>
      </c>
    </row>
    <row r="4" spans="1:4" x14ac:dyDescent="0.3">
      <c r="A4" t="str">
        <f>Econômico!A4</f>
        <v>Participação/Comissão - Contencioso</v>
      </c>
      <c r="B4" s="290"/>
      <c r="C4" s="309">
        <f>'Areas Sintetico atualizado'!X76</f>
        <v>0</v>
      </c>
      <c r="D4" s="49">
        <f>C4/$C$2</f>
        <v>0</v>
      </c>
    </row>
    <row r="5" spans="1:4" x14ac:dyDescent="0.3">
      <c r="A5" t="s">
        <v>319</v>
      </c>
      <c r="B5" s="290">
        <f>'Areas Sintetico atualizado'!W77</f>
        <v>22701.45</v>
      </c>
      <c r="C5" s="309">
        <f>'Areas Sintetico atualizado'!X77</f>
        <v>10346.039999999999</v>
      </c>
      <c r="D5" s="49">
        <f>C5/$C$2</f>
        <v>2.918858529291447E-2</v>
      </c>
    </row>
    <row r="6" spans="1:4" x14ac:dyDescent="0.3">
      <c r="A6" t="s">
        <v>331</v>
      </c>
      <c r="B6" s="290">
        <f>'Areas Sintetico atualizado'!W78</f>
        <v>127056.47008807001</v>
      </c>
      <c r="C6" s="309">
        <f>'Areas Sintetico atualizado'!X78</f>
        <v>129225.28188610209</v>
      </c>
      <c r="D6" s="49">
        <f>C6/$C$2</f>
        <v>0.36457457755174028</v>
      </c>
    </row>
    <row r="7" spans="1:4" x14ac:dyDescent="0.3">
      <c r="A7" t="s">
        <v>65</v>
      </c>
      <c r="B7" s="309">
        <f>B2-B3-B5-B6</f>
        <v>415209.55741193006</v>
      </c>
      <c r="C7" s="309">
        <f>C2-C3-C5-C6-C4</f>
        <v>-67530.401886102103</v>
      </c>
      <c r="D7" s="49">
        <f>C7/$C$2</f>
        <v>-0.19051897105726284</v>
      </c>
    </row>
    <row r="10" spans="1:4" x14ac:dyDescent="0.3">
      <c r="A10" s="244"/>
      <c r="B10" s="244"/>
      <c r="C10" s="244"/>
    </row>
    <row r="11" spans="1:4" x14ac:dyDescent="0.3">
      <c r="A11" s="244"/>
      <c r="B11" s="244"/>
      <c r="C11" s="310"/>
    </row>
    <row r="12" spans="1:4" x14ac:dyDescent="0.3">
      <c r="A12" s="244"/>
      <c r="B12" s="244"/>
      <c r="C12" s="310"/>
    </row>
    <row r="13" spans="1:4" x14ac:dyDescent="0.3">
      <c r="A13" t="s">
        <v>14</v>
      </c>
      <c r="B13" s="244"/>
      <c r="C13" s="310"/>
    </row>
    <row r="14" spans="1:4" x14ac:dyDescent="0.3">
      <c r="A14" t="s">
        <v>326</v>
      </c>
      <c r="B14" s="311">
        <f>D3</f>
        <v>0.79675580821260816</v>
      </c>
      <c r="C14" s="312"/>
    </row>
    <row r="15" spans="1:4" x14ac:dyDescent="0.3">
      <c r="A15" t="s">
        <v>319</v>
      </c>
      <c r="B15" s="311">
        <f>D5</f>
        <v>2.918858529291447E-2</v>
      </c>
      <c r="C15" s="312"/>
    </row>
    <row r="16" spans="1:4" x14ac:dyDescent="0.3">
      <c r="A16" t="s">
        <v>331</v>
      </c>
      <c r="B16" s="311">
        <f>D6</f>
        <v>0.36457457755174028</v>
      </c>
      <c r="C16" s="313"/>
    </row>
    <row r="17" spans="1:2" x14ac:dyDescent="0.3">
      <c r="A17" t="s">
        <v>65</v>
      </c>
      <c r="B17" s="311">
        <f t="shared" ref="B17" si="0">D7</f>
        <v>-0.19051897105726284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119D-EF07-4278-AB4E-90CF08323E07}">
  <sheetPr filterMode="1">
    <pageSetUpPr fitToPage="1"/>
  </sheetPr>
  <dimension ref="A1:P108"/>
  <sheetViews>
    <sheetView showGridLines="0" zoomScaleNormal="100" zoomScaleSheetLayoutView="100" workbookViewId="0">
      <selection activeCell="O2" sqref="O2:O32"/>
    </sheetView>
  </sheetViews>
  <sheetFormatPr defaultColWidth="8.88671875" defaultRowHeight="13.2" x14ac:dyDescent="0.3"/>
  <cols>
    <col min="1" max="1" width="6.33203125" style="529" bestFit="1" customWidth="1"/>
    <col min="2" max="2" width="7" style="529" bestFit="1" customWidth="1"/>
    <col min="3" max="4" width="35.5546875" style="529" bestFit="1" customWidth="1"/>
    <col min="5" max="5" width="7.5546875" style="529" hidden="1" customWidth="1"/>
    <col min="6" max="6" width="18.33203125" style="529" hidden="1" customWidth="1"/>
    <col min="7" max="7" width="17.33203125" style="529" hidden="1" customWidth="1"/>
    <col min="8" max="8" width="16" style="529" bestFit="1" customWidth="1"/>
    <col min="9" max="9" width="17" style="529" bestFit="1" customWidth="1"/>
    <col min="10" max="10" width="6.6640625" style="529" bestFit="1" customWidth="1"/>
    <col min="11" max="11" width="16" style="529" hidden="1" customWidth="1"/>
    <col min="12" max="12" width="14.6640625" style="529" hidden="1" customWidth="1"/>
    <col min="13" max="13" width="16.6640625" style="529" hidden="1" customWidth="1"/>
    <col min="14" max="14" width="13.44140625" style="529" customWidth="1"/>
    <col min="15" max="15" width="14.33203125" style="535" bestFit="1" customWidth="1"/>
    <col min="16" max="16" width="10.6640625" style="536" hidden="1" customWidth="1"/>
    <col min="17" max="16384" width="8.88671875" style="529"/>
  </cols>
  <sheetData>
    <row r="1" spans="1:16" ht="25.5" customHeight="1" x14ac:dyDescent="0.3">
      <c r="A1" s="526" t="s">
        <v>332</v>
      </c>
      <c r="B1" s="526" t="s">
        <v>333</v>
      </c>
      <c r="C1" s="526" t="s">
        <v>334</v>
      </c>
      <c r="D1" s="526" t="s">
        <v>335</v>
      </c>
      <c r="E1" s="526" t="s">
        <v>336</v>
      </c>
      <c r="F1" s="526" t="s">
        <v>337</v>
      </c>
      <c r="G1" s="526" t="s">
        <v>338</v>
      </c>
      <c r="H1" s="526" t="s">
        <v>339</v>
      </c>
      <c r="I1" s="526" t="s">
        <v>340</v>
      </c>
      <c r="J1" s="526" t="s">
        <v>341</v>
      </c>
      <c r="K1" s="526" t="s">
        <v>342</v>
      </c>
      <c r="L1" s="526" t="s">
        <v>343</v>
      </c>
      <c r="M1" s="526" t="s">
        <v>344</v>
      </c>
      <c r="N1" s="526" t="s">
        <v>345</v>
      </c>
      <c r="O1" s="527" t="s">
        <v>346</v>
      </c>
      <c r="P1" s="528" t="s">
        <v>347</v>
      </c>
    </row>
    <row r="2" spans="1:16" ht="25.5" customHeight="1" x14ac:dyDescent="0.3">
      <c r="A2" s="530" t="s">
        <v>348</v>
      </c>
      <c r="B2" s="531">
        <v>114</v>
      </c>
      <c r="C2" s="530" t="s">
        <v>349</v>
      </c>
      <c r="D2" s="530" t="s">
        <v>350</v>
      </c>
      <c r="E2" s="531">
        <v>3952</v>
      </c>
      <c r="F2" s="530" t="s">
        <v>351</v>
      </c>
      <c r="G2" s="532">
        <v>46003</v>
      </c>
      <c r="H2" s="532">
        <v>46034</v>
      </c>
      <c r="I2" s="532">
        <v>46027</v>
      </c>
      <c r="J2" s="530" t="s">
        <v>352</v>
      </c>
      <c r="K2" s="531">
        <v>6285.49</v>
      </c>
      <c r="L2" s="531">
        <v>0</v>
      </c>
      <c r="M2" s="531">
        <v>6285.49</v>
      </c>
      <c r="N2" s="531">
        <v>5898.93</v>
      </c>
      <c r="O2" s="531">
        <v>5898.93</v>
      </c>
      <c r="P2" s="531">
        <v>6285.49</v>
      </c>
    </row>
    <row r="3" spans="1:16" ht="25.5" customHeight="1" x14ac:dyDescent="0.3">
      <c r="A3" s="530" t="s">
        <v>353</v>
      </c>
      <c r="B3" s="531">
        <v>2</v>
      </c>
      <c r="C3" s="530" t="s">
        <v>354</v>
      </c>
      <c r="D3" s="530" t="s">
        <v>355</v>
      </c>
      <c r="E3" s="531">
        <v>3919</v>
      </c>
      <c r="F3" s="530" t="s">
        <v>356</v>
      </c>
      <c r="G3" s="532">
        <v>45982</v>
      </c>
      <c r="H3" s="532">
        <v>46027</v>
      </c>
      <c r="I3" s="532">
        <v>46027</v>
      </c>
      <c r="J3" s="530" t="s">
        <v>352</v>
      </c>
      <c r="K3" s="531">
        <v>1332.56</v>
      </c>
      <c r="L3" s="531">
        <v>0</v>
      </c>
      <c r="M3" s="531">
        <v>1332.56</v>
      </c>
      <c r="N3" s="531">
        <v>1250.6099999999999</v>
      </c>
      <c r="O3" s="531">
        <v>1250.6099999999999</v>
      </c>
      <c r="P3" s="531">
        <v>1332.56</v>
      </c>
    </row>
    <row r="4" spans="1:16" ht="25.5" customHeight="1" x14ac:dyDescent="0.3">
      <c r="A4" s="530" t="s">
        <v>357</v>
      </c>
      <c r="B4" s="531">
        <v>6</v>
      </c>
      <c r="C4" s="530" t="s">
        <v>358</v>
      </c>
      <c r="D4" s="530" t="s">
        <v>359</v>
      </c>
      <c r="E4" s="531">
        <v>3944</v>
      </c>
      <c r="F4" s="530"/>
      <c r="G4" s="532">
        <v>46002</v>
      </c>
      <c r="H4" s="532">
        <v>46034</v>
      </c>
      <c r="I4" s="532">
        <v>46029</v>
      </c>
      <c r="J4" s="530" t="s">
        <v>352</v>
      </c>
      <c r="K4" s="531">
        <v>0</v>
      </c>
      <c r="L4" s="531">
        <v>477.87</v>
      </c>
      <c r="M4" s="531">
        <v>477.87</v>
      </c>
      <c r="N4" s="531">
        <v>477.87</v>
      </c>
      <c r="O4" s="531">
        <v>477.87</v>
      </c>
      <c r="P4" s="531">
        <v>0</v>
      </c>
    </row>
    <row r="5" spans="1:16" ht="25.5" customHeight="1" x14ac:dyDescent="0.3">
      <c r="A5" s="530" t="s">
        <v>360</v>
      </c>
      <c r="B5" s="531">
        <v>139</v>
      </c>
      <c r="C5" s="530" t="s">
        <v>361</v>
      </c>
      <c r="D5" s="530" t="s">
        <v>362</v>
      </c>
      <c r="E5" s="531">
        <v>3932</v>
      </c>
      <c r="F5" s="530" t="s">
        <v>363</v>
      </c>
      <c r="G5" s="532">
        <v>45999</v>
      </c>
      <c r="H5" s="532">
        <v>46029</v>
      </c>
      <c r="I5" s="532">
        <v>46029</v>
      </c>
      <c r="J5" s="530" t="s">
        <v>352</v>
      </c>
      <c r="K5" s="531">
        <v>10000</v>
      </c>
      <c r="L5" s="531">
        <v>0</v>
      </c>
      <c r="M5" s="531">
        <v>10000</v>
      </c>
      <c r="N5" s="531">
        <v>9385</v>
      </c>
      <c r="O5" s="531">
        <v>9385</v>
      </c>
      <c r="P5" s="531">
        <v>10000</v>
      </c>
    </row>
    <row r="6" spans="1:16" ht="25.5" customHeight="1" x14ac:dyDescent="0.3">
      <c r="A6" s="530" t="s">
        <v>364</v>
      </c>
      <c r="B6" s="531">
        <v>132</v>
      </c>
      <c r="C6" s="530" t="s">
        <v>365</v>
      </c>
      <c r="D6" s="530" t="s">
        <v>366</v>
      </c>
      <c r="E6" s="531">
        <v>3929</v>
      </c>
      <c r="F6" s="530" t="s">
        <v>367</v>
      </c>
      <c r="G6" s="532">
        <v>45994</v>
      </c>
      <c r="H6" s="532">
        <v>46031</v>
      </c>
      <c r="I6" s="532">
        <v>46030</v>
      </c>
      <c r="J6" s="530" t="s">
        <v>352</v>
      </c>
      <c r="K6" s="531">
        <v>2318.1799999999998</v>
      </c>
      <c r="L6" s="531">
        <v>0</v>
      </c>
      <c r="M6" s="531">
        <v>2318.1799999999998</v>
      </c>
      <c r="N6" s="531">
        <v>2175.63</v>
      </c>
      <c r="O6" s="531">
        <v>2175.63</v>
      </c>
      <c r="P6" s="531">
        <v>2318.1799999999998</v>
      </c>
    </row>
    <row r="7" spans="1:16" ht="25.5" customHeight="1" x14ac:dyDescent="0.3">
      <c r="A7" s="530" t="s">
        <v>368</v>
      </c>
      <c r="B7" s="531">
        <v>6</v>
      </c>
      <c r="C7" s="530" t="s">
        <v>358</v>
      </c>
      <c r="D7" s="530" t="s">
        <v>369</v>
      </c>
      <c r="E7" s="531">
        <v>3933</v>
      </c>
      <c r="F7" s="530" t="s">
        <v>370</v>
      </c>
      <c r="G7" s="532">
        <v>46001</v>
      </c>
      <c r="H7" s="532">
        <v>46034</v>
      </c>
      <c r="I7" s="532">
        <v>46030</v>
      </c>
      <c r="J7" s="530" t="s">
        <v>352</v>
      </c>
      <c r="K7" s="531">
        <v>4068</v>
      </c>
      <c r="L7" s="531">
        <v>0</v>
      </c>
      <c r="M7" s="531">
        <v>4068</v>
      </c>
      <c r="N7" s="531">
        <v>3817.82</v>
      </c>
      <c r="O7" s="531">
        <v>3817.82</v>
      </c>
      <c r="P7" s="531">
        <v>4068</v>
      </c>
    </row>
    <row r="8" spans="1:16" ht="25.5" customHeight="1" x14ac:dyDescent="0.3">
      <c r="A8" s="530" t="s">
        <v>371</v>
      </c>
      <c r="B8" s="531">
        <v>7</v>
      </c>
      <c r="C8" s="530" t="s">
        <v>372</v>
      </c>
      <c r="D8" s="530" t="s">
        <v>373</v>
      </c>
      <c r="E8" s="531">
        <v>3945</v>
      </c>
      <c r="F8" s="530" t="s">
        <v>374</v>
      </c>
      <c r="G8" s="532">
        <v>46002</v>
      </c>
      <c r="H8" s="532">
        <v>46034</v>
      </c>
      <c r="I8" s="532">
        <v>46034</v>
      </c>
      <c r="J8" s="530" t="s">
        <v>352</v>
      </c>
      <c r="K8" s="531">
        <v>10064.34</v>
      </c>
      <c r="L8" s="531">
        <v>0</v>
      </c>
      <c r="M8" s="531">
        <v>10064.34</v>
      </c>
      <c r="N8" s="531">
        <v>9445.3799999999992</v>
      </c>
      <c r="O8" s="531">
        <v>9445.3799999999992</v>
      </c>
      <c r="P8" s="531">
        <v>10064.34</v>
      </c>
    </row>
    <row r="9" spans="1:16" ht="25.5" customHeight="1" x14ac:dyDescent="0.3">
      <c r="A9" s="530" t="s">
        <v>375</v>
      </c>
      <c r="B9" s="531">
        <v>7</v>
      </c>
      <c r="C9" s="530" t="s">
        <v>372</v>
      </c>
      <c r="D9" s="530" t="s">
        <v>376</v>
      </c>
      <c r="E9" s="531">
        <v>3946</v>
      </c>
      <c r="F9" s="530" t="s">
        <v>377</v>
      </c>
      <c r="G9" s="532">
        <v>46002</v>
      </c>
      <c r="H9" s="532">
        <v>46034</v>
      </c>
      <c r="I9" s="532">
        <v>46034</v>
      </c>
      <c r="J9" s="530" t="s">
        <v>352</v>
      </c>
      <c r="K9" s="531">
        <v>4860.5</v>
      </c>
      <c r="L9" s="531">
        <v>0</v>
      </c>
      <c r="M9" s="531">
        <v>4860.5</v>
      </c>
      <c r="N9" s="531">
        <v>4561.59</v>
      </c>
      <c r="O9" s="531">
        <v>4561.59</v>
      </c>
      <c r="P9" s="531">
        <v>4860.5</v>
      </c>
    </row>
    <row r="10" spans="1:16" ht="25.5" customHeight="1" x14ac:dyDescent="0.3">
      <c r="A10" s="530" t="s">
        <v>378</v>
      </c>
      <c r="B10" s="531">
        <v>115</v>
      </c>
      <c r="C10" s="530" t="s">
        <v>379</v>
      </c>
      <c r="D10" s="530" t="s">
        <v>380</v>
      </c>
      <c r="E10" s="531">
        <v>3923</v>
      </c>
      <c r="F10" s="530" t="s">
        <v>381</v>
      </c>
      <c r="G10" s="532">
        <v>45993</v>
      </c>
      <c r="H10" s="532">
        <v>46013</v>
      </c>
      <c r="I10" s="532">
        <v>46034</v>
      </c>
      <c r="J10" s="530" t="s">
        <v>352</v>
      </c>
      <c r="K10" s="531">
        <v>466.68</v>
      </c>
      <c r="L10" s="531">
        <v>0</v>
      </c>
      <c r="M10" s="531">
        <v>466.68</v>
      </c>
      <c r="N10" s="531">
        <v>466.68</v>
      </c>
      <c r="O10" s="531">
        <v>466.68</v>
      </c>
      <c r="P10" s="531">
        <v>466.68</v>
      </c>
    </row>
    <row r="11" spans="1:16" ht="25.5" customHeight="1" x14ac:dyDescent="0.3">
      <c r="A11" s="530" t="s">
        <v>382</v>
      </c>
      <c r="B11" s="531">
        <v>61</v>
      </c>
      <c r="C11" s="530" t="s">
        <v>383</v>
      </c>
      <c r="D11" s="530" t="s">
        <v>384</v>
      </c>
      <c r="E11" s="531">
        <v>3934</v>
      </c>
      <c r="F11" s="530" t="s">
        <v>385</v>
      </c>
      <c r="G11" s="532">
        <v>46002</v>
      </c>
      <c r="H11" s="532">
        <v>46034</v>
      </c>
      <c r="I11" s="532">
        <v>46034</v>
      </c>
      <c r="J11" s="530" t="s">
        <v>352</v>
      </c>
      <c r="K11" s="531">
        <v>15000</v>
      </c>
      <c r="L11" s="531">
        <v>0</v>
      </c>
      <c r="M11" s="531">
        <v>15000</v>
      </c>
      <c r="N11" s="531">
        <v>14077.5</v>
      </c>
      <c r="O11" s="531">
        <v>14077.5</v>
      </c>
      <c r="P11" s="531">
        <v>15000</v>
      </c>
    </row>
    <row r="12" spans="1:16" ht="25.5" customHeight="1" x14ac:dyDescent="0.3">
      <c r="A12" s="530" t="s">
        <v>386</v>
      </c>
      <c r="B12" s="531">
        <v>61</v>
      </c>
      <c r="C12" s="530" t="s">
        <v>387</v>
      </c>
      <c r="D12" s="530" t="s">
        <v>388</v>
      </c>
      <c r="E12" s="531">
        <v>3947</v>
      </c>
      <c r="F12" s="530" t="s">
        <v>389</v>
      </c>
      <c r="G12" s="532">
        <v>46003</v>
      </c>
      <c r="H12" s="532">
        <v>46034</v>
      </c>
      <c r="I12" s="532">
        <v>46034</v>
      </c>
      <c r="J12" s="530" t="s">
        <v>352</v>
      </c>
      <c r="K12" s="531">
        <v>23419.69</v>
      </c>
      <c r="L12" s="531">
        <v>0</v>
      </c>
      <c r="M12" s="531">
        <v>23419.69</v>
      </c>
      <c r="N12" s="531">
        <v>21979.4</v>
      </c>
      <c r="O12" s="531">
        <v>21979.4</v>
      </c>
      <c r="P12" s="531">
        <v>23419.69</v>
      </c>
    </row>
    <row r="13" spans="1:16" ht="25.5" customHeight="1" x14ac:dyDescent="0.3">
      <c r="A13" s="530" t="s">
        <v>390</v>
      </c>
      <c r="B13" s="531">
        <v>61</v>
      </c>
      <c r="C13" s="530" t="s">
        <v>387</v>
      </c>
      <c r="D13" s="530" t="s">
        <v>391</v>
      </c>
      <c r="E13" s="531">
        <v>3948</v>
      </c>
      <c r="F13" s="530" t="s">
        <v>392</v>
      </c>
      <c r="G13" s="532">
        <v>46003</v>
      </c>
      <c r="H13" s="532">
        <v>46034</v>
      </c>
      <c r="I13" s="532">
        <v>46034</v>
      </c>
      <c r="J13" s="530" t="s">
        <v>352</v>
      </c>
      <c r="K13" s="531">
        <v>24923.14</v>
      </c>
      <c r="L13" s="531">
        <v>0</v>
      </c>
      <c r="M13" s="531">
        <v>24923.14</v>
      </c>
      <c r="N13" s="531">
        <v>23390.37</v>
      </c>
      <c r="O13" s="531">
        <v>23390.37</v>
      </c>
      <c r="P13" s="531">
        <v>24923.14</v>
      </c>
    </row>
    <row r="14" spans="1:16" ht="25.5" customHeight="1" x14ac:dyDescent="0.3">
      <c r="A14" s="530" t="s">
        <v>393</v>
      </c>
      <c r="B14" s="531">
        <v>114</v>
      </c>
      <c r="C14" s="530" t="s">
        <v>394</v>
      </c>
      <c r="D14" s="530" t="s">
        <v>395</v>
      </c>
      <c r="E14" s="531">
        <v>3953</v>
      </c>
      <c r="F14" s="530" t="s">
        <v>396</v>
      </c>
      <c r="G14" s="532">
        <v>46003</v>
      </c>
      <c r="H14" s="532">
        <v>46037</v>
      </c>
      <c r="I14" s="532">
        <v>46036</v>
      </c>
      <c r="J14" s="530" t="s">
        <v>352</v>
      </c>
      <c r="K14" s="531">
        <v>6285.49</v>
      </c>
      <c r="L14" s="531">
        <v>0</v>
      </c>
      <c r="M14" s="531">
        <v>6285.49</v>
      </c>
      <c r="N14" s="531">
        <v>5898.94</v>
      </c>
      <c r="O14" s="531">
        <v>5898.94</v>
      </c>
      <c r="P14" s="531">
        <v>6285.49</v>
      </c>
    </row>
    <row r="15" spans="1:16" ht="25.5" customHeight="1" x14ac:dyDescent="0.3">
      <c r="A15" s="530" t="s">
        <v>397</v>
      </c>
      <c r="B15" s="531">
        <v>5</v>
      </c>
      <c r="C15" s="530" t="s">
        <v>398</v>
      </c>
      <c r="D15" s="530" t="s">
        <v>399</v>
      </c>
      <c r="E15" s="531">
        <v>3963</v>
      </c>
      <c r="F15" s="530" t="s">
        <v>400</v>
      </c>
      <c r="G15" s="532">
        <v>46021</v>
      </c>
      <c r="H15" s="532">
        <v>46031</v>
      </c>
      <c r="I15" s="532">
        <v>46036</v>
      </c>
      <c r="J15" s="530" t="s">
        <v>352</v>
      </c>
      <c r="K15" s="531">
        <v>4930</v>
      </c>
      <c r="L15" s="531">
        <v>0</v>
      </c>
      <c r="M15" s="531">
        <v>4930</v>
      </c>
      <c r="N15" s="531">
        <v>4626.8</v>
      </c>
      <c r="O15" s="531">
        <v>4626.8</v>
      </c>
      <c r="P15" s="531">
        <v>4930</v>
      </c>
    </row>
    <row r="16" spans="1:16" ht="25.5" customHeight="1" x14ac:dyDescent="0.3">
      <c r="A16" s="530" t="s">
        <v>401</v>
      </c>
      <c r="B16" s="531">
        <v>146</v>
      </c>
      <c r="C16" s="530" t="s">
        <v>402</v>
      </c>
      <c r="D16" s="530" t="s">
        <v>403</v>
      </c>
      <c r="E16" s="531">
        <v>4008</v>
      </c>
      <c r="F16" s="530" t="s">
        <v>404</v>
      </c>
      <c r="G16" s="532">
        <v>46037</v>
      </c>
      <c r="H16" s="532">
        <v>46056</v>
      </c>
      <c r="I16" s="532">
        <v>46037</v>
      </c>
      <c r="J16" s="530" t="s">
        <v>352</v>
      </c>
      <c r="K16" s="531">
        <v>18367.080000000002</v>
      </c>
      <c r="L16" s="531">
        <v>0</v>
      </c>
      <c r="M16" s="531">
        <v>18367.080000000002</v>
      </c>
      <c r="N16" s="531">
        <v>17237.5</v>
      </c>
      <c r="O16" s="531">
        <v>17237.5</v>
      </c>
      <c r="P16" s="531">
        <v>18367.080000000002</v>
      </c>
    </row>
    <row r="17" spans="1:16" ht="25.5" customHeight="1" x14ac:dyDescent="0.3">
      <c r="A17" s="530" t="s">
        <v>405</v>
      </c>
      <c r="B17" s="531">
        <v>61</v>
      </c>
      <c r="C17" s="530" t="s">
        <v>383</v>
      </c>
      <c r="D17" s="530" t="s">
        <v>406</v>
      </c>
      <c r="E17" s="531">
        <v>3936</v>
      </c>
      <c r="F17" s="530"/>
      <c r="G17" s="532">
        <v>46002</v>
      </c>
      <c r="H17" s="532">
        <v>46034</v>
      </c>
      <c r="I17" s="532">
        <v>46037</v>
      </c>
      <c r="J17" s="530" t="s">
        <v>352</v>
      </c>
      <c r="K17" s="531">
        <v>0</v>
      </c>
      <c r="L17" s="531">
        <v>16644.03</v>
      </c>
      <c r="M17" s="531">
        <v>16644.03</v>
      </c>
      <c r="N17" s="531">
        <v>16644.03</v>
      </c>
      <c r="O17" s="531">
        <v>16644.03</v>
      </c>
      <c r="P17" s="531">
        <v>0</v>
      </c>
    </row>
    <row r="18" spans="1:16" ht="25.5" customHeight="1" x14ac:dyDescent="0.3">
      <c r="A18" s="530" t="s">
        <v>407</v>
      </c>
      <c r="B18" s="531">
        <v>130</v>
      </c>
      <c r="C18" s="530" t="s">
        <v>408</v>
      </c>
      <c r="D18" s="530" t="s">
        <v>409</v>
      </c>
      <c r="E18" s="531">
        <v>3959</v>
      </c>
      <c r="F18" s="530" t="s">
        <v>410</v>
      </c>
      <c r="G18" s="532">
        <v>46009</v>
      </c>
      <c r="H18" s="532">
        <v>46037</v>
      </c>
      <c r="I18" s="532">
        <v>46037</v>
      </c>
      <c r="J18" s="530" t="s">
        <v>352</v>
      </c>
      <c r="K18" s="531">
        <v>19558.330000000002</v>
      </c>
      <c r="L18" s="531">
        <v>0</v>
      </c>
      <c r="M18" s="531">
        <v>19558.330000000002</v>
      </c>
      <c r="N18" s="531">
        <v>18355.52</v>
      </c>
      <c r="O18" s="531">
        <v>18355.52</v>
      </c>
      <c r="P18" s="531">
        <v>19558.330000000002</v>
      </c>
    </row>
    <row r="19" spans="1:16" ht="25.5" customHeight="1" x14ac:dyDescent="0.3">
      <c r="A19" s="530" t="s">
        <v>411</v>
      </c>
      <c r="B19" s="531">
        <v>130</v>
      </c>
      <c r="C19" s="530" t="s">
        <v>412</v>
      </c>
      <c r="D19" s="530" t="s">
        <v>413</v>
      </c>
      <c r="E19" s="531">
        <v>3958</v>
      </c>
      <c r="F19" s="530" t="s">
        <v>414</v>
      </c>
      <c r="G19" s="532">
        <v>46009</v>
      </c>
      <c r="H19" s="532">
        <v>46037</v>
      </c>
      <c r="I19" s="532">
        <v>46038</v>
      </c>
      <c r="J19" s="530" t="s">
        <v>352</v>
      </c>
      <c r="K19" s="531">
        <v>19558.330000000002</v>
      </c>
      <c r="L19" s="531">
        <v>0</v>
      </c>
      <c r="M19" s="531">
        <v>19558.330000000002</v>
      </c>
      <c r="N19" s="531">
        <v>18355.52</v>
      </c>
      <c r="O19" s="531">
        <v>18355.52</v>
      </c>
      <c r="P19" s="531">
        <v>19558.330000000002</v>
      </c>
    </row>
    <row r="20" spans="1:16" ht="25.5" customHeight="1" x14ac:dyDescent="0.3">
      <c r="A20" s="530" t="s">
        <v>415</v>
      </c>
      <c r="B20" s="531">
        <v>115</v>
      </c>
      <c r="C20" s="530" t="s">
        <v>379</v>
      </c>
      <c r="D20" s="530" t="s">
        <v>416</v>
      </c>
      <c r="E20" s="531">
        <v>3833</v>
      </c>
      <c r="F20" s="530" t="s">
        <v>417</v>
      </c>
      <c r="G20" s="532">
        <v>45931</v>
      </c>
      <c r="H20" s="532">
        <v>46046</v>
      </c>
      <c r="I20" s="532">
        <v>46041</v>
      </c>
      <c r="J20" s="530" t="s">
        <v>352</v>
      </c>
      <c r="K20" s="531">
        <v>555</v>
      </c>
      <c r="L20" s="531">
        <v>0</v>
      </c>
      <c r="M20" s="531">
        <v>3333.4</v>
      </c>
      <c r="N20" s="531">
        <v>555</v>
      </c>
      <c r="O20" s="531">
        <v>555</v>
      </c>
      <c r="P20" s="531">
        <v>555</v>
      </c>
    </row>
    <row r="21" spans="1:16" ht="25.5" customHeight="1" x14ac:dyDescent="0.3">
      <c r="A21" s="530" t="s">
        <v>418</v>
      </c>
      <c r="B21" s="531">
        <v>92</v>
      </c>
      <c r="C21" s="530" t="s">
        <v>419</v>
      </c>
      <c r="D21" s="530" t="s">
        <v>420</v>
      </c>
      <c r="E21" s="531">
        <v>3998</v>
      </c>
      <c r="F21" s="530" t="s">
        <v>421</v>
      </c>
      <c r="G21" s="532">
        <v>46041</v>
      </c>
      <c r="H21" s="532">
        <v>46051</v>
      </c>
      <c r="I21" s="532">
        <v>46042</v>
      </c>
      <c r="J21" s="530" t="s">
        <v>352</v>
      </c>
      <c r="K21" s="531">
        <v>13505</v>
      </c>
      <c r="L21" s="531">
        <v>0</v>
      </c>
      <c r="M21" s="531">
        <v>13505</v>
      </c>
      <c r="N21" s="531">
        <v>12674.45</v>
      </c>
      <c r="O21" s="531">
        <v>12674.45</v>
      </c>
      <c r="P21" s="531">
        <v>13505</v>
      </c>
    </row>
    <row r="22" spans="1:16" ht="25.5" customHeight="1" x14ac:dyDescent="0.3">
      <c r="A22" s="530" t="s">
        <v>422</v>
      </c>
      <c r="B22" s="531">
        <v>92</v>
      </c>
      <c r="C22" s="530" t="s">
        <v>419</v>
      </c>
      <c r="D22" s="530" t="s">
        <v>423</v>
      </c>
      <c r="E22" s="531">
        <v>3999</v>
      </c>
      <c r="F22" s="530" t="s">
        <v>424</v>
      </c>
      <c r="G22" s="532">
        <v>46041</v>
      </c>
      <c r="H22" s="532">
        <v>46051</v>
      </c>
      <c r="I22" s="532">
        <v>46042</v>
      </c>
      <c r="J22" s="530" t="s">
        <v>352</v>
      </c>
      <c r="K22" s="531">
        <v>185</v>
      </c>
      <c r="L22" s="531">
        <v>0</v>
      </c>
      <c r="M22" s="531">
        <v>185</v>
      </c>
      <c r="N22" s="531">
        <v>182.22</v>
      </c>
      <c r="O22" s="531">
        <v>182.22</v>
      </c>
      <c r="P22" s="531">
        <v>185</v>
      </c>
    </row>
    <row r="23" spans="1:16" ht="25.5" customHeight="1" x14ac:dyDescent="0.3">
      <c r="A23" s="530" t="s">
        <v>425</v>
      </c>
      <c r="B23" s="531">
        <v>101</v>
      </c>
      <c r="C23" s="530" t="s">
        <v>426</v>
      </c>
      <c r="D23" s="530" t="s">
        <v>427</v>
      </c>
      <c r="E23" s="531">
        <v>4000</v>
      </c>
      <c r="F23" s="530" t="s">
        <v>428</v>
      </c>
      <c r="G23" s="532">
        <v>46041</v>
      </c>
      <c r="H23" s="532">
        <v>46051</v>
      </c>
      <c r="I23" s="532">
        <v>46042</v>
      </c>
      <c r="J23" s="530" t="s">
        <v>352</v>
      </c>
      <c r="K23" s="531">
        <v>145</v>
      </c>
      <c r="L23" s="531">
        <v>0</v>
      </c>
      <c r="M23" s="531">
        <v>145</v>
      </c>
      <c r="N23" s="531">
        <v>145</v>
      </c>
      <c r="O23" s="531">
        <v>145</v>
      </c>
      <c r="P23" s="531">
        <v>145</v>
      </c>
    </row>
    <row r="24" spans="1:16" ht="25.5" customHeight="1" x14ac:dyDescent="0.3">
      <c r="A24" s="530" t="s">
        <v>429</v>
      </c>
      <c r="B24" s="531">
        <v>115</v>
      </c>
      <c r="C24" s="530" t="s">
        <v>430</v>
      </c>
      <c r="D24" s="530" t="s">
        <v>431</v>
      </c>
      <c r="E24" s="531">
        <v>3966</v>
      </c>
      <c r="F24" s="530" t="s">
        <v>432</v>
      </c>
      <c r="G24" s="532">
        <v>46027</v>
      </c>
      <c r="H24" s="532">
        <v>46042</v>
      </c>
      <c r="I24" s="532">
        <v>46042</v>
      </c>
      <c r="J24" s="530" t="s">
        <v>352</v>
      </c>
      <c r="K24" s="531">
        <v>466.66</v>
      </c>
      <c r="L24" s="531">
        <v>0</v>
      </c>
      <c r="M24" s="531">
        <v>466.66</v>
      </c>
      <c r="N24" s="531">
        <v>466.66</v>
      </c>
      <c r="O24" s="531">
        <v>466.66</v>
      </c>
      <c r="P24" s="531">
        <v>466.66</v>
      </c>
    </row>
    <row r="25" spans="1:16" ht="25.5" customHeight="1" x14ac:dyDescent="0.3">
      <c r="A25" s="530" t="s">
        <v>433</v>
      </c>
      <c r="B25" s="531">
        <v>68</v>
      </c>
      <c r="C25" s="530" t="s">
        <v>434</v>
      </c>
      <c r="D25" s="530" t="s">
        <v>435</v>
      </c>
      <c r="E25" s="531">
        <v>3997</v>
      </c>
      <c r="F25" s="530" t="s">
        <v>436</v>
      </c>
      <c r="G25" s="532">
        <v>46041</v>
      </c>
      <c r="H25" s="532">
        <v>46052</v>
      </c>
      <c r="I25" s="532">
        <v>46042</v>
      </c>
      <c r="J25" s="530" t="s">
        <v>352</v>
      </c>
      <c r="K25" s="531">
        <v>290</v>
      </c>
      <c r="L25" s="531">
        <v>0</v>
      </c>
      <c r="M25" s="531">
        <v>290</v>
      </c>
      <c r="N25" s="531">
        <v>272.17</v>
      </c>
      <c r="O25" s="531">
        <v>272.17</v>
      </c>
      <c r="P25" s="531">
        <v>290</v>
      </c>
    </row>
    <row r="26" spans="1:16" ht="25.5" customHeight="1" x14ac:dyDescent="0.3">
      <c r="A26" s="530" t="s">
        <v>437</v>
      </c>
      <c r="B26" s="531">
        <v>64</v>
      </c>
      <c r="C26" s="530" t="s">
        <v>434</v>
      </c>
      <c r="D26" s="530" t="s">
        <v>438</v>
      </c>
      <c r="E26" s="531">
        <v>3996</v>
      </c>
      <c r="F26" s="530" t="s">
        <v>439</v>
      </c>
      <c r="G26" s="532">
        <v>46041</v>
      </c>
      <c r="H26" s="532">
        <v>46052</v>
      </c>
      <c r="I26" s="532">
        <v>46042</v>
      </c>
      <c r="J26" s="530" t="s">
        <v>352</v>
      </c>
      <c r="K26" s="531">
        <v>870</v>
      </c>
      <c r="L26" s="531">
        <v>0</v>
      </c>
      <c r="M26" s="531">
        <v>870</v>
      </c>
      <c r="N26" s="531">
        <v>816.5</v>
      </c>
      <c r="O26" s="531">
        <v>816.5</v>
      </c>
      <c r="P26" s="531">
        <v>870</v>
      </c>
    </row>
    <row r="27" spans="1:16" ht="25.5" customHeight="1" x14ac:dyDescent="0.3">
      <c r="A27" s="530" t="s">
        <v>440</v>
      </c>
      <c r="B27" s="531">
        <v>28</v>
      </c>
      <c r="C27" s="530" t="s">
        <v>441</v>
      </c>
      <c r="D27" s="530" t="s">
        <v>442</v>
      </c>
      <c r="E27" s="531">
        <v>3995</v>
      </c>
      <c r="F27" s="530" t="s">
        <v>443</v>
      </c>
      <c r="G27" s="532">
        <v>46041</v>
      </c>
      <c r="H27" s="532">
        <v>46052</v>
      </c>
      <c r="I27" s="532">
        <v>46042</v>
      </c>
      <c r="J27" s="530" t="s">
        <v>352</v>
      </c>
      <c r="K27" s="531">
        <v>4440</v>
      </c>
      <c r="L27" s="531">
        <v>0</v>
      </c>
      <c r="M27" s="531">
        <v>4440</v>
      </c>
      <c r="N27" s="531">
        <v>4440</v>
      </c>
      <c r="O27" s="531">
        <v>4440</v>
      </c>
      <c r="P27" s="531">
        <v>4440</v>
      </c>
    </row>
    <row r="28" spans="1:16" ht="25.5" customHeight="1" x14ac:dyDescent="0.3">
      <c r="A28" s="530" t="s">
        <v>444</v>
      </c>
      <c r="B28" s="531">
        <v>28</v>
      </c>
      <c r="C28" s="530" t="s">
        <v>441</v>
      </c>
      <c r="D28" s="530" t="s">
        <v>445</v>
      </c>
      <c r="E28" s="531">
        <v>3994</v>
      </c>
      <c r="F28" s="530" t="s">
        <v>446</v>
      </c>
      <c r="G28" s="532">
        <v>46041</v>
      </c>
      <c r="H28" s="532">
        <v>46052</v>
      </c>
      <c r="I28" s="532">
        <v>46042</v>
      </c>
      <c r="J28" s="530" t="s">
        <v>352</v>
      </c>
      <c r="K28" s="531">
        <v>290</v>
      </c>
      <c r="L28" s="531">
        <v>0</v>
      </c>
      <c r="M28" s="531">
        <v>290</v>
      </c>
      <c r="N28" s="531">
        <v>290</v>
      </c>
      <c r="O28" s="531">
        <v>290</v>
      </c>
      <c r="P28" s="531">
        <v>290</v>
      </c>
    </row>
    <row r="29" spans="1:16" ht="25.5" customHeight="1" x14ac:dyDescent="0.3">
      <c r="A29" s="530" t="s">
        <v>447</v>
      </c>
      <c r="B29" s="531">
        <v>12</v>
      </c>
      <c r="C29" s="530" t="s">
        <v>448</v>
      </c>
      <c r="D29" s="530" t="s">
        <v>449</v>
      </c>
      <c r="E29" s="531">
        <v>3975</v>
      </c>
      <c r="F29" s="530" t="s">
        <v>450</v>
      </c>
      <c r="G29" s="532">
        <v>46029</v>
      </c>
      <c r="H29" s="532">
        <v>46062</v>
      </c>
      <c r="I29" s="532">
        <v>46048</v>
      </c>
      <c r="J29" s="530" t="s">
        <v>352</v>
      </c>
      <c r="K29" s="531">
        <v>15000</v>
      </c>
      <c r="L29" s="531">
        <v>0</v>
      </c>
      <c r="M29" s="531">
        <v>15000</v>
      </c>
      <c r="N29" s="531">
        <v>14077.5</v>
      </c>
      <c r="O29" s="531">
        <v>14077.5</v>
      </c>
      <c r="P29" s="531">
        <v>15000</v>
      </c>
    </row>
    <row r="30" spans="1:16" ht="25.5" customHeight="1" x14ac:dyDescent="0.3">
      <c r="A30" s="530" t="s">
        <v>451</v>
      </c>
      <c r="B30" s="531">
        <v>123</v>
      </c>
      <c r="C30" s="530" t="s">
        <v>452</v>
      </c>
      <c r="D30" s="530" t="s">
        <v>453</v>
      </c>
      <c r="E30" s="531">
        <v>3965</v>
      </c>
      <c r="F30" s="530" t="s">
        <v>454</v>
      </c>
      <c r="G30" s="532">
        <v>46027</v>
      </c>
      <c r="H30" s="532">
        <v>46048</v>
      </c>
      <c r="I30" s="532">
        <v>46048</v>
      </c>
      <c r="J30" s="530" t="s">
        <v>352</v>
      </c>
      <c r="K30" s="531">
        <v>1000</v>
      </c>
      <c r="L30" s="531">
        <v>0</v>
      </c>
      <c r="M30" s="531">
        <v>1000</v>
      </c>
      <c r="N30" s="531">
        <v>1000</v>
      </c>
      <c r="O30" s="531">
        <v>1000</v>
      </c>
      <c r="P30" s="531">
        <v>1000</v>
      </c>
    </row>
    <row r="31" spans="1:16" ht="25.5" customHeight="1" x14ac:dyDescent="0.3">
      <c r="A31" s="530" t="s">
        <v>455</v>
      </c>
      <c r="B31" s="531">
        <v>146</v>
      </c>
      <c r="C31" s="530" t="s">
        <v>402</v>
      </c>
      <c r="D31" s="530" t="s">
        <v>456</v>
      </c>
      <c r="E31" s="531">
        <v>3991</v>
      </c>
      <c r="F31" s="530" t="s">
        <v>457</v>
      </c>
      <c r="G31" s="532">
        <v>46036</v>
      </c>
      <c r="H31" s="532">
        <v>46049</v>
      </c>
      <c r="I31" s="532">
        <v>46049</v>
      </c>
      <c r="J31" s="530" t="s">
        <v>352</v>
      </c>
      <c r="K31" s="531">
        <v>17500</v>
      </c>
      <c r="L31" s="531">
        <v>0</v>
      </c>
      <c r="M31" s="531">
        <v>17500</v>
      </c>
      <c r="N31" s="531">
        <v>16423.75</v>
      </c>
      <c r="O31" s="531">
        <v>16423.75</v>
      </c>
      <c r="P31" s="531">
        <v>17500</v>
      </c>
    </row>
    <row r="32" spans="1:16" ht="25.5" customHeight="1" x14ac:dyDescent="0.3">
      <c r="A32" s="530" t="s">
        <v>458</v>
      </c>
      <c r="B32" s="531">
        <v>5</v>
      </c>
      <c r="C32" s="530" t="s">
        <v>398</v>
      </c>
      <c r="D32" s="530" t="s">
        <v>459</v>
      </c>
      <c r="E32" s="531">
        <v>3983</v>
      </c>
      <c r="F32" s="530" t="s">
        <v>460</v>
      </c>
      <c r="G32" s="532">
        <v>46031</v>
      </c>
      <c r="H32" s="532">
        <v>46041</v>
      </c>
      <c r="I32" s="532">
        <v>46052</v>
      </c>
      <c r="J32" s="530" t="s">
        <v>352</v>
      </c>
      <c r="K32" s="531">
        <v>7665</v>
      </c>
      <c r="L32" s="531">
        <v>0</v>
      </c>
      <c r="M32" s="531">
        <v>7665</v>
      </c>
      <c r="N32" s="531">
        <v>7193.6</v>
      </c>
      <c r="O32" s="531">
        <v>7193.6</v>
      </c>
      <c r="P32" s="531">
        <v>7665</v>
      </c>
    </row>
    <row r="33" spans="1:16" ht="25.5" hidden="1" customHeight="1" x14ac:dyDescent="0.3">
      <c r="A33" s="530" t="s">
        <v>461</v>
      </c>
      <c r="B33" s="531">
        <v>115</v>
      </c>
      <c r="C33" s="530" t="s">
        <v>462</v>
      </c>
      <c r="D33" s="530" t="s">
        <v>463</v>
      </c>
      <c r="E33" s="531">
        <v>3969</v>
      </c>
      <c r="F33" s="530"/>
      <c r="G33" s="532">
        <v>46027</v>
      </c>
      <c r="H33" s="532">
        <v>46058</v>
      </c>
      <c r="I33" s="532">
        <v>46056</v>
      </c>
      <c r="J33" s="530" t="s">
        <v>352</v>
      </c>
      <c r="K33" s="531">
        <v>1400</v>
      </c>
      <c r="L33" s="531">
        <v>0</v>
      </c>
      <c r="M33" s="531">
        <v>1400</v>
      </c>
      <c r="N33" s="531">
        <v>1400</v>
      </c>
      <c r="O33" s="533">
        <v>1367.64</v>
      </c>
      <c r="P33" s="531">
        <v>1400</v>
      </c>
    </row>
    <row r="34" spans="1:16" ht="25.5" hidden="1" customHeight="1" x14ac:dyDescent="0.3">
      <c r="A34" s="530" t="s">
        <v>464</v>
      </c>
      <c r="B34" s="531">
        <v>132</v>
      </c>
      <c r="C34" s="530" t="s">
        <v>365</v>
      </c>
      <c r="D34" s="530" t="s">
        <v>465</v>
      </c>
      <c r="E34" s="531">
        <v>3982</v>
      </c>
      <c r="F34" s="530" t="s">
        <v>466</v>
      </c>
      <c r="G34" s="532">
        <v>46031</v>
      </c>
      <c r="H34" s="532">
        <v>46062</v>
      </c>
      <c r="I34" s="532">
        <v>46058</v>
      </c>
      <c r="J34" s="530" t="s">
        <v>352</v>
      </c>
      <c r="K34" s="531">
        <v>1500</v>
      </c>
      <c r="L34" s="531">
        <v>0</v>
      </c>
      <c r="M34" s="531">
        <v>1500</v>
      </c>
      <c r="N34" s="531">
        <v>1407.75</v>
      </c>
      <c r="O34" s="533">
        <v>1407.75</v>
      </c>
      <c r="P34" s="531">
        <v>1500</v>
      </c>
    </row>
    <row r="35" spans="1:16" ht="25.5" hidden="1" customHeight="1" x14ac:dyDescent="0.3">
      <c r="A35" s="530" t="s">
        <v>467</v>
      </c>
      <c r="B35" s="531">
        <v>2</v>
      </c>
      <c r="C35" s="530" t="s">
        <v>354</v>
      </c>
      <c r="D35" s="530" t="s">
        <v>468</v>
      </c>
      <c r="E35" s="531">
        <v>3964</v>
      </c>
      <c r="F35" s="530" t="s">
        <v>469</v>
      </c>
      <c r="G35" s="532">
        <v>46027</v>
      </c>
      <c r="H35" s="532">
        <v>46058</v>
      </c>
      <c r="I35" s="532">
        <v>46058</v>
      </c>
      <c r="J35" s="530" t="s">
        <v>352</v>
      </c>
      <c r="K35" s="531">
        <v>1368.51</v>
      </c>
      <c r="L35" s="531">
        <v>0</v>
      </c>
      <c r="M35" s="531">
        <v>1368.51</v>
      </c>
      <c r="N35" s="531">
        <v>1284.3399999999999</v>
      </c>
      <c r="O35" s="533">
        <v>1284.3399999999999</v>
      </c>
      <c r="P35" s="531">
        <v>1368.51</v>
      </c>
    </row>
    <row r="36" spans="1:16" ht="25.5" hidden="1" customHeight="1" x14ac:dyDescent="0.3">
      <c r="A36" s="530" t="s">
        <v>470</v>
      </c>
      <c r="B36" s="531">
        <v>81</v>
      </c>
      <c r="C36" s="530" t="s">
        <v>471</v>
      </c>
      <c r="D36" s="530" t="s">
        <v>472</v>
      </c>
      <c r="E36" s="531">
        <v>3978</v>
      </c>
      <c r="F36" s="530" t="s">
        <v>473</v>
      </c>
      <c r="G36" s="532">
        <v>46030</v>
      </c>
      <c r="H36" s="532">
        <v>46069</v>
      </c>
      <c r="I36" s="532">
        <v>46062</v>
      </c>
      <c r="J36" s="530" t="s">
        <v>352</v>
      </c>
      <c r="K36" s="531">
        <v>1059.99</v>
      </c>
      <c r="L36" s="531">
        <v>0</v>
      </c>
      <c r="M36" s="531">
        <v>1059.99</v>
      </c>
      <c r="N36" s="531">
        <v>994.84</v>
      </c>
      <c r="O36" s="533">
        <v>994.84</v>
      </c>
      <c r="P36" s="531">
        <v>1059.99</v>
      </c>
    </row>
    <row r="37" spans="1:16" ht="25.5" hidden="1" customHeight="1" x14ac:dyDescent="0.3">
      <c r="A37" s="530" t="s">
        <v>474</v>
      </c>
      <c r="B37" s="531">
        <v>135</v>
      </c>
      <c r="C37" s="530" t="s">
        <v>475</v>
      </c>
      <c r="D37" s="530" t="s">
        <v>476</v>
      </c>
      <c r="E37" s="531">
        <v>3955</v>
      </c>
      <c r="F37" s="530" t="s">
        <v>477</v>
      </c>
      <c r="G37" s="532">
        <v>46008</v>
      </c>
      <c r="H37" s="532">
        <v>46077</v>
      </c>
      <c r="I37" s="532">
        <v>46063</v>
      </c>
      <c r="J37" s="530" t="s">
        <v>352</v>
      </c>
      <c r="K37" s="531">
        <v>8666.66</v>
      </c>
      <c r="L37" s="531">
        <v>0</v>
      </c>
      <c r="M37" s="531">
        <v>8666.66</v>
      </c>
      <c r="N37" s="531">
        <v>8133.66</v>
      </c>
      <c r="O37" s="533">
        <v>8133.66</v>
      </c>
      <c r="P37" s="531">
        <v>8666.66</v>
      </c>
    </row>
    <row r="38" spans="1:16" ht="25.5" hidden="1" customHeight="1" x14ac:dyDescent="0.3">
      <c r="A38" s="530" t="s">
        <v>478</v>
      </c>
      <c r="B38" s="531">
        <v>135</v>
      </c>
      <c r="C38" s="530" t="s">
        <v>475</v>
      </c>
      <c r="D38" s="530" t="s">
        <v>479</v>
      </c>
      <c r="E38" s="531">
        <v>3976</v>
      </c>
      <c r="F38" s="530" t="s">
        <v>480</v>
      </c>
      <c r="G38" s="532">
        <v>46029</v>
      </c>
      <c r="H38" s="532">
        <v>46077</v>
      </c>
      <c r="I38" s="532">
        <v>46063</v>
      </c>
      <c r="J38" s="530" t="s">
        <v>352</v>
      </c>
      <c r="K38" s="531">
        <v>13000</v>
      </c>
      <c r="L38" s="531">
        <v>0</v>
      </c>
      <c r="M38" s="531">
        <v>13000</v>
      </c>
      <c r="N38" s="531">
        <v>12200.5</v>
      </c>
      <c r="O38" s="533">
        <v>12200.5</v>
      </c>
      <c r="P38" s="531">
        <v>13000</v>
      </c>
    </row>
    <row r="39" spans="1:16" ht="25.5" hidden="1" customHeight="1" x14ac:dyDescent="0.3">
      <c r="A39" s="530" t="s">
        <v>481</v>
      </c>
      <c r="B39" s="531">
        <v>115</v>
      </c>
      <c r="C39" s="530" t="s">
        <v>379</v>
      </c>
      <c r="D39" s="530" t="s">
        <v>482</v>
      </c>
      <c r="E39" s="531">
        <v>3967</v>
      </c>
      <c r="F39" s="530" t="s">
        <v>483</v>
      </c>
      <c r="G39" s="532">
        <v>46027</v>
      </c>
      <c r="H39" s="532">
        <v>46042</v>
      </c>
      <c r="I39" s="532">
        <v>46063</v>
      </c>
      <c r="J39" s="530" t="s">
        <v>352</v>
      </c>
      <c r="K39" s="531">
        <v>466.68</v>
      </c>
      <c r="L39" s="531">
        <v>0</v>
      </c>
      <c r="M39" s="531">
        <v>466.68</v>
      </c>
      <c r="N39" s="531">
        <v>466.68</v>
      </c>
      <c r="O39" s="533">
        <v>466.68</v>
      </c>
      <c r="P39" s="531">
        <v>466.68</v>
      </c>
    </row>
    <row r="40" spans="1:16" ht="25.5" hidden="1" customHeight="1" x14ac:dyDescent="0.3">
      <c r="A40" s="530" t="s">
        <v>484</v>
      </c>
      <c r="B40" s="531">
        <v>130</v>
      </c>
      <c r="C40" s="530" t="s">
        <v>412</v>
      </c>
      <c r="D40" s="530" t="s">
        <v>485</v>
      </c>
      <c r="E40" s="531">
        <v>3989</v>
      </c>
      <c r="F40" s="530" t="s">
        <v>486</v>
      </c>
      <c r="G40" s="532">
        <v>46034</v>
      </c>
      <c r="H40" s="532">
        <v>46066</v>
      </c>
      <c r="I40" s="532">
        <v>46066</v>
      </c>
      <c r="J40" s="530" t="s">
        <v>352</v>
      </c>
      <c r="K40" s="531">
        <v>6875</v>
      </c>
      <c r="L40" s="531">
        <v>0</v>
      </c>
      <c r="M40" s="531">
        <v>6875</v>
      </c>
      <c r="N40" s="531">
        <v>6452.2</v>
      </c>
      <c r="O40" s="533">
        <v>6452.2</v>
      </c>
      <c r="P40" s="531">
        <v>6875</v>
      </c>
    </row>
    <row r="41" spans="1:16" ht="25.5" hidden="1" customHeight="1" x14ac:dyDescent="0.3">
      <c r="A41" s="530" t="s">
        <v>487</v>
      </c>
      <c r="B41" s="531">
        <v>130</v>
      </c>
      <c r="C41" s="530" t="s">
        <v>408</v>
      </c>
      <c r="D41" s="530" t="s">
        <v>488</v>
      </c>
      <c r="E41" s="531">
        <v>3990</v>
      </c>
      <c r="F41" s="530" t="s">
        <v>489</v>
      </c>
      <c r="G41" s="532">
        <v>46034</v>
      </c>
      <c r="H41" s="532">
        <v>46066</v>
      </c>
      <c r="I41" s="532">
        <v>46066</v>
      </c>
      <c r="J41" s="530" t="s">
        <v>352</v>
      </c>
      <c r="K41" s="531">
        <v>6875</v>
      </c>
      <c r="L41" s="531">
        <v>0</v>
      </c>
      <c r="M41" s="531">
        <v>6875</v>
      </c>
      <c r="N41" s="531">
        <v>6452.19</v>
      </c>
      <c r="O41" s="533">
        <v>6452.19</v>
      </c>
      <c r="P41" s="531">
        <v>6875</v>
      </c>
    </row>
    <row r="42" spans="1:16" ht="25.5" hidden="1" customHeight="1" x14ac:dyDescent="0.3">
      <c r="A42" s="530" t="s">
        <v>490</v>
      </c>
      <c r="B42" s="531">
        <v>61</v>
      </c>
      <c r="C42" s="530" t="s">
        <v>387</v>
      </c>
      <c r="D42" s="530" t="s">
        <v>491</v>
      </c>
      <c r="E42" s="531">
        <v>3993</v>
      </c>
      <c r="F42" s="530" t="s">
        <v>492</v>
      </c>
      <c r="G42" s="532">
        <v>46041</v>
      </c>
      <c r="H42" s="532">
        <v>46071</v>
      </c>
      <c r="I42" s="532">
        <v>46071</v>
      </c>
      <c r="J42" s="530" t="s">
        <v>352</v>
      </c>
      <c r="K42" s="531">
        <v>4551.17</v>
      </c>
      <c r="L42" s="531">
        <v>0</v>
      </c>
      <c r="M42" s="531">
        <v>4551.17</v>
      </c>
      <c r="N42" s="531">
        <v>4271.28</v>
      </c>
      <c r="O42" s="533">
        <v>4271.28</v>
      </c>
      <c r="P42" s="531">
        <v>4551.17</v>
      </c>
    </row>
    <row r="43" spans="1:16" ht="25.5" hidden="1" customHeight="1" x14ac:dyDescent="0.3">
      <c r="A43" s="530" t="s">
        <v>493</v>
      </c>
      <c r="B43" s="531">
        <v>61</v>
      </c>
      <c r="C43" s="530" t="s">
        <v>387</v>
      </c>
      <c r="D43" s="530" t="s">
        <v>494</v>
      </c>
      <c r="E43" s="531">
        <v>3992</v>
      </c>
      <c r="F43" s="530" t="s">
        <v>495</v>
      </c>
      <c r="G43" s="532">
        <v>46041</v>
      </c>
      <c r="H43" s="532">
        <v>46071</v>
      </c>
      <c r="I43" s="532">
        <v>46071</v>
      </c>
      <c r="J43" s="530" t="s">
        <v>352</v>
      </c>
      <c r="K43" s="531">
        <v>34418.379999999997</v>
      </c>
      <c r="L43" s="531">
        <v>0</v>
      </c>
      <c r="M43" s="531">
        <v>34418.379999999997</v>
      </c>
      <c r="N43" s="531">
        <v>32301.67</v>
      </c>
      <c r="O43" s="533">
        <v>32301.67</v>
      </c>
      <c r="P43" s="531">
        <v>34418.379999999997</v>
      </c>
    </row>
    <row r="44" spans="1:16" ht="25.5" hidden="1" customHeight="1" x14ac:dyDescent="0.3">
      <c r="A44" s="530" t="s">
        <v>496</v>
      </c>
      <c r="B44" s="531">
        <v>124</v>
      </c>
      <c r="C44" s="530" t="s">
        <v>408</v>
      </c>
      <c r="D44" s="530" t="s">
        <v>497</v>
      </c>
      <c r="E44" s="531">
        <v>3987</v>
      </c>
      <c r="F44" s="530" t="s">
        <v>498</v>
      </c>
      <c r="G44" s="532">
        <v>46034</v>
      </c>
      <c r="H44" s="532">
        <v>46066</v>
      </c>
      <c r="I44" s="532">
        <v>46071</v>
      </c>
      <c r="J44" s="530" t="s">
        <v>352</v>
      </c>
      <c r="K44" s="531">
        <v>7933.33</v>
      </c>
      <c r="L44" s="531">
        <v>0</v>
      </c>
      <c r="M44" s="531">
        <v>7933.33</v>
      </c>
      <c r="N44" s="531">
        <v>7445.46</v>
      </c>
      <c r="O44" s="533">
        <v>7445.46</v>
      </c>
      <c r="P44" s="531">
        <v>7933.33</v>
      </c>
    </row>
    <row r="45" spans="1:16" ht="25.5" hidden="1" customHeight="1" x14ac:dyDescent="0.3">
      <c r="A45" s="530" t="s">
        <v>499</v>
      </c>
      <c r="B45" s="531">
        <v>114</v>
      </c>
      <c r="C45" s="530" t="s">
        <v>394</v>
      </c>
      <c r="D45" s="530" t="s">
        <v>500</v>
      </c>
      <c r="E45" s="531">
        <v>3980</v>
      </c>
      <c r="F45" s="530" t="s">
        <v>501</v>
      </c>
      <c r="G45" s="532">
        <v>46030</v>
      </c>
      <c r="H45" s="532">
        <v>46072</v>
      </c>
      <c r="I45" s="532">
        <v>46071</v>
      </c>
      <c r="J45" s="530" t="s">
        <v>352</v>
      </c>
      <c r="K45" s="531">
        <v>6873.91</v>
      </c>
      <c r="L45" s="531">
        <v>0</v>
      </c>
      <c r="M45" s="531">
        <v>6873.91</v>
      </c>
      <c r="N45" s="531">
        <v>6451.17</v>
      </c>
      <c r="O45" s="533">
        <v>6451.17</v>
      </c>
      <c r="P45" s="531">
        <v>6873.91</v>
      </c>
    </row>
    <row r="46" spans="1:16" ht="25.5" hidden="1" customHeight="1" x14ac:dyDescent="0.3">
      <c r="A46" s="530" t="s">
        <v>502</v>
      </c>
      <c r="B46" s="531">
        <v>61</v>
      </c>
      <c r="C46" s="530" t="s">
        <v>383</v>
      </c>
      <c r="D46" s="530" t="s">
        <v>503</v>
      </c>
      <c r="E46" s="531">
        <v>3973</v>
      </c>
      <c r="F46" s="530" t="s">
        <v>504</v>
      </c>
      <c r="G46" s="532">
        <v>46029</v>
      </c>
      <c r="H46" s="532">
        <v>46059</v>
      </c>
      <c r="I46" s="532">
        <v>46072</v>
      </c>
      <c r="J46" s="530" t="s">
        <v>352</v>
      </c>
      <c r="K46" s="531">
        <v>15000</v>
      </c>
      <c r="L46" s="531">
        <v>0</v>
      </c>
      <c r="M46" s="531">
        <v>15000</v>
      </c>
      <c r="N46" s="531">
        <v>14077.5</v>
      </c>
      <c r="O46" s="533">
        <v>14077.5</v>
      </c>
      <c r="P46" s="531">
        <v>15000</v>
      </c>
    </row>
    <row r="47" spans="1:16" ht="25.5" hidden="1" customHeight="1" x14ac:dyDescent="0.3">
      <c r="A47" s="530" t="s">
        <v>505</v>
      </c>
      <c r="B47" s="531">
        <v>115</v>
      </c>
      <c r="C47" s="530" t="s">
        <v>379</v>
      </c>
      <c r="D47" s="530" t="s">
        <v>416</v>
      </c>
      <c r="E47" s="531">
        <v>3833</v>
      </c>
      <c r="F47" s="530" t="s">
        <v>417</v>
      </c>
      <c r="G47" s="532">
        <v>45931</v>
      </c>
      <c r="H47" s="532">
        <v>46077</v>
      </c>
      <c r="I47" s="532">
        <v>46073</v>
      </c>
      <c r="J47" s="530" t="s">
        <v>352</v>
      </c>
      <c r="K47" s="531">
        <v>555</v>
      </c>
      <c r="L47" s="531">
        <v>0</v>
      </c>
      <c r="M47" s="531">
        <v>3333.4</v>
      </c>
      <c r="N47" s="531">
        <v>555</v>
      </c>
      <c r="O47" s="533">
        <v>555</v>
      </c>
      <c r="P47" s="531">
        <v>555</v>
      </c>
    </row>
    <row r="48" spans="1:16" ht="25.5" hidden="1" customHeight="1" x14ac:dyDescent="0.3">
      <c r="A48" s="530" t="s">
        <v>506</v>
      </c>
      <c r="B48" s="531">
        <v>115</v>
      </c>
      <c r="C48" s="530" t="s">
        <v>507</v>
      </c>
      <c r="D48" s="530" t="s">
        <v>508</v>
      </c>
      <c r="E48" s="531">
        <v>3968</v>
      </c>
      <c r="F48" s="530" t="s">
        <v>509</v>
      </c>
      <c r="G48" s="532">
        <v>46027</v>
      </c>
      <c r="H48" s="532">
        <v>46042</v>
      </c>
      <c r="I48" s="532">
        <v>46073</v>
      </c>
      <c r="J48" s="530" t="s">
        <v>352</v>
      </c>
      <c r="K48" s="531">
        <v>466.66</v>
      </c>
      <c r="L48" s="531">
        <v>0</v>
      </c>
      <c r="M48" s="531">
        <v>466.66</v>
      </c>
      <c r="N48" s="531">
        <v>466.66</v>
      </c>
      <c r="O48" s="533">
        <v>466.66</v>
      </c>
      <c r="P48" s="531">
        <v>466.66</v>
      </c>
    </row>
    <row r="49" spans="1:16" ht="25.5" hidden="1" customHeight="1" x14ac:dyDescent="0.3">
      <c r="A49" s="530" t="s">
        <v>510</v>
      </c>
      <c r="B49" s="531">
        <v>101</v>
      </c>
      <c r="C49" s="530" t="s">
        <v>426</v>
      </c>
      <c r="D49" s="530" t="s">
        <v>511</v>
      </c>
      <c r="E49" s="531">
        <v>4044</v>
      </c>
      <c r="F49" s="530" t="s">
        <v>512</v>
      </c>
      <c r="G49" s="532">
        <v>46072</v>
      </c>
      <c r="H49" s="532">
        <v>46083</v>
      </c>
      <c r="I49" s="532">
        <v>46076</v>
      </c>
      <c r="J49" s="530" t="s">
        <v>352</v>
      </c>
      <c r="K49" s="531">
        <v>151.5</v>
      </c>
      <c r="L49" s="531">
        <v>0</v>
      </c>
      <c r="M49" s="531">
        <v>151.5</v>
      </c>
      <c r="N49" s="531">
        <v>151.5</v>
      </c>
      <c r="O49" s="533">
        <v>151.5</v>
      </c>
      <c r="P49" s="531">
        <v>151.5</v>
      </c>
    </row>
    <row r="50" spans="1:16" ht="25.5" hidden="1" customHeight="1" x14ac:dyDescent="0.3">
      <c r="A50" s="530" t="s">
        <v>513</v>
      </c>
      <c r="B50" s="531">
        <v>64</v>
      </c>
      <c r="C50" s="530" t="s">
        <v>434</v>
      </c>
      <c r="D50" s="530" t="s">
        <v>514</v>
      </c>
      <c r="E50" s="531">
        <v>4046</v>
      </c>
      <c r="F50" s="530" t="s">
        <v>515</v>
      </c>
      <c r="G50" s="532">
        <v>46072</v>
      </c>
      <c r="H50" s="532">
        <v>46083</v>
      </c>
      <c r="I50" s="532">
        <v>46076</v>
      </c>
      <c r="J50" s="530" t="s">
        <v>352</v>
      </c>
      <c r="K50" s="531">
        <v>606</v>
      </c>
      <c r="L50" s="531">
        <v>0</v>
      </c>
      <c r="M50" s="531">
        <v>606</v>
      </c>
      <c r="N50" s="531">
        <v>568.74</v>
      </c>
      <c r="O50" s="533">
        <v>568.74</v>
      </c>
      <c r="P50" s="531">
        <v>606</v>
      </c>
    </row>
    <row r="51" spans="1:16" ht="25.5" hidden="1" customHeight="1" x14ac:dyDescent="0.3">
      <c r="A51" s="530" t="s">
        <v>516</v>
      </c>
      <c r="B51" s="531">
        <v>68</v>
      </c>
      <c r="C51" s="530" t="s">
        <v>434</v>
      </c>
      <c r="D51" s="530" t="s">
        <v>517</v>
      </c>
      <c r="E51" s="531">
        <v>4045</v>
      </c>
      <c r="F51" s="530" t="s">
        <v>518</v>
      </c>
      <c r="G51" s="532">
        <v>46072</v>
      </c>
      <c r="H51" s="532">
        <v>46083</v>
      </c>
      <c r="I51" s="532">
        <v>46076</v>
      </c>
      <c r="J51" s="530" t="s">
        <v>352</v>
      </c>
      <c r="K51" s="531">
        <v>4868.2</v>
      </c>
      <c r="L51" s="531">
        <v>0</v>
      </c>
      <c r="M51" s="531">
        <v>4868.2</v>
      </c>
      <c r="N51" s="531">
        <v>4568.82</v>
      </c>
      <c r="O51" s="533">
        <v>4568.82</v>
      </c>
      <c r="P51" s="531">
        <v>4868.2</v>
      </c>
    </row>
    <row r="52" spans="1:16" ht="25.5" hidden="1" customHeight="1" x14ac:dyDescent="0.3">
      <c r="A52" s="530" t="s">
        <v>519</v>
      </c>
      <c r="B52" s="531">
        <v>28</v>
      </c>
      <c r="C52" s="530" t="s">
        <v>441</v>
      </c>
      <c r="D52" s="530" t="s">
        <v>520</v>
      </c>
      <c r="E52" s="531">
        <v>4027</v>
      </c>
      <c r="F52" s="530"/>
      <c r="G52" s="532">
        <v>46063</v>
      </c>
      <c r="H52" s="532">
        <v>46084</v>
      </c>
      <c r="I52" s="532">
        <v>46076</v>
      </c>
      <c r="J52" s="530" t="s">
        <v>352</v>
      </c>
      <c r="K52" s="531">
        <v>0</v>
      </c>
      <c r="L52" s="531">
        <v>3916.04</v>
      </c>
      <c r="M52" s="531">
        <v>3916.04</v>
      </c>
      <c r="N52" s="531">
        <v>3916.04</v>
      </c>
      <c r="O52" s="533">
        <v>3916.04</v>
      </c>
      <c r="P52" s="531">
        <v>0</v>
      </c>
    </row>
    <row r="53" spans="1:16" ht="25.5" hidden="1" customHeight="1" x14ac:dyDescent="0.3">
      <c r="A53" s="530" t="s">
        <v>521</v>
      </c>
      <c r="B53" s="531">
        <v>28</v>
      </c>
      <c r="C53" s="530" t="s">
        <v>441</v>
      </c>
      <c r="D53" s="530" t="s">
        <v>522</v>
      </c>
      <c r="E53" s="531">
        <v>4049</v>
      </c>
      <c r="F53" s="530" t="s">
        <v>523</v>
      </c>
      <c r="G53" s="532">
        <v>46072</v>
      </c>
      <c r="H53" s="532">
        <v>46083</v>
      </c>
      <c r="I53" s="532">
        <v>46076</v>
      </c>
      <c r="J53" s="530" t="s">
        <v>352</v>
      </c>
      <c r="K53" s="531">
        <v>303</v>
      </c>
      <c r="L53" s="531">
        <v>0</v>
      </c>
      <c r="M53" s="531">
        <v>303</v>
      </c>
      <c r="N53" s="531">
        <v>303</v>
      </c>
      <c r="O53" s="533">
        <v>303</v>
      </c>
      <c r="P53" s="531">
        <v>303</v>
      </c>
    </row>
    <row r="54" spans="1:16" ht="25.5" hidden="1" customHeight="1" x14ac:dyDescent="0.3">
      <c r="A54" s="530" t="s">
        <v>524</v>
      </c>
      <c r="B54" s="531">
        <v>28</v>
      </c>
      <c r="C54" s="530" t="s">
        <v>441</v>
      </c>
      <c r="D54" s="530" t="s">
        <v>525</v>
      </c>
      <c r="E54" s="531">
        <v>4047</v>
      </c>
      <c r="F54" s="530" t="s">
        <v>526</v>
      </c>
      <c r="G54" s="532">
        <v>46072</v>
      </c>
      <c r="H54" s="532">
        <v>46083</v>
      </c>
      <c r="I54" s="532">
        <v>46076</v>
      </c>
      <c r="J54" s="530" t="s">
        <v>352</v>
      </c>
      <c r="K54" s="531">
        <v>303</v>
      </c>
      <c r="L54" s="531">
        <v>0</v>
      </c>
      <c r="M54" s="531">
        <v>303</v>
      </c>
      <c r="N54" s="531">
        <v>303</v>
      </c>
      <c r="O54" s="533">
        <v>303</v>
      </c>
      <c r="P54" s="531">
        <v>303</v>
      </c>
    </row>
    <row r="55" spans="1:16" ht="25.5" hidden="1" customHeight="1" x14ac:dyDescent="0.3">
      <c r="A55" s="530" t="s">
        <v>527</v>
      </c>
      <c r="B55" s="531">
        <v>28</v>
      </c>
      <c r="C55" s="530" t="s">
        <v>441</v>
      </c>
      <c r="D55" s="530" t="s">
        <v>528</v>
      </c>
      <c r="E55" s="531">
        <v>4048</v>
      </c>
      <c r="F55" s="530" t="s">
        <v>529</v>
      </c>
      <c r="G55" s="532">
        <v>46072</v>
      </c>
      <c r="H55" s="532">
        <v>46083</v>
      </c>
      <c r="I55" s="532">
        <v>46076</v>
      </c>
      <c r="J55" s="530" t="s">
        <v>352</v>
      </c>
      <c r="K55" s="531">
        <v>105000</v>
      </c>
      <c r="L55" s="531">
        <v>0</v>
      </c>
      <c r="M55" s="531">
        <v>105000</v>
      </c>
      <c r="N55" s="531">
        <v>105000</v>
      </c>
      <c r="O55" s="533">
        <v>105000</v>
      </c>
      <c r="P55" s="531">
        <v>105000</v>
      </c>
    </row>
    <row r="56" spans="1:16" ht="25.5" hidden="1" customHeight="1" x14ac:dyDescent="0.3">
      <c r="A56" s="530" t="s">
        <v>530</v>
      </c>
      <c r="B56" s="531">
        <v>147</v>
      </c>
      <c r="C56" s="530" t="s">
        <v>531</v>
      </c>
      <c r="D56" s="530" t="s">
        <v>532</v>
      </c>
      <c r="E56" s="531">
        <v>4039</v>
      </c>
      <c r="F56" s="530"/>
      <c r="G56" s="532">
        <v>46066</v>
      </c>
      <c r="H56" s="532">
        <v>46094</v>
      </c>
      <c r="I56" s="532">
        <v>46080</v>
      </c>
      <c r="J56" s="530" t="s">
        <v>352</v>
      </c>
      <c r="K56" s="531">
        <v>15000</v>
      </c>
      <c r="L56" s="531">
        <v>0</v>
      </c>
      <c r="M56" s="531">
        <v>15000</v>
      </c>
      <c r="N56" s="531">
        <v>14077.5</v>
      </c>
      <c r="O56" s="533">
        <v>14077.5</v>
      </c>
      <c r="P56" s="531">
        <v>15000</v>
      </c>
    </row>
    <row r="57" spans="1:16" ht="25.5" hidden="1" customHeight="1" x14ac:dyDescent="0.3">
      <c r="A57" s="530" t="s">
        <v>533</v>
      </c>
      <c r="B57" s="531">
        <v>7</v>
      </c>
      <c r="C57" s="530" t="s">
        <v>372</v>
      </c>
      <c r="D57" s="530" t="s">
        <v>534</v>
      </c>
      <c r="E57" s="531">
        <v>4004</v>
      </c>
      <c r="F57" s="530" t="s">
        <v>535</v>
      </c>
      <c r="G57" s="532">
        <v>46050</v>
      </c>
      <c r="H57" s="532">
        <v>46080</v>
      </c>
      <c r="I57" s="532">
        <v>46080</v>
      </c>
      <c r="J57" s="530" t="s">
        <v>352</v>
      </c>
      <c r="K57" s="531">
        <v>6494.21</v>
      </c>
      <c r="L57" s="531">
        <v>0</v>
      </c>
      <c r="M57" s="531">
        <v>6494.21</v>
      </c>
      <c r="N57" s="531">
        <v>6094.81</v>
      </c>
      <c r="O57" s="533">
        <v>6094.81</v>
      </c>
      <c r="P57" s="531">
        <v>6494.21</v>
      </c>
    </row>
    <row r="58" spans="1:16" ht="25.5" hidden="1" customHeight="1" x14ac:dyDescent="0.3">
      <c r="A58" s="530" t="s">
        <v>536</v>
      </c>
      <c r="B58" s="531">
        <v>7</v>
      </c>
      <c r="C58" s="530" t="s">
        <v>372</v>
      </c>
      <c r="D58" s="530" t="s">
        <v>537</v>
      </c>
      <c r="E58" s="531">
        <v>4005</v>
      </c>
      <c r="F58" s="530" t="s">
        <v>538</v>
      </c>
      <c r="G58" s="532">
        <v>46050</v>
      </c>
      <c r="H58" s="532">
        <v>46080</v>
      </c>
      <c r="I58" s="532">
        <v>46080</v>
      </c>
      <c r="J58" s="530" t="s">
        <v>352</v>
      </c>
      <c r="K58" s="531">
        <v>16246.55</v>
      </c>
      <c r="L58" s="531">
        <v>0</v>
      </c>
      <c r="M58" s="531">
        <v>16246.55</v>
      </c>
      <c r="N58" s="531">
        <v>15247.39</v>
      </c>
      <c r="O58" s="533">
        <v>15247.39</v>
      </c>
      <c r="P58" s="531">
        <v>16246.55</v>
      </c>
    </row>
    <row r="59" spans="1:16" ht="25.5" hidden="1" customHeight="1" x14ac:dyDescent="0.3">
      <c r="A59" s="530" t="s">
        <v>539</v>
      </c>
      <c r="B59" s="531">
        <v>7</v>
      </c>
      <c r="C59" s="530" t="s">
        <v>372</v>
      </c>
      <c r="D59" s="530" t="s">
        <v>540</v>
      </c>
      <c r="E59" s="531">
        <v>4006</v>
      </c>
      <c r="F59" s="530" t="s">
        <v>541</v>
      </c>
      <c r="G59" s="532">
        <v>46050</v>
      </c>
      <c r="H59" s="532">
        <v>46080</v>
      </c>
      <c r="I59" s="532">
        <v>46080</v>
      </c>
      <c r="J59" s="530" t="s">
        <v>352</v>
      </c>
      <c r="K59" s="531">
        <v>34229.06</v>
      </c>
      <c r="L59" s="531">
        <v>0</v>
      </c>
      <c r="M59" s="531">
        <v>34229.06</v>
      </c>
      <c r="N59" s="531">
        <v>32123.99</v>
      </c>
      <c r="O59" s="533">
        <v>32123.99</v>
      </c>
      <c r="P59" s="531">
        <v>34229.06</v>
      </c>
    </row>
    <row r="60" spans="1:16" ht="25.5" hidden="1" customHeight="1" x14ac:dyDescent="0.3">
      <c r="A60" s="530" t="s">
        <v>542</v>
      </c>
      <c r="B60" s="531">
        <v>3</v>
      </c>
      <c r="C60" s="530" t="s">
        <v>543</v>
      </c>
      <c r="D60" s="530" t="s">
        <v>544</v>
      </c>
      <c r="E60" s="531">
        <v>3961</v>
      </c>
      <c r="F60" s="530" t="s">
        <v>545</v>
      </c>
      <c r="G60" s="532">
        <v>46010</v>
      </c>
      <c r="H60" s="532">
        <v>46132</v>
      </c>
      <c r="I60" s="532">
        <v>46083</v>
      </c>
      <c r="J60" s="530" t="s">
        <v>352</v>
      </c>
      <c r="K60" s="531">
        <v>10533.34</v>
      </c>
      <c r="L60" s="531">
        <v>0</v>
      </c>
      <c r="M60" s="531">
        <v>10533.34</v>
      </c>
      <c r="N60" s="531">
        <v>9885.5400000000009</v>
      </c>
      <c r="O60" s="534">
        <v>9885.5400000000009</v>
      </c>
      <c r="P60" s="533">
        <v>10533.34</v>
      </c>
    </row>
    <row r="61" spans="1:16" ht="25.5" hidden="1" customHeight="1" x14ac:dyDescent="0.3">
      <c r="A61" s="530" t="s">
        <v>546</v>
      </c>
      <c r="B61" s="531">
        <v>6</v>
      </c>
      <c r="C61" s="530" t="s">
        <v>358</v>
      </c>
      <c r="D61" s="530" t="s">
        <v>547</v>
      </c>
      <c r="E61" s="531">
        <v>3977</v>
      </c>
      <c r="F61" s="530"/>
      <c r="G61" s="532">
        <v>46029</v>
      </c>
      <c r="H61" s="532">
        <v>46083</v>
      </c>
      <c r="I61" s="532">
        <v>46083</v>
      </c>
      <c r="J61" s="530" t="s">
        <v>352</v>
      </c>
      <c r="K61" s="531">
        <v>4068</v>
      </c>
      <c r="L61" s="531">
        <v>0</v>
      </c>
      <c r="M61" s="531">
        <v>4068</v>
      </c>
      <c r="N61" s="531">
        <v>3817.82</v>
      </c>
      <c r="O61" s="534">
        <v>3817.82</v>
      </c>
      <c r="P61" s="533">
        <v>4068</v>
      </c>
    </row>
    <row r="62" spans="1:16" ht="25.5" hidden="1" customHeight="1" x14ac:dyDescent="0.3">
      <c r="A62" s="530" t="s">
        <v>548</v>
      </c>
      <c r="B62" s="531">
        <v>114</v>
      </c>
      <c r="C62" s="530" t="s">
        <v>349</v>
      </c>
      <c r="D62" s="530" t="s">
        <v>549</v>
      </c>
      <c r="E62" s="531">
        <v>4022</v>
      </c>
      <c r="F62" s="530" t="s">
        <v>550</v>
      </c>
      <c r="G62" s="532">
        <v>46062</v>
      </c>
      <c r="H62" s="532">
        <v>46091</v>
      </c>
      <c r="I62" s="532">
        <v>46086</v>
      </c>
      <c r="J62" s="530" t="s">
        <v>352</v>
      </c>
      <c r="K62" s="531">
        <v>6579.7</v>
      </c>
      <c r="L62" s="531">
        <v>0</v>
      </c>
      <c r="M62" s="531">
        <v>6579.7</v>
      </c>
      <c r="N62" s="531">
        <v>6175.07</v>
      </c>
      <c r="O62" s="534">
        <v>6175.07</v>
      </c>
      <c r="P62" s="533">
        <v>6579.7</v>
      </c>
    </row>
    <row r="63" spans="1:16" ht="25.5" hidden="1" customHeight="1" x14ac:dyDescent="0.3">
      <c r="A63" s="530" t="s">
        <v>551</v>
      </c>
      <c r="B63" s="531">
        <v>114</v>
      </c>
      <c r="C63" s="530" t="s">
        <v>349</v>
      </c>
      <c r="D63" s="530" t="s">
        <v>552</v>
      </c>
      <c r="E63" s="531">
        <v>3979</v>
      </c>
      <c r="F63" s="530" t="s">
        <v>553</v>
      </c>
      <c r="G63" s="532">
        <v>46030</v>
      </c>
      <c r="H63" s="532">
        <v>46063</v>
      </c>
      <c r="I63" s="532">
        <v>46086</v>
      </c>
      <c r="J63" s="530" t="s">
        <v>352</v>
      </c>
      <c r="K63" s="531">
        <v>6873.91</v>
      </c>
      <c r="L63" s="531">
        <v>0</v>
      </c>
      <c r="M63" s="531">
        <v>6873.91</v>
      </c>
      <c r="N63" s="531">
        <v>6451.13</v>
      </c>
      <c r="O63" s="534">
        <v>6451.13</v>
      </c>
      <c r="P63" s="533">
        <v>6873.91</v>
      </c>
    </row>
    <row r="64" spans="1:16" ht="25.5" hidden="1" customHeight="1" x14ac:dyDescent="0.3">
      <c r="A64" s="530" t="s">
        <v>554</v>
      </c>
      <c r="B64" s="531">
        <v>123</v>
      </c>
      <c r="C64" s="530" t="s">
        <v>452</v>
      </c>
      <c r="D64" s="530" t="s">
        <v>555</v>
      </c>
      <c r="E64" s="531">
        <v>4014</v>
      </c>
      <c r="F64" s="530" t="s">
        <v>556</v>
      </c>
      <c r="G64" s="532">
        <v>46059</v>
      </c>
      <c r="H64" s="532">
        <v>46079</v>
      </c>
      <c r="I64" s="532">
        <v>46087</v>
      </c>
      <c r="J64" s="530" t="s">
        <v>352</v>
      </c>
      <c r="K64" s="531">
        <v>1000</v>
      </c>
      <c r="L64" s="531">
        <v>0</v>
      </c>
      <c r="M64" s="531">
        <v>1000</v>
      </c>
      <c r="N64" s="531">
        <v>1000</v>
      </c>
      <c r="O64" s="534">
        <v>1000</v>
      </c>
      <c r="P64" s="533">
        <v>1000</v>
      </c>
    </row>
    <row r="65" spans="1:16" ht="25.5" hidden="1" customHeight="1" x14ac:dyDescent="0.3">
      <c r="A65" s="530" t="s">
        <v>557</v>
      </c>
      <c r="B65" s="531">
        <v>97</v>
      </c>
      <c r="C65" s="530" t="s">
        <v>558</v>
      </c>
      <c r="D65" s="530" t="s">
        <v>559</v>
      </c>
      <c r="E65" s="531">
        <v>4010</v>
      </c>
      <c r="F65" s="530" t="s">
        <v>560</v>
      </c>
      <c r="G65" s="532">
        <v>46058</v>
      </c>
      <c r="H65" s="532">
        <v>46086</v>
      </c>
      <c r="I65" s="532">
        <v>46087</v>
      </c>
      <c r="J65" s="530" t="s">
        <v>352</v>
      </c>
      <c r="K65" s="531">
        <v>1280</v>
      </c>
      <c r="L65" s="531">
        <v>0</v>
      </c>
      <c r="M65" s="531">
        <v>1280</v>
      </c>
      <c r="N65" s="531">
        <v>1201.28</v>
      </c>
      <c r="O65" s="534">
        <v>1201.28</v>
      </c>
      <c r="P65" s="533">
        <v>1280</v>
      </c>
    </row>
    <row r="66" spans="1:16" ht="25.5" hidden="1" customHeight="1" x14ac:dyDescent="0.3">
      <c r="A66" s="530" t="s">
        <v>561</v>
      </c>
      <c r="B66" s="531">
        <v>145</v>
      </c>
      <c r="C66" s="530" t="s">
        <v>562</v>
      </c>
      <c r="D66" s="530" t="s">
        <v>563</v>
      </c>
      <c r="E66" s="531">
        <v>4057</v>
      </c>
      <c r="F66" s="530" t="s">
        <v>564</v>
      </c>
      <c r="G66" s="532">
        <v>46086</v>
      </c>
      <c r="H66" s="532">
        <v>46118</v>
      </c>
      <c r="I66" s="532">
        <v>46090</v>
      </c>
      <c r="J66" s="530" t="s">
        <v>352</v>
      </c>
      <c r="K66" s="531">
        <v>1000</v>
      </c>
      <c r="L66" s="531">
        <v>0</v>
      </c>
      <c r="M66" s="531">
        <v>1000</v>
      </c>
      <c r="N66" s="531">
        <v>938.5</v>
      </c>
      <c r="O66" s="534">
        <v>938.5</v>
      </c>
      <c r="P66" s="533">
        <v>1000</v>
      </c>
    </row>
    <row r="67" spans="1:16" ht="25.5" hidden="1" customHeight="1" x14ac:dyDescent="0.3">
      <c r="A67" s="530" t="s">
        <v>565</v>
      </c>
      <c r="B67" s="531">
        <v>115</v>
      </c>
      <c r="C67" s="530" t="s">
        <v>379</v>
      </c>
      <c r="D67" s="530" t="s">
        <v>566</v>
      </c>
      <c r="E67" s="531">
        <v>4018</v>
      </c>
      <c r="F67" s="530" t="s">
        <v>567</v>
      </c>
      <c r="G67" s="532">
        <v>46062</v>
      </c>
      <c r="H67" s="532">
        <v>46073</v>
      </c>
      <c r="I67" s="532">
        <v>46091</v>
      </c>
      <c r="J67" s="530" t="s">
        <v>352</v>
      </c>
      <c r="K67" s="531">
        <v>466.68</v>
      </c>
      <c r="L67" s="531">
        <v>0</v>
      </c>
      <c r="M67" s="531">
        <v>466.68</v>
      </c>
      <c r="N67" s="531">
        <v>466.68</v>
      </c>
      <c r="O67" s="534">
        <v>466.68</v>
      </c>
      <c r="P67" s="533">
        <v>466.68</v>
      </c>
    </row>
    <row r="68" spans="1:16" ht="25.5" hidden="1" customHeight="1" x14ac:dyDescent="0.3">
      <c r="A68" s="530" t="s">
        <v>568</v>
      </c>
      <c r="B68" s="531">
        <v>22</v>
      </c>
      <c r="C68" s="530" t="s">
        <v>569</v>
      </c>
      <c r="D68" s="530" t="s">
        <v>570</v>
      </c>
      <c r="E68" s="531">
        <v>4021</v>
      </c>
      <c r="F68" s="530" t="s">
        <v>571</v>
      </c>
      <c r="G68" s="532">
        <v>46062</v>
      </c>
      <c r="H68" s="532">
        <v>46091</v>
      </c>
      <c r="I68" s="532">
        <v>46091</v>
      </c>
      <c r="J68" s="530" t="s">
        <v>352</v>
      </c>
      <c r="K68" s="531">
        <v>5893.33</v>
      </c>
      <c r="L68" s="531">
        <v>0</v>
      </c>
      <c r="M68" s="531">
        <v>5893.33</v>
      </c>
      <c r="N68" s="531">
        <v>5530.89</v>
      </c>
      <c r="O68" s="534">
        <v>5530.89</v>
      </c>
      <c r="P68" s="533">
        <v>5893.33</v>
      </c>
    </row>
    <row r="69" spans="1:16" ht="25.5" hidden="1" customHeight="1" x14ac:dyDescent="0.3">
      <c r="A69" s="530" t="s">
        <v>572</v>
      </c>
      <c r="B69" s="531">
        <v>109</v>
      </c>
      <c r="C69" s="530" t="s">
        <v>573</v>
      </c>
      <c r="D69" s="530" t="s">
        <v>574</v>
      </c>
      <c r="E69" s="531">
        <v>3771</v>
      </c>
      <c r="F69" s="530" t="s">
        <v>575</v>
      </c>
      <c r="G69" s="532">
        <v>45883</v>
      </c>
      <c r="H69" s="532">
        <v>45952</v>
      </c>
      <c r="I69" s="532">
        <v>46093</v>
      </c>
      <c r="J69" s="530" t="s">
        <v>352</v>
      </c>
      <c r="K69" s="531">
        <v>8700</v>
      </c>
      <c r="L69" s="531">
        <v>0</v>
      </c>
      <c r="M69" s="531">
        <v>8700</v>
      </c>
      <c r="N69" s="531">
        <v>8700</v>
      </c>
      <c r="O69" s="534">
        <v>8700</v>
      </c>
      <c r="P69" s="533">
        <v>8700</v>
      </c>
    </row>
    <row r="70" spans="1:16" ht="25.5" hidden="1" customHeight="1" x14ac:dyDescent="0.3">
      <c r="A70" s="530" t="s">
        <v>576</v>
      </c>
      <c r="B70" s="531">
        <v>109</v>
      </c>
      <c r="C70" s="530" t="s">
        <v>573</v>
      </c>
      <c r="D70" s="530" t="s">
        <v>577</v>
      </c>
      <c r="E70" s="531">
        <v>3909</v>
      </c>
      <c r="F70" s="530" t="s">
        <v>578</v>
      </c>
      <c r="G70" s="532">
        <v>45974</v>
      </c>
      <c r="H70" s="532">
        <v>46034</v>
      </c>
      <c r="I70" s="532">
        <v>46093</v>
      </c>
      <c r="J70" s="530" t="s">
        <v>352</v>
      </c>
      <c r="K70" s="531">
        <v>15300</v>
      </c>
      <c r="L70" s="531">
        <v>0</v>
      </c>
      <c r="M70" s="531">
        <v>15300</v>
      </c>
      <c r="N70" s="531">
        <v>15300</v>
      </c>
      <c r="O70" s="534">
        <v>15300</v>
      </c>
      <c r="P70" s="533">
        <v>15300</v>
      </c>
    </row>
    <row r="71" spans="1:16" ht="25.5" hidden="1" customHeight="1" x14ac:dyDescent="0.3">
      <c r="A71" s="530" t="s">
        <v>579</v>
      </c>
      <c r="B71" s="531">
        <v>7</v>
      </c>
      <c r="C71" s="530" t="s">
        <v>372</v>
      </c>
      <c r="D71" s="530" t="s">
        <v>580</v>
      </c>
      <c r="E71" s="531">
        <v>4024</v>
      </c>
      <c r="F71" s="530"/>
      <c r="G71" s="532">
        <v>46063</v>
      </c>
      <c r="H71" s="532">
        <v>46101</v>
      </c>
      <c r="I71" s="532">
        <v>46093</v>
      </c>
      <c r="J71" s="530" t="s">
        <v>352</v>
      </c>
      <c r="K71" s="531">
        <v>0</v>
      </c>
      <c r="L71" s="531">
        <v>4197.71</v>
      </c>
      <c r="M71" s="531">
        <v>4197.71</v>
      </c>
      <c r="N71" s="531">
        <v>4197.71</v>
      </c>
      <c r="O71" s="534">
        <v>4197.71</v>
      </c>
      <c r="P71" s="533">
        <v>0</v>
      </c>
    </row>
    <row r="72" spans="1:16" ht="25.5" hidden="1" customHeight="1" x14ac:dyDescent="0.3">
      <c r="A72" s="530" t="s">
        <v>581</v>
      </c>
      <c r="B72" s="531">
        <v>81</v>
      </c>
      <c r="C72" s="530" t="s">
        <v>471</v>
      </c>
      <c r="D72" s="530" t="s">
        <v>582</v>
      </c>
      <c r="E72" s="531">
        <v>4025</v>
      </c>
      <c r="F72" s="530" t="s">
        <v>583</v>
      </c>
      <c r="G72" s="532">
        <v>46063</v>
      </c>
      <c r="H72" s="532">
        <v>46094</v>
      </c>
      <c r="I72" s="532">
        <v>46093</v>
      </c>
      <c r="J72" s="530" t="s">
        <v>352</v>
      </c>
      <c r="K72" s="531">
        <v>5464.99</v>
      </c>
      <c r="L72" s="531">
        <v>0</v>
      </c>
      <c r="M72" s="531">
        <v>5464.99</v>
      </c>
      <c r="N72" s="531">
        <v>5128.92</v>
      </c>
      <c r="O72" s="534">
        <v>5128.92</v>
      </c>
      <c r="P72" s="533">
        <v>5464.99</v>
      </c>
    </row>
    <row r="73" spans="1:16" ht="25.5" hidden="1" customHeight="1" x14ac:dyDescent="0.3">
      <c r="A73" s="530" t="s">
        <v>584</v>
      </c>
      <c r="B73" s="531">
        <v>115</v>
      </c>
      <c r="C73" s="530" t="s">
        <v>507</v>
      </c>
      <c r="D73" s="530" t="s">
        <v>585</v>
      </c>
      <c r="E73" s="531">
        <v>4019</v>
      </c>
      <c r="F73" s="530" t="s">
        <v>586</v>
      </c>
      <c r="G73" s="532">
        <v>46062</v>
      </c>
      <c r="H73" s="532">
        <v>46073</v>
      </c>
      <c r="I73" s="532">
        <v>46093</v>
      </c>
      <c r="J73" s="530" t="s">
        <v>352</v>
      </c>
      <c r="K73" s="531">
        <v>466.66</v>
      </c>
      <c r="L73" s="531">
        <v>0</v>
      </c>
      <c r="M73" s="531">
        <v>466.66</v>
      </c>
      <c r="N73" s="531">
        <v>466.66</v>
      </c>
      <c r="O73" s="534">
        <v>466.68</v>
      </c>
      <c r="P73" s="533">
        <v>466.66</v>
      </c>
    </row>
    <row r="74" spans="1:16" ht="25.5" hidden="1" customHeight="1" x14ac:dyDescent="0.3">
      <c r="A74" s="530" t="s">
        <v>587</v>
      </c>
      <c r="B74" s="531">
        <v>139</v>
      </c>
      <c r="C74" s="530" t="s">
        <v>361</v>
      </c>
      <c r="D74" s="530" t="s">
        <v>588</v>
      </c>
      <c r="E74" s="531">
        <v>4031</v>
      </c>
      <c r="F74" s="530" t="s">
        <v>589</v>
      </c>
      <c r="G74" s="532">
        <v>46065</v>
      </c>
      <c r="H74" s="532">
        <v>46093</v>
      </c>
      <c r="I74" s="532">
        <v>46093</v>
      </c>
      <c r="J74" s="530" t="s">
        <v>352</v>
      </c>
      <c r="K74" s="531">
        <v>17983.330000000002</v>
      </c>
      <c r="L74" s="531">
        <v>0</v>
      </c>
      <c r="M74" s="531">
        <v>17983.330000000002</v>
      </c>
      <c r="N74" s="531">
        <v>16877.38</v>
      </c>
      <c r="O74" s="534">
        <v>16877.38</v>
      </c>
      <c r="P74" s="533">
        <v>17983.330000000002</v>
      </c>
    </row>
    <row r="75" spans="1:16" ht="25.5" hidden="1" customHeight="1" x14ac:dyDescent="0.3">
      <c r="A75" s="530" t="s">
        <v>590</v>
      </c>
      <c r="B75" s="531">
        <v>6</v>
      </c>
      <c r="C75" s="530" t="s">
        <v>358</v>
      </c>
      <c r="D75" s="530" t="s">
        <v>591</v>
      </c>
      <c r="E75" s="531">
        <v>4013</v>
      </c>
      <c r="F75" s="530" t="s">
        <v>592</v>
      </c>
      <c r="G75" s="532">
        <v>46059</v>
      </c>
      <c r="H75" s="532">
        <v>46094</v>
      </c>
      <c r="I75" s="532">
        <v>46094</v>
      </c>
      <c r="J75" s="530" t="s">
        <v>352</v>
      </c>
      <c r="K75" s="531">
        <v>4068</v>
      </c>
      <c r="L75" s="531">
        <v>0</v>
      </c>
      <c r="M75" s="531">
        <v>4068</v>
      </c>
      <c r="N75" s="531">
        <v>3817.82</v>
      </c>
      <c r="O75" s="534">
        <v>3817.82</v>
      </c>
      <c r="P75" s="533">
        <v>4068</v>
      </c>
    </row>
    <row r="76" spans="1:16" ht="25.5" hidden="1" customHeight="1" x14ac:dyDescent="0.3">
      <c r="A76" s="530" t="s">
        <v>593</v>
      </c>
      <c r="B76" s="531">
        <v>61</v>
      </c>
      <c r="C76" s="530" t="s">
        <v>594</v>
      </c>
      <c r="D76" s="530" t="s">
        <v>595</v>
      </c>
      <c r="E76" s="531">
        <v>3971</v>
      </c>
      <c r="F76" s="530"/>
      <c r="G76" s="532">
        <v>46029</v>
      </c>
      <c r="H76" s="532">
        <v>46107</v>
      </c>
      <c r="I76" s="532">
        <v>46097</v>
      </c>
      <c r="J76" s="530" t="s">
        <v>352</v>
      </c>
      <c r="K76" s="531">
        <v>0</v>
      </c>
      <c r="L76" s="531">
        <v>75.099999999999994</v>
      </c>
      <c r="M76" s="531">
        <v>75.099999999999994</v>
      </c>
      <c r="N76" s="531">
        <v>75.099999999999994</v>
      </c>
      <c r="O76" s="534">
        <v>75.099999999999994</v>
      </c>
      <c r="P76" s="533">
        <v>0</v>
      </c>
    </row>
    <row r="77" spans="1:16" ht="25.5" hidden="1" customHeight="1" x14ac:dyDescent="0.3">
      <c r="A77" s="530" t="s">
        <v>596</v>
      </c>
      <c r="B77" s="531">
        <v>115</v>
      </c>
      <c r="C77" s="530" t="s">
        <v>430</v>
      </c>
      <c r="D77" s="530" t="s">
        <v>597</v>
      </c>
      <c r="E77" s="531">
        <v>4017</v>
      </c>
      <c r="F77" s="530" t="s">
        <v>598</v>
      </c>
      <c r="G77" s="532">
        <v>46062</v>
      </c>
      <c r="H77" s="532">
        <v>46073</v>
      </c>
      <c r="I77" s="532">
        <v>46097</v>
      </c>
      <c r="J77" s="530" t="s">
        <v>352</v>
      </c>
      <c r="K77" s="531">
        <v>466.66</v>
      </c>
      <c r="L77" s="531">
        <v>0</v>
      </c>
      <c r="M77" s="531">
        <v>466.66</v>
      </c>
      <c r="N77" s="531">
        <v>466.66</v>
      </c>
      <c r="O77" s="534">
        <v>466.66</v>
      </c>
      <c r="P77" s="533">
        <v>466.66</v>
      </c>
    </row>
    <row r="78" spans="1:16" ht="25.5" hidden="1" customHeight="1" x14ac:dyDescent="0.3">
      <c r="A78" s="530" t="s">
        <v>599</v>
      </c>
      <c r="B78" s="531">
        <v>115</v>
      </c>
      <c r="C78" s="530" t="s">
        <v>462</v>
      </c>
      <c r="D78" s="530" t="s">
        <v>600</v>
      </c>
      <c r="E78" s="531">
        <v>4020</v>
      </c>
      <c r="F78" s="530"/>
      <c r="G78" s="532">
        <v>46062</v>
      </c>
      <c r="H78" s="532">
        <v>46090</v>
      </c>
      <c r="I78" s="532">
        <v>46099</v>
      </c>
      <c r="J78" s="530" t="s">
        <v>352</v>
      </c>
      <c r="K78" s="531">
        <v>1400</v>
      </c>
      <c r="L78" s="531">
        <v>0</v>
      </c>
      <c r="M78" s="531">
        <v>1400</v>
      </c>
      <c r="N78" s="531">
        <v>1400</v>
      </c>
      <c r="O78" s="534">
        <v>1383.62</v>
      </c>
      <c r="P78" s="533">
        <v>1400</v>
      </c>
    </row>
    <row r="79" spans="1:16" ht="25.5" hidden="1" customHeight="1" x14ac:dyDescent="0.3">
      <c r="A79" s="530" t="s">
        <v>601</v>
      </c>
      <c r="B79" s="531">
        <v>114</v>
      </c>
      <c r="C79" s="530" t="s">
        <v>394</v>
      </c>
      <c r="D79" s="530" t="s">
        <v>602</v>
      </c>
      <c r="E79" s="531">
        <v>4023</v>
      </c>
      <c r="F79" s="530" t="s">
        <v>603</v>
      </c>
      <c r="G79" s="532">
        <v>46062</v>
      </c>
      <c r="H79" s="532">
        <v>46093</v>
      </c>
      <c r="I79" s="532">
        <v>46099</v>
      </c>
      <c r="J79" s="530" t="s">
        <v>352</v>
      </c>
      <c r="K79" s="531">
        <v>6579.7</v>
      </c>
      <c r="L79" s="531">
        <v>0</v>
      </c>
      <c r="M79" s="531">
        <v>6579.7</v>
      </c>
      <c r="N79" s="531">
        <v>6175.06</v>
      </c>
      <c r="O79" s="534">
        <v>6175.06</v>
      </c>
      <c r="P79" s="533">
        <v>6579.7</v>
      </c>
    </row>
    <row r="80" spans="1:16" ht="25.5" hidden="1" customHeight="1" x14ac:dyDescent="0.3">
      <c r="A80" s="530" t="s">
        <v>604</v>
      </c>
      <c r="B80" s="531">
        <v>125</v>
      </c>
      <c r="C80" s="530" t="s">
        <v>605</v>
      </c>
      <c r="D80" s="530" t="s">
        <v>606</v>
      </c>
      <c r="E80" s="531">
        <v>4011</v>
      </c>
      <c r="F80" s="530" t="s">
        <v>607</v>
      </c>
      <c r="G80" s="532">
        <v>46058</v>
      </c>
      <c r="H80" s="532">
        <v>46087</v>
      </c>
      <c r="I80" s="532">
        <v>46100</v>
      </c>
      <c r="J80" s="530" t="s">
        <v>352</v>
      </c>
      <c r="K80" s="531">
        <v>6052.19</v>
      </c>
      <c r="L80" s="531">
        <v>0</v>
      </c>
      <c r="M80" s="531">
        <v>6052.19</v>
      </c>
      <c r="N80" s="531">
        <v>5680</v>
      </c>
      <c r="O80" s="534">
        <v>5680</v>
      </c>
      <c r="P80" s="533">
        <v>6052.19</v>
      </c>
    </row>
    <row r="81" spans="1:16" ht="25.5" hidden="1" customHeight="1" x14ac:dyDescent="0.3">
      <c r="A81" s="530" t="s">
        <v>608</v>
      </c>
      <c r="B81" s="531">
        <v>61</v>
      </c>
      <c r="C81" s="530" t="s">
        <v>383</v>
      </c>
      <c r="D81" s="530" t="s">
        <v>609</v>
      </c>
      <c r="E81" s="531">
        <v>4036</v>
      </c>
      <c r="F81" s="530" t="s">
        <v>610</v>
      </c>
      <c r="G81" s="532">
        <v>46065</v>
      </c>
      <c r="H81" s="532">
        <v>46105</v>
      </c>
      <c r="I81" s="532">
        <v>46100</v>
      </c>
      <c r="J81" s="530" t="s">
        <v>352</v>
      </c>
      <c r="K81" s="531">
        <v>15000</v>
      </c>
      <c r="L81" s="531">
        <v>0</v>
      </c>
      <c r="M81" s="531">
        <v>15000</v>
      </c>
      <c r="N81" s="531">
        <v>14077.5</v>
      </c>
      <c r="O81" s="534">
        <v>14077.5</v>
      </c>
      <c r="P81" s="533">
        <v>15000</v>
      </c>
    </row>
    <row r="82" spans="1:16" ht="25.5" hidden="1" customHeight="1" x14ac:dyDescent="0.3">
      <c r="A82" s="530" t="s">
        <v>611</v>
      </c>
      <c r="B82" s="531">
        <v>61</v>
      </c>
      <c r="C82" s="530" t="s">
        <v>387</v>
      </c>
      <c r="D82" s="530" t="s">
        <v>612</v>
      </c>
      <c r="E82" s="531">
        <v>4052</v>
      </c>
      <c r="F82" s="530" t="s">
        <v>613</v>
      </c>
      <c r="G82" s="532">
        <v>46072</v>
      </c>
      <c r="H82" s="532">
        <v>46104</v>
      </c>
      <c r="I82" s="532">
        <v>46100</v>
      </c>
      <c r="J82" s="530" t="s">
        <v>352</v>
      </c>
      <c r="K82" s="531">
        <v>56080</v>
      </c>
      <c r="L82" s="531">
        <v>0</v>
      </c>
      <c r="M82" s="531">
        <v>56080</v>
      </c>
      <c r="N82" s="531">
        <v>52631.08</v>
      </c>
      <c r="O82" s="534">
        <v>52631.08</v>
      </c>
      <c r="P82" s="533">
        <v>56080</v>
      </c>
    </row>
    <row r="83" spans="1:16" ht="25.5" hidden="1" customHeight="1" x14ac:dyDescent="0.3">
      <c r="A83" s="530" t="s">
        <v>614</v>
      </c>
      <c r="B83" s="531">
        <v>115</v>
      </c>
      <c r="C83" s="530" t="s">
        <v>430</v>
      </c>
      <c r="D83" s="530" t="s">
        <v>615</v>
      </c>
      <c r="E83" s="531">
        <v>4058</v>
      </c>
      <c r="F83" s="530" t="s">
        <v>616</v>
      </c>
      <c r="G83" s="532">
        <v>46086</v>
      </c>
      <c r="H83" s="532">
        <v>46101</v>
      </c>
      <c r="I83" s="532">
        <v>46101</v>
      </c>
      <c r="J83" s="530" t="s">
        <v>352</v>
      </c>
      <c r="K83" s="531">
        <v>466.66</v>
      </c>
      <c r="L83" s="531">
        <v>0</v>
      </c>
      <c r="M83" s="531">
        <v>466.66</v>
      </c>
      <c r="N83" s="531">
        <v>466.66</v>
      </c>
      <c r="O83" s="534">
        <v>466.66</v>
      </c>
      <c r="P83" s="533">
        <v>466.66</v>
      </c>
    </row>
    <row r="84" spans="1:16" ht="25.5" hidden="1" customHeight="1" x14ac:dyDescent="0.3">
      <c r="A84" s="530" t="s">
        <v>617</v>
      </c>
      <c r="B84" s="531">
        <v>7</v>
      </c>
      <c r="C84" s="530" t="s">
        <v>372</v>
      </c>
      <c r="D84" s="530" t="s">
        <v>618</v>
      </c>
      <c r="E84" s="531">
        <v>4040</v>
      </c>
      <c r="F84" s="530" t="s">
        <v>619</v>
      </c>
      <c r="G84" s="532">
        <v>46071</v>
      </c>
      <c r="H84" s="532">
        <v>46101</v>
      </c>
      <c r="I84" s="532">
        <v>46101</v>
      </c>
      <c r="J84" s="530" t="s">
        <v>352</v>
      </c>
      <c r="K84" s="531">
        <v>941.25</v>
      </c>
      <c r="L84" s="531">
        <v>0</v>
      </c>
      <c r="M84" s="531">
        <v>941.25</v>
      </c>
      <c r="N84" s="531">
        <v>883.39</v>
      </c>
      <c r="O84" s="534">
        <v>883.39</v>
      </c>
      <c r="P84" s="533">
        <v>941.25</v>
      </c>
    </row>
    <row r="85" spans="1:16" ht="25.5" hidden="1" customHeight="1" x14ac:dyDescent="0.3">
      <c r="A85" s="530" t="s">
        <v>620</v>
      </c>
      <c r="B85" s="531">
        <v>7</v>
      </c>
      <c r="C85" s="530" t="s">
        <v>372</v>
      </c>
      <c r="D85" s="530" t="s">
        <v>621</v>
      </c>
      <c r="E85" s="531">
        <v>4041</v>
      </c>
      <c r="F85" s="530" t="s">
        <v>622</v>
      </c>
      <c r="G85" s="532">
        <v>46071</v>
      </c>
      <c r="H85" s="532">
        <v>46101</v>
      </c>
      <c r="I85" s="532">
        <v>46101</v>
      </c>
      <c r="J85" s="530" t="s">
        <v>352</v>
      </c>
      <c r="K85" s="531">
        <v>42383.93</v>
      </c>
      <c r="L85" s="531">
        <v>0</v>
      </c>
      <c r="M85" s="531">
        <v>42383.93</v>
      </c>
      <c r="N85" s="531">
        <v>39784.339999999997</v>
      </c>
      <c r="O85" s="534">
        <v>39784.339999999997</v>
      </c>
      <c r="P85" s="533">
        <v>42383.93</v>
      </c>
    </row>
    <row r="86" spans="1:16" ht="25.5" hidden="1" customHeight="1" x14ac:dyDescent="0.3">
      <c r="A86" s="530" t="s">
        <v>623</v>
      </c>
      <c r="B86" s="531">
        <v>7</v>
      </c>
      <c r="C86" s="530" t="s">
        <v>372</v>
      </c>
      <c r="D86" s="530" t="s">
        <v>624</v>
      </c>
      <c r="E86" s="531">
        <v>4042</v>
      </c>
      <c r="F86" s="530" t="s">
        <v>625</v>
      </c>
      <c r="G86" s="532">
        <v>46071</v>
      </c>
      <c r="H86" s="532">
        <v>46101</v>
      </c>
      <c r="I86" s="532">
        <v>46101</v>
      </c>
      <c r="J86" s="530" t="s">
        <v>352</v>
      </c>
      <c r="K86" s="531">
        <v>470.63</v>
      </c>
      <c r="L86" s="531">
        <v>0</v>
      </c>
      <c r="M86" s="531">
        <v>470.63</v>
      </c>
      <c r="N86" s="531">
        <v>441.71</v>
      </c>
      <c r="O86" s="534">
        <v>441.71</v>
      </c>
      <c r="P86" s="533">
        <v>470.63</v>
      </c>
    </row>
    <row r="87" spans="1:16" ht="25.5" hidden="1" customHeight="1" x14ac:dyDescent="0.3">
      <c r="A87" s="530" t="s">
        <v>626</v>
      </c>
      <c r="B87" s="531">
        <v>115</v>
      </c>
      <c r="C87" s="530" t="s">
        <v>379</v>
      </c>
      <c r="D87" s="530" t="s">
        <v>416</v>
      </c>
      <c r="E87" s="531">
        <v>3833</v>
      </c>
      <c r="F87" s="530" t="s">
        <v>417</v>
      </c>
      <c r="G87" s="532">
        <v>45931</v>
      </c>
      <c r="H87" s="532">
        <v>46105</v>
      </c>
      <c r="I87" s="532">
        <v>46101</v>
      </c>
      <c r="J87" s="530" t="s">
        <v>352</v>
      </c>
      <c r="K87" s="531">
        <v>555</v>
      </c>
      <c r="L87" s="531">
        <v>0</v>
      </c>
      <c r="M87" s="531">
        <v>3333.4</v>
      </c>
      <c r="N87" s="531">
        <v>555</v>
      </c>
      <c r="O87" s="534">
        <v>555</v>
      </c>
      <c r="P87" s="533">
        <v>555</v>
      </c>
    </row>
    <row r="88" spans="1:16" ht="25.5" hidden="1" customHeight="1" x14ac:dyDescent="0.3">
      <c r="A88" s="530" t="s">
        <v>627</v>
      </c>
      <c r="B88" s="531">
        <v>61</v>
      </c>
      <c r="C88" s="530" t="s">
        <v>387</v>
      </c>
      <c r="D88" s="530" t="s">
        <v>628</v>
      </c>
      <c r="E88" s="531">
        <v>4051</v>
      </c>
      <c r="F88" s="530" t="s">
        <v>629</v>
      </c>
      <c r="G88" s="532">
        <v>46072</v>
      </c>
      <c r="H88" s="532">
        <v>46104</v>
      </c>
      <c r="I88" s="532">
        <v>46104</v>
      </c>
      <c r="J88" s="530" t="s">
        <v>352</v>
      </c>
      <c r="K88" s="531">
        <v>13511.29</v>
      </c>
      <c r="L88" s="531">
        <v>0</v>
      </c>
      <c r="M88" s="531">
        <v>13511.29</v>
      </c>
      <c r="N88" s="531">
        <v>12680.37</v>
      </c>
      <c r="O88" s="534">
        <v>12680.37</v>
      </c>
      <c r="P88" s="533">
        <v>13511.29</v>
      </c>
    </row>
    <row r="89" spans="1:16" ht="25.5" hidden="1" customHeight="1" x14ac:dyDescent="0.3">
      <c r="A89" s="530" t="s">
        <v>630</v>
      </c>
      <c r="B89" s="531">
        <v>61</v>
      </c>
      <c r="C89" s="530" t="s">
        <v>387</v>
      </c>
      <c r="D89" s="530" t="s">
        <v>631</v>
      </c>
      <c r="E89" s="531">
        <v>4053</v>
      </c>
      <c r="F89" s="530" t="s">
        <v>632</v>
      </c>
      <c r="G89" s="532">
        <v>46072</v>
      </c>
      <c r="H89" s="532">
        <v>46104</v>
      </c>
      <c r="I89" s="532">
        <v>46104</v>
      </c>
      <c r="J89" s="530" t="s">
        <v>352</v>
      </c>
      <c r="K89" s="531">
        <v>26690.69</v>
      </c>
      <c r="L89" s="531">
        <v>0</v>
      </c>
      <c r="M89" s="531">
        <v>26690.69</v>
      </c>
      <c r="N89" s="531">
        <v>25049.25</v>
      </c>
      <c r="O89" s="534">
        <v>25049.25</v>
      </c>
      <c r="P89" s="533">
        <v>26690.69</v>
      </c>
    </row>
    <row r="90" spans="1:16" ht="25.5" hidden="1" customHeight="1" x14ac:dyDescent="0.3">
      <c r="A90" s="530" t="s">
        <v>633</v>
      </c>
      <c r="B90" s="531">
        <v>132</v>
      </c>
      <c r="C90" s="530" t="s">
        <v>365</v>
      </c>
      <c r="D90" s="530" t="s">
        <v>634</v>
      </c>
      <c r="E90" s="531">
        <v>4050</v>
      </c>
      <c r="F90" s="530"/>
      <c r="G90" s="532">
        <v>46072</v>
      </c>
      <c r="H90" s="532">
        <v>46105</v>
      </c>
      <c r="I90" s="532">
        <v>46105</v>
      </c>
      <c r="J90" s="530" t="s">
        <v>352</v>
      </c>
      <c r="K90" s="531">
        <v>1500</v>
      </c>
      <c r="L90" s="531">
        <v>0</v>
      </c>
      <c r="M90" s="531">
        <v>1500</v>
      </c>
      <c r="N90" s="531">
        <v>1407.75</v>
      </c>
      <c r="O90" s="534">
        <v>1407.75</v>
      </c>
      <c r="P90" s="533">
        <v>1500</v>
      </c>
    </row>
    <row r="91" spans="1:16" ht="25.5" hidden="1" customHeight="1" x14ac:dyDescent="0.3">
      <c r="A91" s="530" t="s">
        <v>635</v>
      </c>
      <c r="B91" s="531">
        <v>22</v>
      </c>
      <c r="C91" s="530" t="s">
        <v>636</v>
      </c>
      <c r="D91" s="530" t="s">
        <v>637</v>
      </c>
      <c r="E91" s="531">
        <v>4003</v>
      </c>
      <c r="F91" s="530" t="s">
        <v>638</v>
      </c>
      <c r="G91" s="532">
        <v>46045</v>
      </c>
      <c r="H91" s="532">
        <v>46105</v>
      </c>
      <c r="I91" s="532">
        <v>46105</v>
      </c>
      <c r="J91" s="530" t="s">
        <v>352</v>
      </c>
      <c r="K91" s="531">
        <v>19106.669999999998</v>
      </c>
      <c r="L91" s="531">
        <v>0</v>
      </c>
      <c r="M91" s="531">
        <v>19106.669999999998</v>
      </c>
      <c r="N91" s="531">
        <v>17931.61</v>
      </c>
      <c r="O91" s="534">
        <v>17931.61</v>
      </c>
      <c r="P91" s="533">
        <v>19106.669999999998</v>
      </c>
    </row>
    <row r="92" spans="1:16" ht="25.5" hidden="1" customHeight="1" x14ac:dyDescent="0.3">
      <c r="A92" s="530" t="s">
        <v>639</v>
      </c>
      <c r="B92" s="531">
        <v>12</v>
      </c>
      <c r="C92" s="530" t="s">
        <v>448</v>
      </c>
      <c r="D92" s="530" t="s">
        <v>640</v>
      </c>
      <c r="E92" s="531">
        <v>4015</v>
      </c>
      <c r="F92" s="530" t="s">
        <v>641</v>
      </c>
      <c r="G92" s="532">
        <v>46059</v>
      </c>
      <c r="H92" s="532">
        <v>46106</v>
      </c>
      <c r="I92" s="532">
        <v>46106</v>
      </c>
      <c r="J92" s="530" t="s">
        <v>352</v>
      </c>
      <c r="K92" s="531">
        <v>600</v>
      </c>
      <c r="L92" s="531">
        <v>0</v>
      </c>
      <c r="M92" s="531">
        <v>600</v>
      </c>
      <c r="N92" s="531">
        <v>572.1</v>
      </c>
      <c r="O92" s="534">
        <v>572.1</v>
      </c>
      <c r="P92" s="533">
        <v>600</v>
      </c>
    </row>
    <row r="93" spans="1:16" ht="25.5" hidden="1" customHeight="1" x14ac:dyDescent="0.3">
      <c r="A93" s="530" t="s">
        <v>642</v>
      </c>
      <c r="B93" s="531">
        <v>12</v>
      </c>
      <c r="C93" s="530" t="s">
        <v>448</v>
      </c>
      <c r="D93" s="530" t="s">
        <v>643</v>
      </c>
      <c r="E93" s="531">
        <v>4063</v>
      </c>
      <c r="F93" s="530" t="s">
        <v>644</v>
      </c>
      <c r="G93" s="532">
        <v>46090</v>
      </c>
      <c r="H93" s="532">
        <v>46121</v>
      </c>
      <c r="I93" s="532">
        <v>46106</v>
      </c>
      <c r="J93" s="530" t="s">
        <v>352</v>
      </c>
      <c r="K93" s="531">
        <v>600</v>
      </c>
      <c r="L93" s="531">
        <v>0</v>
      </c>
      <c r="M93" s="531">
        <v>600</v>
      </c>
      <c r="N93" s="531">
        <v>572.1</v>
      </c>
      <c r="O93" s="534">
        <v>572.1</v>
      </c>
      <c r="P93" s="533">
        <v>600</v>
      </c>
    </row>
    <row r="94" spans="1:16" ht="25.5" hidden="1" customHeight="1" x14ac:dyDescent="0.3">
      <c r="A94" s="530" t="s">
        <v>645</v>
      </c>
      <c r="B94" s="531">
        <v>92</v>
      </c>
      <c r="C94" s="530" t="s">
        <v>419</v>
      </c>
      <c r="D94" s="530" t="s">
        <v>646</v>
      </c>
      <c r="E94" s="531">
        <v>4085</v>
      </c>
      <c r="F94" s="530" t="s">
        <v>647</v>
      </c>
      <c r="G94" s="532">
        <v>46101</v>
      </c>
      <c r="H94" s="532">
        <v>46111</v>
      </c>
      <c r="I94" s="532">
        <v>46106</v>
      </c>
      <c r="J94" s="530" t="s">
        <v>352</v>
      </c>
      <c r="K94" s="531">
        <v>773.07</v>
      </c>
      <c r="L94" s="531">
        <v>0</v>
      </c>
      <c r="M94" s="531">
        <v>773.07</v>
      </c>
      <c r="N94" s="531">
        <v>725.54</v>
      </c>
      <c r="O94" s="534">
        <v>725.54</v>
      </c>
      <c r="P94" s="533">
        <v>773.07</v>
      </c>
    </row>
    <row r="95" spans="1:16" ht="25.5" hidden="1" customHeight="1" x14ac:dyDescent="0.3">
      <c r="A95" s="530" t="s">
        <v>648</v>
      </c>
      <c r="B95" s="531">
        <v>101</v>
      </c>
      <c r="C95" s="530" t="s">
        <v>426</v>
      </c>
      <c r="D95" s="530" t="s">
        <v>649</v>
      </c>
      <c r="E95" s="531">
        <v>4086</v>
      </c>
      <c r="F95" s="530" t="s">
        <v>650</v>
      </c>
      <c r="G95" s="532">
        <v>46101</v>
      </c>
      <c r="H95" s="532">
        <v>46111</v>
      </c>
      <c r="I95" s="532">
        <v>46106</v>
      </c>
      <c r="J95" s="530" t="s">
        <v>352</v>
      </c>
      <c r="K95" s="531">
        <v>151.5</v>
      </c>
      <c r="L95" s="531">
        <v>0</v>
      </c>
      <c r="M95" s="531">
        <v>151.5</v>
      </c>
      <c r="N95" s="531">
        <v>151.5</v>
      </c>
      <c r="O95" s="534">
        <v>151.5</v>
      </c>
      <c r="P95" s="533">
        <v>151.5</v>
      </c>
    </row>
    <row r="96" spans="1:16" ht="25.5" hidden="1" customHeight="1" x14ac:dyDescent="0.3">
      <c r="A96" s="530" t="s">
        <v>651</v>
      </c>
      <c r="B96" s="531">
        <v>94</v>
      </c>
      <c r="C96" s="530" t="s">
        <v>652</v>
      </c>
      <c r="D96" s="530" t="s">
        <v>653</v>
      </c>
      <c r="E96" s="531">
        <v>4078</v>
      </c>
      <c r="F96" s="530" t="s">
        <v>654</v>
      </c>
      <c r="G96" s="532">
        <v>46098</v>
      </c>
      <c r="H96" s="532">
        <v>46108</v>
      </c>
      <c r="I96" s="532">
        <v>46106</v>
      </c>
      <c r="J96" s="530" t="s">
        <v>352</v>
      </c>
      <c r="K96" s="531">
        <v>36000</v>
      </c>
      <c r="L96" s="531">
        <v>0</v>
      </c>
      <c r="M96" s="531">
        <v>36000</v>
      </c>
      <c r="N96" s="531">
        <v>33786</v>
      </c>
      <c r="O96" s="534">
        <v>33786</v>
      </c>
      <c r="P96" s="533">
        <v>36000</v>
      </c>
    </row>
    <row r="97" spans="1:16" ht="25.5" hidden="1" customHeight="1" x14ac:dyDescent="0.3">
      <c r="A97" s="530" t="s">
        <v>655</v>
      </c>
      <c r="B97" s="531">
        <v>64</v>
      </c>
      <c r="C97" s="530" t="s">
        <v>434</v>
      </c>
      <c r="D97" s="530" t="s">
        <v>656</v>
      </c>
      <c r="E97" s="531">
        <v>4083</v>
      </c>
      <c r="F97" s="530" t="s">
        <v>657</v>
      </c>
      <c r="G97" s="532">
        <v>46101</v>
      </c>
      <c r="H97" s="532">
        <v>46111</v>
      </c>
      <c r="I97" s="532">
        <v>46106</v>
      </c>
      <c r="J97" s="530" t="s">
        <v>352</v>
      </c>
      <c r="K97" s="531">
        <v>606</v>
      </c>
      <c r="L97" s="531">
        <v>0</v>
      </c>
      <c r="M97" s="531">
        <v>606</v>
      </c>
      <c r="N97" s="531">
        <v>568.74</v>
      </c>
      <c r="O97" s="534">
        <v>568.74</v>
      </c>
      <c r="P97" s="533">
        <v>606</v>
      </c>
    </row>
    <row r="98" spans="1:16" ht="25.5" hidden="1" customHeight="1" x14ac:dyDescent="0.3">
      <c r="A98" s="530" t="s">
        <v>658</v>
      </c>
      <c r="B98" s="531">
        <v>68</v>
      </c>
      <c r="C98" s="530" t="s">
        <v>434</v>
      </c>
      <c r="D98" s="530" t="s">
        <v>659</v>
      </c>
      <c r="E98" s="531">
        <v>4084</v>
      </c>
      <c r="F98" s="530" t="s">
        <v>660</v>
      </c>
      <c r="G98" s="532">
        <v>46101</v>
      </c>
      <c r="H98" s="532">
        <v>46111</v>
      </c>
      <c r="I98" s="532">
        <v>46106</v>
      </c>
      <c r="J98" s="530" t="s">
        <v>352</v>
      </c>
      <c r="K98" s="531">
        <v>606</v>
      </c>
      <c r="L98" s="531">
        <v>0</v>
      </c>
      <c r="M98" s="531">
        <v>606</v>
      </c>
      <c r="N98" s="531">
        <v>568.74</v>
      </c>
      <c r="O98" s="534">
        <v>568.74</v>
      </c>
      <c r="P98" s="533">
        <v>606</v>
      </c>
    </row>
    <row r="99" spans="1:16" ht="25.5" hidden="1" customHeight="1" x14ac:dyDescent="0.3">
      <c r="A99" s="530" t="s">
        <v>661</v>
      </c>
      <c r="B99" s="531">
        <v>147</v>
      </c>
      <c r="C99" s="530" t="s">
        <v>662</v>
      </c>
      <c r="D99" s="530" t="s">
        <v>663</v>
      </c>
      <c r="E99" s="531">
        <v>4038</v>
      </c>
      <c r="F99" s="530"/>
      <c r="G99" s="532">
        <v>46066</v>
      </c>
      <c r="H99" s="532">
        <v>46107</v>
      </c>
      <c r="I99" s="532">
        <v>46107</v>
      </c>
      <c r="J99" s="530" t="s">
        <v>352</v>
      </c>
      <c r="K99" s="531">
        <v>15000</v>
      </c>
      <c r="L99" s="531">
        <v>0</v>
      </c>
      <c r="M99" s="531">
        <v>15000</v>
      </c>
      <c r="N99" s="531">
        <v>14077.5</v>
      </c>
      <c r="O99" s="534">
        <v>14077.5</v>
      </c>
      <c r="P99" s="533">
        <v>15000</v>
      </c>
    </row>
    <row r="100" spans="1:16" ht="25.5" hidden="1" customHeight="1" x14ac:dyDescent="0.3">
      <c r="A100" s="530" t="s">
        <v>664</v>
      </c>
      <c r="B100" s="531">
        <v>28</v>
      </c>
      <c r="C100" s="530" t="s">
        <v>441</v>
      </c>
      <c r="D100" s="530" t="s">
        <v>665</v>
      </c>
      <c r="E100" s="531">
        <v>4089</v>
      </c>
      <c r="F100" s="530" t="s">
        <v>666</v>
      </c>
      <c r="G100" s="532">
        <v>46107</v>
      </c>
      <c r="H100" s="532">
        <v>46118</v>
      </c>
      <c r="I100" s="532">
        <v>46108</v>
      </c>
      <c r="J100" s="530" t="s">
        <v>352</v>
      </c>
      <c r="K100" s="531">
        <v>28004.34</v>
      </c>
      <c r="L100" s="531">
        <v>0</v>
      </c>
      <c r="M100" s="531">
        <v>28004.34</v>
      </c>
      <c r="N100" s="531">
        <v>28004.34</v>
      </c>
      <c r="O100" s="534">
        <v>28004.34</v>
      </c>
      <c r="P100" s="533">
        <v>28004.34</v>
      </c>
    </row>
    <row r="101" spans="1:16" ht="25.5" hidden="1" customHeight="1" x14ac:dyDescent="0.3">
      <c r="A101" s="530" t="s">
        <v>667</v>
      </c>
      <c r="B101" s="531">
        <v>28</v>
      </c>
      <c r="C101" s="530" t="s">
        <v>441</v>
      </c>
      <c r="D101" s="530" t="s">
        <v>668</v>
      </c>
      <c r="E101" s="531">
        <v>4090</v>
      </c>
      <c r="F101" s="530" t="s">
        <v>669</v>
      </c>
      <c r="G101" s="532">
        <v>46108</v>
      </c>
      <c r="H101" s="532">
        <v>46118</v>
      </c>
      <c r="I101" s="532">
        <v>46108</v>
      </c>
      <c r="J101" s="530" t="s">
        <v>352</v>
      </c>
      <c r="K101" s="531">
        <v>303</v>
      </c>
      <c r="L101" s="531">
        <v>0</v>
      </c>
      <c r="M101" s="531">
        <v>303</v>
      </c>
      <c r="N101" s="531">
        <v>303</v>
      </c>
      <c r="O101" s="534">
        <v>303</v>
      </c>
      <c r="P101" s="533">
        <v>303</v>
      </c>
    </row>
    <row r="102" spans="1:16" ht="25.5" hidden="1" customHeight="1" x14ac:dyDescent="0.3">
      <c r="A102" s="530" t="s">
        <v>670</v>
      </c>
      <c r="B102" s="531">
        <v>147</v>
      </c>
      <c r="C102" s="530" t="s">
        <v>671</v>
      </c>
      <c r="D102" s="530" t="s">
        <v>672</v>
      </c>
      <c r="E102" s="531">
        <v>4092</v>
      </c>
      <c r="F102" s="530"/>
      <c r="G102" s="532">
        <v>46114</v>
      </c>
      <c r="H102" s="532">
        <v>46114</v>
      </c>
      <c r="I102" s="532">
        <v>46114</v>
      </c>
      <c r="J102" s="530" t="s">
        <v>352</v>
      </c>
      <c r="K102" s="531">
        <v>922.5</v>
      </c>
      <c r="L102" s="531">
        <v>0</v>
      </c>
      <c r="M102" s="531">
        <v>922.5</v>
      </c>
      <c r="N102" s="531">
        <v>922.5</v>
      </c>
      <c r="O102" s="531">
        <v>922.5</v>
      </c>
      <c r="P102" s="531">
        <v>922.5</v>
      </c>
    </row>
    <row r="103" spans="1:16" ht="25.5" hidden="1" customHeight="1" x14ac:dyDescent="0.3">
      <c r="A103" s="530" t="s">
        <v>673</v>
      </c>
      <c r="B103" s="531">
        <v>6</v>
      </c>
      <c r="C103" s="530" t="s">
        <v>358</v>
      </c>
      <c r="D103" s="530" t="s">
        <v>674</v>
      </c>
      <c r="E103" s="531">
        <v>4043</v>
      </c>
      <c r="F103" s="530" t="s">
        <v>675</v>
      </c>
      <c r="G103" s="532">
        <v>46071</v>
      </c>
      <c r="H103" s="532">
        <v>46115</v>
      </c>
      <c r="I103" s="532">
        <v>46114</v>
      </c>
      <c r="J103" s="530" t="s">
        <v>352</v>
      </c>
      <c r="K103" s="531">
        <v>15000</v>
      </c>
      <c r="L103" s="531">
        <v>0</v>
      </c>
      <c r="M103" s="531">
        <v>15000</v>
      </c>
      <c r="N103" s="531">
        <v>14077.5</v>
      </c>
      <c r="O103" s="531">
        <v>14077.5</v>
      </c>
      <c r="P103" s="531">
        <v>15000</v>
      </c>
    </row>
    <row r="104" spans="1:16" ht="25.5" hidden="1" customHeight="1" x14ac:dyDescent="0.3">
      <c r="A104" s="530" t="s">
        <v>676</v>
      </c>
      <c r="B104" s="531">
        <v>135</v>
      </c>
      <c r="C104" s="530" t="s">
        <v>475</v>
      </c>
      <c r="D104" s="530" t="s">
        <v>677</v>
      </c>
      <c r="E104" s="531">
        <v>4016</v>
      </c>
      <c r="F104" s="530" t="s">
        <v>678</v>
      </c>
      <c r="G104" s="532">
        <v>46059</v>
      </c>
      <c r="H104" s="532">
        <v>46090</v>
      </c>
      <c r="I104" s="532">
        <v>46118</v>
      </c>
      <c r="J104" s="530" t="s">
        <v>352</v>
      </c>
      <c r="K104" s="531">
        <v>13000</v>
      </c>
      <c r="L104" s="531">
        <v>0</v>
      </c>
      <c r="M104" s="531">
        <v>13000</v>
      </c>
      <c r="N104" s="531">
        <v>12200.5</v>
      </c>
      <c r="O104" s="531">
        <v>12200.5</v>
      </c>
      <c r="P104" s="531">
        <v>13000</v>
      </c>
    </row>
    <row r="105" spans="1:16" ht="25.5" hidden="1" customHeight="1" x14ac:dyDescent="0.3">
      <c r="A105" s="530" t="s">
        <v>679</v>
      </c>
      <c r="B105" s="531">
        <v>2</v>
      </c>
      <c r="C105" s="530" t="s">
        <v>354</v>
      </c>
      <c r="D105" s="530" t="s">
        <v>680</v>
      </c>
      <c r="E105" s="531">
        <v>4055</v>
      </c>
      <c r="F105" s="530" t="s">
        <v>681</v>
      </c>
      <c r="G105" s="532">
        <v>46079</v>
      </c>
      <c r="H105" s="532">
        <v>46117</v>
      </c>
      <c r="I105" s="532">
        <v>46118</v>
      </c>
      <c r="J105" s="530" t="s">
        <v>352</v>
      </c>
      <c r="K105" s="531">
        <v>1368.51</v>
      </c>
      <c r="L105" s="531">
        <v>0</v>
      </c>
      <c r="M105" s="531">
        <v>1368.51</v>
      </c>
      <c r="N105" s="531">
        <v>1284.3399999999999</v>
      </c>
      <c r="O105" s="531">
        <v>1284.3399999999999</v>
      </c>
      <c r="P105" s="531">
        <v>1368.51</v>
      </c>
    </row>
    <row r="106" spans="1:16" ht="25.5" hidden="1" customHeight="1" x14ac:dyDescent="0.3">
      <c r="A106" s="530" t="s">
        <v>682</v>
      </c>
      <c r="B106" s="531">
        <v>145</v>
      </c>
      <c r="C106" s="530" t="s">
        <v>562</v>
      </c>
      <c r="D106" s="530" t="s">
        <v>683</v>
      </c>
      <c r="E106" s="531">
        <v>4099</v>
      </c>
      <c r="F106" s="530"/>
      <c r="G106" s="532">
        <v>46120</v>
      </c>
      <c r="H106" s="532">
        <v>46150</v>
      </c>
      <c r="I106" s="532">
        <v>46121</v>
      </c>
      <c r="J106" s="530" t="s">
        <v>352</v>
      </c>
      <c r="K106" s="531">
        <v>1000</v>
      </c>
      <c r="L106" s="531">
        <v>0</v>
      </c>
      <c r="M106" s="531">
        <v>1000</v>
      </c>
      <c r="N106" s="531">
        <v>938.5</v>
      </c>
      <c r="O106" s="531">
        <v>938.5</v>
      </c>
      <c r="P106" s="531">
        <v>1000</v>
      </c>
    </row>
    <row r="107" spans="1:16" ht="25.5" hidden="1" customHeight="1" x14ac:dyDescent="0.3">
      <c r="A107" s="530" t="s">
        <v>684</v>
      </c>
      <c r="B107" s="531">
        <v>145</v>
      </c>
      <c r="C107" s="530" t="s">
        <v>562</v>
      </c>
      <c r="D107" s="530" t="s">
        <v>685</v>
      </c>
      <c r="E107" s="531">
        <v>4100</v>
      </c>
      <c r="F107" s="530"/>
      <c r="G107" s="532">
        <v>46120</v>
      </c>
      <c r="H107" s="532">
        <v>46181</v>
      </c>
      <c r="I107" s="532">
        <v>46121</v>
      </c>
      <c r="J107" s="530" t="s">
        <v>352</v>
      </c>
      <c r="K107" s="531">
        <v>0</v>
      </c>
      <c r="L107" s="531">
        <v>576.29999999999995</v>
      </c>
      <c r="M107" s="531">
        <v>576.29999999999995</v>
      </c>
      <c r="N107" s="531">
        <v>576.29999999999995</v>
      </c>
      <c r="O107" s="531">
        <v>576.29999999999995</v>
      </c>
      <c r="P107" s="531">
        <v>0</v>
      </c>
    </row>
    <row r="108" spans="1:16" ht="25.5" hidden="1" customHeight="1" x14ac:dyDescent="0.3">
      <c r="A108" s="530" t="s">
        <v>686</v>
      </c>
      <c r="B108" s="531">
        <v>115</v>
      </c>
      <c r="C108" s="530" t="s">
        <v>379</v>
      </c>
      <c r="D108" s="530" t="s">
        <v>687</v>
      </c>
      <c r="E108" s="531">
        <v>4059</v>
      </c>
      <c r="F108" s="530" t="s">
        <v>688</v>
      </c>
      <c r="G108" s="532">
        <v>46086</v>
      </c>
      <c r="H108" s="532">
        <v>46101</v>
      </c>
      <c r="I108" s="532">
        <v>46122</v>
      </c>
      <c r="J108" s="530" t="s">
        <v>352</v>
      </c>
      <c r="K108" s="531">
        <v>466.68</v>
      </c>
      <c r="L108" s="531">
        <v>0</v>
      </c>
      <c r="M108" s="531">
        <v>466.68</v>
      </c>
      <c r="N108" s="531">
        <v>466.68</v>
      </c>
      <c r="O108" s="531">
        <v>466.68</v>
      </c>
      <c r="P108" s="531">
        <v>466.68</v>
      </c>
    </row>
  </sheetData>
  <autoFilter ref="A1:P108" xr:uid="{59B296F8-B817-4827-89CC-297B63EE2D5A}">
    <filterColumn colId="8">
      <filters>
        <dateGroupItem year="2026" month="1" dateTimeGrouping="month"/>
      </filters>
    </filterColumn>
  </autoFilter>
  <printOptions horizontalCentered="1"/>
  <pageMargins left="0.39" right="0.39" top="0.39" bottom="0.39" header="0.51" footer="0.51"/>
  <pageSetup scale="28" fitToHeight="3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3CE7-EDB1-44C4-B1FC-C943E14DC297}">
  <sheetPr filterMode="1">
    <pageSetUpPr fitToPage="1"/>
  </sheetPr>
  <dimension ref="A1:P10"/>
  <sheetViews>
    <sheetView showGridLines="0" zoomScaleNormal="100" zoomScaleSheetLayoutView="100" workbookViewId="0">
      <selection activeCell="I17" sqref="I17"/>
    </sheetView>
  </sheetViews>
  <sheetFormatPr defaultColWidth="8.88671875" defaultRowHeight="13.2" x14ac:dyDescent="0.3"/>
  <cols>
    <col min="1" max="1" width="6.33203125" style="529" bestFit="1" customWidth="1"/>
    <col min="2" max="2" width="7" style="529" bestFit="1" customWidth="1"/>
    <col min="3" max="3" width="18.6640625" style="529" bestFit="1" customWidth="1"/>
    <col min="4" max="4" width="35.5546875" style="529" bestFit="1" customWidth="1"/>
    <col min="5" max="5" width="7.5546875" style="529" bestFit="1" customWidth="1"/>
    <col min="6" max="6" width="18.33203125" style="529" bestFit="1" customWidth="1"/>
    <col min="7" max="7" width="12.88671875" style="529" bestFit="1" customWidth="1"/>
    <col min="8" max="8" width="11.33203125" style="529" bestFit="1" customWidth="1"/>
    <col min="9" max="9" width="17" style="529" bestFit="1" customWidth="1"/>
    <col min="10" max="10" width="6.6640625" style="529" bestFit="1" customWidth="1"/>
    <col min="11" max="11" width="16" style="529" bestFit="1" customWidth="1"/>
    <col min="12" max="12" width="14.6640625" style="529" bestFit="1" customWidth="1"/>
    <col min="13" max="13" width="16.6640625" style="529" bestFit="1" customWidth="1"/>
    <col min="14" max="14" width="10.44140625" style="529" bestFit="1" customWidth="1"/>
    <col min="15" max="15" width="14.33203125" style="529" bestFit="1" customWidth="1"/>
    <col min="16" max="16" width="10.6640625" style="529" bestFit="1" customWidth="1"/>
    <col min="17" max="16384" width="8.88671875" style="529"/>
  </cols>
  <sheetData>
    <row r="1" spans="1:16" ht="25.5" customHeight="1" x14ac:dyDescent="0.3">
      <c r="A1" s="526" t="s">
        <v>332</v>
      </c>
      <c r="B1" s="526" t="s">
        <v>333</v>
      </c>
      <c r="C1" s="526" t="s">
        <v>334</v>
      </c>
      <c r="D1" s="526" t="s">
        <v>335</v>
      </c>
      <c r="E1" s="526" t="s">
        <v>336</v>
      </c>
      <c r="F1" s="526" t="s">
        <v>337</v>
      </c>
      <c r="G1" s="526" t="s">
        <v>338</v>
      </c>
      <c r="H1" s="526" t="s">
        <v>339</v>
      </c>
      <c r="I1" s="526" t="s">
        <v>340</v>
      </c>
      <c r="J1" s="526" t="s">
        <v>341</v>
      </c>
      <c r="K1" s="526" t="s">
        <v>342</v>
      </c>
      <c r="L1" s="526" t="s">
        <v>343</v>
      </c>
      <c r="M1" s="526" t="s">
        <v>344</v>
      </c>
      <c r="N1" s="526" t="s">
        <v>345</v>
      </c>
      <c r="O1" s="526" t="s">
        <v>346</v>
      </c>
      <c r="P1" s="526" t="s">
        <v>347</v>
      </c>
    </row>
    <row r="2" spans="1:16" ht="25.5" hidden="1" customHeight="1" x14ac:dyDescent="0.3">
      <c r="A2" s="530" t="s">
        <v>689</v>
      </c>
      <c r="B2" s="531">
        <v>20</v>
      </c>
      <c r="C2" s="530" t="s">
        <v>690</v>
      </c>
      <c r="D2" s="530" t="s">
        <v>691</v>
      </c>
      <c r="E2" s="531">
        <v>3981</v>
      </c>
      <c r="F2" s="530"/>
      <c r="G2" s="532">
        <v>46031</v>
      </c>
      <c r="H2" s="532">
        <v>46041</v>
      </c>
      <c r="I2" s="532">
        <v>46050</v>
      </c>
      <c r="J2" s="530" t="s">
        <v>692</v>
      </c>
      <c r="K2" s="531">
        <v>820</v>
      </c>
      <c r="L2" s="531">
        <v>0</v>
      </c>
      <c r="M2" s="531">
        <v>820</v>
      </c>
      <c r="N2" s="531">
        <v>820</v>
      </c>
      <c r="O2" s="531">
        <v>820</v>
      </c>
      <c r="P2" s="531">
        <v>4893.84</v>
      </c>
    </row>
    <row r="3" spans="1:16" ht="25.5" customHeight="1" x14ac:dyDescent="0.3">
      <c r="A3" s="530" t="s">
        <v>693</v>
      </c>
      <c r="B3" s="531">
        <v>20</v>
      </c>
      <c r="C3" s="530" t="s">
        <v>690</v>
      </c>
      <c r="D3" s="530" t="s">
        <v>694</v>
      </c>
      <c r="E3" s="531">
        <v>4079</v>
      </c>
      <c r="F3" s="530" t="s">
        <v>695</v>
      </c>
      <c r="G3" s="532">
        <v>46098</v>
      </c>
      <c r="H3" s="532">
        <v>46098</v>
      </c>
      <c r="I3" s="532">
        <v>46098</v>
      </c>
      <c r="J3" s="530" t="s">
        <v>692</v>
      </c>
      <c r="K3" s="531">
        <v>50</v>
      </c>
      <c r="L3" s="531">
        <v>0</v>
      </c>
      <c r="M3" s="531">
        <v>50</v>
      </c>
      <c r="N3" s="531">
        <v>50</v>
      </c>
      <c r="O3" s="531">
        <v>50</v>
      </c>
      <c r="P3" s="533">
        <v>285.89999999999998</v>
      </c>
    </row>
    <row r="4" spans="1:16" ht="25.5" hidden="1" customHeight="1" x14ac:dyDescent="0.3">
      <c r="A4" s="530" t="s">
        <v>696</v>
      </c>
      <c r="B4" s="531">
        <v>136</v>
      </c>
      <c r="C4" s="530" t="s">
        <v>697</v>
      </c>
      <c r="D4" s="530" t="s">
        <v>698</v>
      </c>
      <c r="E4" s="531">
        <v>3957</v>
      </c>
      <c r="F4" s="530"/>
      <c r="G4" s="532">
        <v>46009</v>
      </c>
      <c r="H4" s="532">
        <v>46038</v>
      </c>
      <c r="I4" s="532">
        <v>46030</v>
      </c>
      <c r="J4" s="530" t="s">
        <v>699</v>
      </c>
      <c r="K4" s="531">
        <v>3316.66</v>
      </c>
      <c r="L4" s="531">
        <v>0</v>
      </c>
      <c r="M4" s="531">
        <v>3316.66</v>
      </c>
      <c r="N4" s="531">
        <v>3316.66</v>
      </c>
      <c r="O4" s="531">
        <v>3316.66</v>
      </c>
      <c r="P4" s="531">
        <v>17121.919999999998</v>
      </c>
    </row>
    <row r="5" spans="1:16" ht="25.5" hidden="1" customHeight="1" x14ac:dyDescent="0.3">
      <c r="A5" s="530" t="s">
        <v>700</v>
      </c>
      <c r="B5" s="531">
        <v>136</v>
      </c>
      <c r="C5" s="530" t="s">
        <v>697</v>
      </c>
      <c r="D5" s="530" t="s">
        <v>701</v>
      </c>
      <c r="E5" s="531">
        <v>3985</v>
      </c>
      <c r="F5" s="530"/>
      <c r="G5" s="532">
        <v>46031</v>
      </c>
      <c r="H5" s="532">
        <v>46062</v>
      </c>
      <c r="I5" s="532">
        <v>46050</v>
      </c>
      <c r="J5" s="530" t="s">
        <v>699</v>
      </c>
      <c r="K5" s="531">
        <v>4891.66</v>
      </c>
      <c r="L5" s="531">
        <v>0</v>
      </c>
      <c r="M5" s="531">
        <v>4891.66</v>
      </c>
      <c r="N5" s="531">
        <v>4891.66</v>
      </c>
      <c r="O5" s="531">
        <v>4891.66</v>
      </c>
      <c r="P5" s="531">
        <v>24455.85</v>
      </c>
    </row>
    <row r="6" spans="1:16" ht="25.5" hidden="1" customHeight="1" x14ac:dyDescent="0.3">
      <c r="A6" s="530" t="s">
        <v>702</v>
      </c>
      <c r="B6" s="531">
        <v>136</v>
      </c>
      <c r="C6" s="530" t="s">
        <v>697</v>
      </c>
      <c r="D6" s="530" t="s">
        <v>703</v>
      </c>
      <c r="E6" s="531">
        <v>4009</v>
      </c>
      <c r="F6" s="530" t="s">
        <v>704</v>
      </c>
      <c r="G6" s="532">
        <v>46058</v>
      </c>
      <c r="H6" s="532">
        <v>46093</v>
      </c>
      <c r="I6" s="532">
        <v>46063</v>
      </c>
      <c r="J6" s="530" t="s">
        <v>699</v>
      </c>
      <c r="K6" s="531">
        <v>5025</v>
      </c>
      <c r="L6" s="531">
        <v>0</v>
      </c>
      <c r="M6" s="531">
        <v>5025</v>
      </c>
      <c r="N6" s="531">
        <v>5025</v>
      </c>
      <c r="O6" s="531">
        <v>5025</v>
      </c>
      <c r="P6" s="531">
        <v>25054.14</v>
      </c>
    </row>
    <row r="7" spans="1:16" ht="25.5" customHeight="1" x14ac:dyDescent="0.3">
      <c r="A7" s="530" t="s">
        <v>705</v>
      </c>
      <c r="B7" s="531">
        <v>136</v>
      </c>
      <c r="C7" s="530" t="s">
        <v>697</v>
      </c>
      <c r="D7" s="530" t="s">
        <v>706</v>
      </c>
      <c r="E7" s="531">
        <v>4068</v>
      </c>
      <c r="F7" s="530" t="s">
        <v>707</v>
      </c>
      <c r="G7" s="532">
        <v>46091</v>
      </c>
      <c r="H7" s="532">
        <v>46122</v>
      </c>
      <c r="I7" s="532">
        <v>46101</v>
      </c>
      <c r="J7" s="530" t="s">
        <v>699</v>
      </c>
      <c r="K7" s="531">
        <v>6258.33</v>
      </c>
      <c r="L7" s="531">
        <v>0</v>
      </c>
      <c r="M7" s="531">
        <v>6258.33</v>
      </c>
      <c r="N7" s="531">
        <v>6258.33</v>
      </c>
      <c r="O7" s="531">
        <v>6258.33</v>
      </c>
      <c r="P7" s="533">
        <v>31515.7</v>
      </c>
    </row>
    <row r="8" spans="1:16" ht="25.5" customHeight="1" x14ac:dyDescent="0.3">
      <c r="A8" s="530" t="s">
        <v>708</v>
      </c>
      <c r="B8" s="531">
        <v>87</v>
      </c>
      <c r="C8" s="530" t="s">
        <v>709</v>
      </c>
      <c r="D8" s="530" t="s">
        <v>710</v>
      </c>
      <c r="E8" s="531">
        <v>4026</v>
      </c>
      <c r="F8" s="530" t="s">
        <v>711</v>
      </c>
      <c r="G8" s="532">
        <v>46063</v>
      </c>
      <c r="H8" s="532">
        <v>46093</v>
      </c>
      <c r="I8" s="532">
        <v>46106</v>
      </c>
      <c r="J8" s="530" t="s">
        <v>699</v>
      </c>
      <c r="K8" s="531">
        <v>18833.34</v>
      </c>
      <c r="L8" s="531">
        <v>0</v>
      </c>
      <c r="M8" s="531">
        <v>18833.34</v>
      </c>
      <c r="N8" s="531">
        <v>18833.34</v>
      </c>
      <c r="O8" s="531">
        <v>18833.34</v>
      </c>
      <c r="P8" s="533">
        <v>94484.98</v>
      </c>
    </row>
    <row r="9" spans="1:16" ht="25.5" customHeight="1" x14ac:dyDescent="0.3">
      <c r="A9" s="530" t="s">
        <v>712</v>
      </c>
      <c r="B9" s="531">
        <v>87</v>
      </c>
      <c r="C9" s="530" t="s">
        <v>709</v>
      </c>
      <c r="D9" s="530" t="s">
        <v>713</v>
      </c>
      <c r="E9" s="531">
        <v>4029</v>
      </c>
      <c r="F9" s="530" t="s">
        <v>714</v>
      </c>
      <c r="G9" s="532">
        <v>46065</v>
      </c>
      <c r="H9" s="532">
        <v>46093</v>
      </c>
      <c r="I9" s="532">
        <v>46106</v>
      </c>
      <c r="J9" s="530" t="s">
        <v>699</v>
      </c>
      <c r="K9" s="531">
        <v>24458.34</v>
      </c>
      <c r="L9" s="531">
        <v>0</v>
      </c>
      <c r="M9" s="531">
        <v>24458.34</v>
      </c>
      <c r="N9" s="531">
        <v>24458.34</v>
      </c>
      <c r="O9" s="531">
        <v>24458.34</v>
      </c>
      <c r="P9" s="533">
        <v>122705.05</v>
      </c>
    </row>
    <row r="10" spans="1:16" ht="25.5" hidden="1" customHeight="1" x14ac:dyDescent="0.3">
      <c r="A10" s="530" t="s">
        <v>715</v>
      </c>
      <c r="B10" s="531">
        <v>87</v>
      </c>
      <c r="C10" s="530" t="s">
        <v>709</v>
      </c>
      <c r="D10" s="530" t="s">
        <v>716</v>
      </c>
      <c r="E10" s="531">
        <v>4070</v>
      </c>
      <c r="F10" s="530"/>
      <c r="G10" s="532">
        <v>46091</v>
      </c>
      <c r="H10" s="532">
        <v>46121</v>
      </c>
      <c r="I10" s="532">
        <v>46121</v>
      </c>
      <c r="J10" s="530" t="s">
        <v>699</v>
      </c>
      <c r="K10" s="531">
        <v>17133.330000000002</v>
      </c>
      <c r="L10" s="531">
        <v>0</v>
      </c>
      <c r="M10" s="531">
        <v>17133.330000000002</v>
      </c>
      <c r="N10" s="531">
        <v>17133.330000000002</v>
      </c>
      <c r="O10" s="531">
        <v>17133.330000000002</v>
      </c>
      <c r="P10" s="531">
        <v>83405.05</v>
      </c>
    </row>
  </sheetData>
  <autoFilter ref="A1:P10" xr:uid="{A5DFDCB5-43EE-45AC-A63D-0074C2EFB2F6}">
    <filterColumn colId="8">
      <filters>
        <dateGroupItem year="2026" month="3" dateTimeGrouping="month"/>
      </filters>
    </filterColumn>
  </autoFilter>
  <printOptions horizontalCentered="1"/>
  <pageMargins left="0.39" right="0.39" top="0.39" bottom="0.39" header="0.51" footer="0.51"/>
  <pageSetup scale="29" fitToHeight="3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323D-3BC9-4C3D-A20D-BEDE20D1E09C}">
  <dimension ref="A1:D98"/>
  <sheetViews>
    <sheetView tabSelected="1" topLeftCell="A82" workbookViewId="0">
      <selection activeCell="D31" sqref="D31"/>
    </sheetView>
  </sheetViews>
  <sheetFormatPr defaultRowHeight="14.4" x14ac:dyDescent="0.3"/>
  <cols>
    <col min="1" max="1" width="14.6640625" bestFit="1" customWidth="1"/>
    <col min="2" max="2" width="11.5546875" bestFit="1" customWidth="1"/>
    <col min="3" max="3" width="17.109375" customWidth="1"/>
    <col min="4" max="4" width="21.109375" bestFit="1" customWidth="1"/>
  </cols>
  <sheetData>
    <row r="1" spans="1:4" x14ac:dyDescent="0.3">
      <c r="A1" s="568">
        <v>44682</v>
      </c>
      <c r="B1" s="569"/>
      <c r="C1" s="570"/>
      <c r="D1" s="240" t="s">
        <v>717</v>
      </c>
    </row>
    <row r="2" spans="1:4" x14ac:dyDescent="0.3">
      <c r="A2" s="65" t="s">
        <v>718</v>
      </c>
      <c r="B2" s="57">
        <v>78409</v>
      </c>
      <c r="C2" s="65"/>
      <c r="D2" s="241"/>
    </row>
    <row r="3" spans="1:4" x14ac:dyDescent="0.3">
      <c r="A3" s="65" t="s">
        <v>719</v>
      </c>
      <c r="B3" s="242">
        <f>B2/60</f>
        <v>1306.8166666666666</v>
      </c>
      <c r="C3" s="65" t="s">
        <v>720</v>
      </c>
      <c r="D3" s="243">
        <f>B3</f>
        <v>1306.8166666666666</v>
      </c>
    </row>
    <row r="4" spans="1:4" x14ac:dyDescent="0.3">
      <c r="A4" s="244"/>
      <c r="B4" s="244"/>
      <c r="C4" s="244"/>
      <c r="D4" s="244"/>
    </row>
    <row r="5" spans="1:4" x14ac:dyDescent="0.3">
      <c r="A5" s="568">
        <v>44713</v>
      </c>
      <c r="B5" s="569"/>
      <c r="C5" s="570"/>
      <c r="D5" s="240" t="s">
        <v>721</v>
      </c>
    </row>
    <row r="6" spans="1:4" x14ac:dyDescent="0.3">
      <c r="A6" s="65" t="s">
        <v>718</v>
      </c>
      <c r="B6" s="57">
        <f>'[4]Orçamento 2022'!R189</f>
        <v>154730.96</v>
      </c>
      <c r="C6" s="65"/>
      <c r="D6" s="241"/>
    </row>
    <row r="7" spans="1:4" x14ac:dyDescent="0.3">
      <c r="A7" s="65" t="s">
        <v>719</v>
      </c>
      <c r="B7" s="242">
        <f>B6/60</f>
        <v>2578.8493333333331</v>
      </c>
      <c r="C7" s="65" t="s">
        <v>722</v>
      </c>
      <c r="D7" s="243">
        <f>B3+B7</f>
        <v>3885.6659999999997</v>
      </c>
    </row>
    <row r="8" spans="1:4" x14ac:dyDescent="0.3">
      <c r="A8" s="244"/>
      <c r="B8" s="244"/>
      <c r="C8" s="244"/>
      <c r="D8" s="244"/>
    </row>
    <row r="9" spans="1:4" x14ac:dyDescent="0.3">
      <c r="A9" s="568">
        <v>44743</v>
      </c>
      <c r="B9" s="569"/>
      <c r="C9" s="570"/>
      <c r="D9" s="240" t="s">
        <v>723</v>
      </c>
    </row>
    <row r="10" spans="1:4" x14ac:dyDescent="0.3">
      <c r="A10" s="65" t="s">
        <v>718</v>
      </c>
      <c r="B10" s="57">
        <v>116368.83</v>
      </c>
      <c r="C10" s="65"/>
      <c r="D10" s="241"/>
    </row>
    <row r="11" spans="1:4" x14ac:dyDescent="0.3">
      <c r="A11" s="65" t="s">
        <v>719</v>
      </c>
      <c r="B11" s="242">
        <f>B10/60</f>
        <v>1939.4805000000001</v>
      </c>
      <c r="C11" s="65" t="s">
        <v>724</v>
      </c>
      <c r="D11" s="243">
        <f>D7+B11</f>
        <v>5825.1464999999998</v>
      </c>
    </row>
    <row r="12" spans="1:4" x14ac:dyDescent="0.3">
      <c r="A12" s="244"/>
      <c r="B12" s="244"/>
      <c r="C12" s="244"/>
      <c r="D12" s="244"/>
    </row>
    <row r="13" spans="1:4" x14ac:dyDescent="0.3">
      <c r="A13" s="568">
        <v>44774</v>
      </c>
      <c r="B13" s="569"/>
      <c r="C13" s="570"/>
      <c r="D13" s="240" t="s">
        <v>725</v>
      </c>
    </row>
    <row r="14" spans="1:4" x14ac:dyDescent="0.3">
      <c r="A14" s="65" t="s">
        <v>718</v>
      </c>
      <c r="B14" s="57">
        <f>'[4]Orçamento 2022'!X189</f>
        <v>43795.59</v>
      </c>
      <c r="C14" s="65"/>
      <c r="D14" s="241"/>
    </row>
    <row r="15" spans="1:4" x14ac:dyDescent="0.3">
      <c r="A15" s="65" t="s">
        <v>719</v>
      </c>
      <c r="B15" s="242">
        <f>B14/60</f>
        <v>729.92649999999992</v>
      </c>
      <c r="C15" s="65" t="s">
        <v>726</v>
      </c>
      <c r="D15" s="243">
        <f>D11+B15</f>
        <v>6555.0729999999994</v>
      </c>
    </row>
    <row r="16" spans="1:4" x14ac:dyDescent="0.3">
      <c r="A16" s="244"/>
      <c r="B16" s="244"/>
      <c r="C16" s="244"/>
      <c r="D16" s="244"/>
    </row>
    <row r="17" spans="1:4" x14ac:dyDescent="0.3">
      <c r="A17" s="568">
        <v>44805</v>
      </c>
      <c r="B17" s="569"/>
      <c r="C17" s="570"/>
      <c r="D17" s="240" t="s">
        <v>727</v>
      </c>
    </row>
    <row r="18" spans="1:4" x14ac:dyDescent="0.3">
      <c r="A18" s="65" t="s">
        <v>718</v>
      </c>
      <c r="B18" s="57">
        <f>'[4]Orçamento 2022'!AA186</f>
        <v>20140</v>
      </c>
      <c r="C18" s="65"/>
      <c r="D18" s="241"/>
    </row>
    <row r="19" spans="1:4" x14ac:dyDescent="0.3">
      <c r="A19" s="65" t="s">
        <v>719</v>
      </c>
      <c r="B19" s="242">
        <f>B18/60</f>
        <v>335.66666666666669</v>
      </c>
      <c r="C19" s="65" t="s">
        <v>728</v>
      </c>
      <c r="D19" s="243">
        <f>D15+B19</f>
        <v>6890.7396666666664</v>
      </c>
    </row>
    <row r="20" spans="1:4" x14ac:dyDescent="0.3">
      <c r="A20" s="244"/>
      <c r="B20" s="244"/>
      <c r="C20" s="244"/>
      <c r="D20" s="244"/>
    </row>
    <row r="21" spans="1:4" x14ac:dyDescent="0.3">
      <c r="A21" s="568">
        <v>44835</v>
      </c>
      <c r="B21" s="569"/>
      <c r="C21" s="570"/>
      <c r="D21" s="240" t="s">
        <v>729</v>
      </c>
    </row>
    <row r="22" spans="1:4" x14ac:dyDescent="0.3">
      <c r="A22" s="65" t="s">
        <v>718</v>
      </c>
      <c r="B22" s="57">
        <f>'[4]Orçamento 2022'!AD189</f>
        <v>41551</v>
      </c>
      <c r="C22" s="65"/>
      <c r="D22" s="241"/>
    </row>
    <row r="23" spans="1:4" x14ac:dyDescent="0.3">
      <c r="A23" s="65" t="s">
        <v>719</v>
      </c>
      <c r="B23" s="242">
        <f>B22/60</f>
        <v>692.51666666666665</v>
      </c>
      <c r="C23" s="65" t="s">
        <v>730</v>
      </c>
      <c r="D23" s="243">
        <f>D19+B23</f>
        <v>7583.2563333333328</v>
      </c>
    </row>
    <row r="24" spans="1:4" x14ac:dyDescent="0.3">
      <c r="A24" s="244"/>
      <c r="B24" s="244"/>
      <c r="C24" s="244"/>
      <c r="D24" s="244"/>
    </row>
    <row r="25" spans="1:4" x14ac:dyDescent="0.3">
      <c r="A25" s="568">
        <v>44866</v>
      </c>
      <c r="B25" s="569"/>
      <c r="C25" s="570"/>
      <c r="D25" s="240" t="s">
        <v>731</v>
      </c>
    </row>
    <row r="26" spans="1:4" x14ac:dyDescent="0.3">
      <c r="A26" s="65" t="s">
        <v>718</v>
      </c>
      <c r="B26" s="57">
        <f>'[4]Orçamento 2022'!AG189</f>
        <v>21722</v>
      </c>
      <c r="C26" s="65"/>
      <c r="D26" s="241"/>
    </row>
    <row r="27" spans="1:4" x14ac:dyDescent="0.3">
      <c r="A27" s="65" t="s">
        <v>719</v>
      </c>
      <c r="B27" s="242">
        <f>B26/60</f>
        <v>362.03333333333336</v>
      </c>
      <c r="C27" s="65" t="s">
        <v>732</v>
      </c>
      <c r="D27" s="243">
        <f>D23+B27</f>
        <v>7945.2896666666666</v>
      </c>
    </row>
    <row r="28" spans="1:4" x14ac:dyDescent="0.3">
      <c r="A28" s="244"/>
      <c r="B28" s="244"/>
      <c r="C28" s="244"/>
      <c r="D28" s="244"/>
    </row>
    <row r="29" spans="1:4" x14ac:dyDescent="0.3">
      <c r="A29" s="568">
        <v>44896</v>
      </c>
      <c r="B29" s="569"/>
      <c r="C29" s="570"/>
      <c r="D29" s="240" t="s">
        <v>733</v>
      </c>
    </row>
    <row r="30" spans="1:4" x14ac:dyDescent="0.3">
      <c r="A30" s="65" t="s">
        <v>718</v>
      </c>
      <c r="B30" s="57">
        <f>'[4]Orçamento 2022'!AJ189</f>
        <v>10321</v>
      </c>
      <c r="C30" s="65"/>
      <c r="D30" s="241"/>
    </row>
    <row r="31" spans="1:4" x14ac:dyDescent="0.3">
      <c r="A31" s="65" t="s">
        <v>719</v>
      </c>
      <c r="B31" s="242">
        <f>B30/60</f>
        <v>172.01666666666668</v>
      </c>
      <c r="C31" s="65" t="s">
        <v>734</v>
      </c>
      <c r="D31" s="243">
        <f>D27+B31</f>
        <v>8117.306333333333</v>
      </c>
    </row>
    <row r="33" spans="1:4" x14ac:dyDescent="0.3">
      <c r="A33" s="568">
        <v>44927</v>
      </c>
      <c r="B33" s="569"/>
      <c r="C33" s="570"/>
      <c r="D33" s="245" t="s">
        <v>735</v>
      </c>
    </row>
    <row r="34" spans="1:4" x14ac:dyDescent="0.3">
      <c r="A34" s="246" t="s">
        <v>718</v>
      </c>
      <c r="B34" s="246" t="s">
        <v>736</v>
      </c>
      <c r="C34" s="246"/>
      <c r="D34" s="247"/>
    </row>
    <row r="35" spans="1:4" x14ac:dyDescent="0.3">
      <c r="A35" s="246" t="s">
        <v>719</v>
      </c>
      <c r="B35" s="246" t="s">
        <v>736</v>
      </c>
      <c r="C35" s="246" t="s">
        <v>737</v>
      </c>
      <c r="D35" s="248">
        <v>8117.31</v>
      </c>
    </row>
    <row r="37" spans="1:4" x14ac:dyDescent="0.3">
      <c r="A37" s="65" t="s">
        <v>738</v>
      </c>
      <c r="B37" s="65" t="s">
        <v>739</v>
      </c>
      <c r="C37" s="65" t="s">
        <v>740</v>
      </c>
    </row>
    <row r="38" spans="1:4" x14ac:dyDescent="0.3">
      <c r="A38" s="249">
        <v>44682</v>
      </c>
      <c r="B38" s="65">
        <v>1</v>
      </c>
      <c r="C38" s="64">
        <v>1306.82</v>
      </c>
    </row>
    <row r="39" spans="1:4" x14ac:dyDescent="0.3">
      <c r="A39" s="249">
        <v>44713</v>
      </c>
      <c r="B39" s="65">
        <v>2</v>
      </c>
      <c r="C39" s="64">
        <v>3885.67</v>
      </c>
    </row>
    <row r="40" spans="1:4" x14ac:dyDescent="0.3">
      <c r="A40" s="249">
        <v>44743</v>
      </c>
      <c r="B40" s="65">
        <v>3</v>
      </c>
      <c r="C40" s="64">
        <v>5825.15</v>
      </c>
    </row>
    <row r="41" spans="1:4" x14ac:dyDescent="0.3">
      <c r="A41" s="249">
        <v>44774</v>
      </c>
      <c r="B41" s="65">
        <v>4</v>
      </c>
      <c r="C41" s="64">
        <v>6555.07</v>
      </c>
    </row>
    <row r="42" spans="1:4" x14ac:dyDescent="0.3">
      <c r="A42" s="249">
        <v>44805</v>
      </c>
      <c r="B42" s="65">
        <v>5</v>
      </c>
      <c r="C42" s="64">
        <v>6890.74</v>
      </c>
    </row>
    <row r="43" spans="1:4" x14ac:dyDescent="0.3">
      <c r="A43" s="249">
        <v>44835</v>
      </c>
      <c r="B43" s="65">
        <v>6</v>
      </c>
      <c r="C43" s="64">
        <v>7583.26</v>
      </c>
    </row>
    <row r="44" spans="1:4" x14ac:dyDescent="0.3">
      <c r="A44" s="249">
        <v>44866</v>
      </c>
      <c r="B44" s="65">
        <v>7</v>
      </c>
      <c r="C44" s="64">
        <v>7945.29</v>
      </c>
    </row>
    <row r="45" spans="1:4" x14ac:dyDescent="0.3">
      <c r="A45" s="249">
        <v>44896</v>
      </c>
      <c r="B45" s="65">
        <v>8</v>
      </c>
      <c r="C45" s="64">
        <v>8117.31</v>
      </c>
    </row>
    <row r="46" spans="1:4" x14ac:dyDescent="0.3">
      <c r="A46" s="249">
        <v>44927</v>
      </c>
      <c r="B46" s="65">
        <v>9</v>
      </c>
      <c r="C46" s="64">
        <v>8117.31</v>
      </c>
    </row>
    <row r="47" spans="1:4" x14ac:dyDescent="0.3">
      <c r="A47" s="249">
        <v>44958</v>
      </c>
      <c r="B47" s="65">
        <v>10</v>
      </c>
      <c r="C47" s="64">
        <v>8117.31</v>
      </c>
    </row>
    <row r="48" spans="1:4" x14ac:dyDescent="0.3">
      <c r="A48" s="249">
        <v>44986</v>
      </c>
      <c r="B48" s="65">
        <v>11</v>
      </c>
      <c r="C48" s="64">
        <v>8117.31</v>
      </c>
    </row>
    <row r="49" spans="1:3" x14ac:dyDescent="0.3">
      <c r="A49" s="249">
        <v>45017</v>
      </c>
      <c r="B49" s="65">
        <v>12</v>
      </c>
      <c r="C49" s="64">
        <v>8117.31</v>
      </c>
    </row>
    <row r="50" spans="1:3" x14ac:dyDescent="0.3">
      <c r="A50" s="249">
        <v>45047</v>
      </c>
      <c r="B50" s="65">
        <v>13</v>
      </c>
      <c r="C50" s="64">
        <v>8117.31</v>
      </c>
    </row>
    <row r="51" spans="1:3" x14ac:dyDescent="0.3">
      <c r="A51" s="249">
        <v>45078</v>
      </c>
      <c r="B51" s="65">
        <v>14</v>
      </c>
      <c r="C51" s="64">
        <v>8117.31</v>
      </c>
    </row>
    <row r="52" spans="1:3" x14ac:dyDescent="0.3">
      <c r="A52" s="249">
        <v>45108</v>
      </c>
      <c r="B52" s="65">
        <v>15</v>
      </c>
      <c r="C52" s="64">
        <v>8117.31</v>
      </c>
    </row>
    <row r="53" spans="1:3" x14ac:dyDescent="0.3">
      <c r="A53" s="249">
        <v>45139</v>
      </c>
      <c r="B53" s="65">
        <v>16</v>
      </c>
      <c r="C53" s="64">
        <v>8117.31</v>
      </c>
    </row>
    <row r="54" spans="1:3" x14ac:dyDescent="0.3">
      <c r="A54" s="249">
        <v>45170</v>
      </c>
      <c r="B54" s="65">
        <v>17</v>
      </c>
      <c r="C54" s="64">
        <v>8117.31</v>
      </c>
    </row>
    <row r="55" spans="1:3" x14ac:dyDescent="0.3">
      <c r="A55" s="249">
        <v>45200</v>
      </c>
      <c r="B55" s="65">
        <v>18</v>
      </c>
      <c r="C55" s="64">
        <v>8117.31</v>
      </c>
    </row>
    <row r="56" spans="1:3" x14ac:dyDescent="0.3">
      <c r="A56" s="249">
        <v>45231</v>
      </c>
      <c r="B56" s="65">
        <v>19</v>
      </c>
      <c r="C56" s="64">
        <v>8117.31</v>
      </c>
    </row>
    <row r="57" spans="1:3" x14ac:dyDescent="0.3">
      <c r="A57" s="249">
        <v>45261</v>
      </c>
      <c r="B57" s="65">
        <v>20</v>
      </c>
      <c r="C57" s="64">
        <v>8117.31</v>
      </c>
    </row>
    <row r="58" spans="1:3" x14ac:dyDescent="0.3">
      <c r="A58" s="249">
        <v>45292</v>
      </c>
      <c r="B58" s="65">
        <v>21</v>
      </c>
      <c r="C58" s="64">
        <v>8117.31</v>
      </c>
    </row>
    <row r="59" spans="1:3" x14ac:dyDescent="0.3">
      <c r="A59" s="249">
        <v>45323</v>
      </c>
      <c r="B59" s="65">
        <v>22</v>
      </c>
      <c r="C59" s="64">
        <v>8117.31</v>
      </c>
    </row>
    <row r="60" spans="1:3" x14ac:dyDescent="0.3">
      <c r="A60" s="249">
        <v>45352</v>
      </c>
      <c r="B60" s="65">
        <v>23</v>
      </c>
      <c r="C60" s="64">
        <v>8117.31</v>
      </c>
    </row>
    <row r="61" spans="1:3" x14ac:dyDescent="0.3">
      <c r="A61" s="249">
        <v>45383</v>
      </c>
      <c r="B61" s="65">
        <v>24</v>
      </c>
      <c r="C61" s="64">
        <v>8117.31</v>
      </c>
    </row>
    <row r="62" spans="1:3" x14ac:dyDescent="0.3">
      <c r="A62" s="249">
        <v>45413</v>
      </c>
      <c r="B62" s="65">
        <v>25</v>
      </c>
      <c r="C62" s="64">
        <v>8117.31</v>
      </c>
    </row>
    <row r="63" spans="1:3" x14ac:dyDescent="0.3">
      <c r="A63" s="249">
        <v>45444</v>
      </c>
      <c r="B63" s="65">
        <v>26</v>
      </c>
      <c r="C63" s="64">
        <v>8117.31</v>
      </c>
    </row>
    <row r="64" spans="1:3" x14ac:dyDescent="0.3">
      <c r="A64" s="249">
        <v>45474</v>
      </c>
      <c r="B64" s="65">
        <v>27</v>
      </c>
      <c r="C64" s="64">
        <v>8117.31</v>
      </c>
    </row>
    <row r="65" spans="1:3" x14ac:dyDescent="0.3">
      <c r="A65" s="249">
        <v>45505</v>
      </c>
      <c r="B65" s="65">
        <v>28</v>
      </c>
      <c r="C65" s="64">
        <v>8117.31</v>
      </c>
    </row>
    <row r="66" spans="1:3" x14ac:dyDescent="0.3">
      <c r="A66" s="249">
        <v>45536</v>
      </c>
      <c r="B66" s="65">
        <v>29</v>
      </c>
      <c r="C66" s="64">
        <v>8117.31</v>
      </c>
    </row>
    <row r="67" spans="1:3" x14ac:dyDescent="0.3">
      <c r="A67" s="249">
        <v>45566</v>
      </c>
      <c r="B67" s="65">
        <v>30</v>
      </c>
      <c r="C67" s="64">
        <v>8117.31</v>
      </c>
    </row>
    <row r="68" spans="1:3" x14ac:dyDescent="0.3">
      <c r="A68" s="249">
        <v>45597</v>
      </c>
      <c r="B68" s="65">
        <v>31</v>
      </c>
      <c r="C68" s="64">
        <v>8117.31</v>
      </c>
    </row>
    <row r="69" spans="1:3" x14ac:dyDescent="0.3">
      <c r="A69" s="249">
        <v>45627</v>
      </c>
      <c r="B69" s="65">
        <v>32</v>
      </c>
      <c r="C69" s="64">
        <v>8117.31</v>
      </c>
    </row>
    <row r="70" spans="1:3" x14ac:dyDescent="0.3">
      <c r="A70" s="249">
        <v>45658</v>
      </c>
      <c r="B70" s="65">
        <v>33</v>
      </c>
      <c r="C70" s="64">
        <v>8117.31</v>
      </c>
    </row>
    <row r="71" spans="1:3" x14ac:dyDescent="0.3">
      <c r="A71" s="249">
        <v>45689</v>
      </c>
      <c r="B71" s="65">
        <v>34</v>
      </c>
      <c r="C71" s="64">
        <v>8117.31</v>
      </c>
    </row>
    <row r="72" spans="1:3" x14ac:dyDescent="0.3">
      <c r="A72" s="249">
        <v>45717</v>
      </c>
      <c r="B72" s="65">
        <v>35</v>
      </c>
      <c r="C72" s="64">
        <v>8117.31</v>
      </c>
    </row>
    <row r="73" spans="1:3" x14ac:dyDescent="0.3">
      <c r="A73" s="249">
        <v>45748</v>
      </c>
      <c r="B73" s="65">
        <v>36</v>
      </c>
      <c r="C73" s="64">
        <v>8117.31</v>
      </c>
    </row>
    <row r="74" spans="1:3" x14ac:dyDescent="0.3">
      <c r="A74" s="249">
        <v>45778</v>
      </c>
      <c r="B74" s="65">
        <v>37</v>
      </c>
      <c r="C74" s="64">
        <v>8117.31</v>
      </c>
    </row>
    <row r="75" spans="1:3" x14ac:dyDescent="0.3">
      <c r="A75" s="249">
        <v>45809</v>
      </c>
      <c r="B75" s="65">
        <v>38</v>
      </c>
      <c r="C75" s="64">
        <v>8117.31</v>
      </c>
    </row>
    <row r="76" spans="1:3" x14ac:dyDescent="0.3">
      <c r="A76" s="249">
        <v>45839</v>
      </c>
      <c r="B76" s="65">
        <v>39</v>
      </c>
      <c r="C76" s="64">
        <v>8117.31</v>
      </c>
    </row>
    <row r="77" spans="1:3" x14ac:dyDescent="0.3">
      <c r="A77" s="249">
        <v>45870</v>
      </c>
      <c r="B77" s="65">
        <v>40</v>
      </c>
      <c r="C77" s="64">
        <v>8117.31</v>
      </c>
    </row>
    <row r="78" spans="1:3" x14ac:dyDescent="0.3">
      <c r="A78" s="249">
        <v>45901</v>
      </c>
      <c r="B78" s="65">
        <v>41</v>
      </c>
      <c r="C78" s="64">
        <v>8117.31</v>
      </c>
    </row>
    <row r="79" spans="1:3" x14ac:dyDescent="0.3">
      <c r="A79" s="249">
        <v>45931</v>
      </c>
      <c r="B79" s="65">
        <v>42</v>
      </c>
      <c r="C79" s="64">
        <v>8117.31</v>
      </c>
    </row>
    <row r="80" spans="1:3" x14ac:dyDescent="0.3">
      <c r="A80" s="249">
        <v>45962</v>
      </c>
      <c r="B80" s="65">
        <v>43</v>
      </c>
      <c r="C80" s="64">
        <v>8117.31</v>
      </c>
    </row>
    <row r="81" spans="1:3" x14ac:dyDescent="0.3">
      <c r="A81" s="249">
        <v>45992</v>
      </c>
      <c r="B81" s="65">
        <v>44</v>
      </c>
      <c r="C81" s="64">
        <v>8117.31</v>
      </c>
    </row>
    <row r="82" spans="1:3" x14ac:dyDescent="0.3">
      <c r="A82" s="249">
        <v>46023</v>
      </c>
      <c r="B82" s="65">
        <v>45</v>
      </c>
      <c r="C82" s="64">
        <v>8117.31</v>
      </c>
    </row>
    <row r="83" spans="1:3" x14ac:dyDescent="0.3">
      <c r="A83" s="249">
        <v>46054</v>
      </c>
      <c r="B83" s="65">
        <v>46</v>
      </c>
      <c r="C83" s="64">
        <v>8117.31</v>
      </c>
    </row>
    <row r="84" spans="1:3" x14ac:dyDescent="0.3">
      <c r="A84" s="249">
        <v>46082</v>
      </c>
      <c r="B84" s="65">
        <v>47</v>
      </c>
      <c r="C84" s="64">
        <v>8117.31</v>
      </c>
    </row>
    <row r="85" spans="1:3" x14ac:dyDescent="0.3">
      <c r="A85" s="249">
        <v>46113</v>
      </c>
      <c r="B85" s="65">
        <v>48</v>
      </c>
      <c r="C85" s="64">
        <v>8117.31</v>
      </c>
    </row>
    <row r="86" spans="1:3" x14ac:dyDescent="0.3">
      <c r="A86" s="249">
        <v>46143</v>
      </c>
      <c r="B86" s="65">
        <v>49</v>
      </c>
      <c r="C86" s="64">
        <v>8117.31</v>
      </c>
    </row>
    <row r="87" spans="1:3" x14ac:dyDescent="0.3">
      <c r="A87" s="249">
        <v>46174</v>
      </c>
      <c r="B87" s="65">
        <v>50</v>
      </c>
      <c r="C87" s="64">
        <v>8117.31</v>
      </c>
    </row>
    <row r="88" spans="1:3" x14ac:dyDescent="0.3">
      <c r="A88" s="249">
        <v>46204</v>
      </c>
      <c r="B88" s="65">
        <v>51</v>
      </c>
      <c r="C88" s="64">
        <v>8117.31</v>
      </c>
    </row>
    <row r="89" spans="1:3" x14ac:dyDescent="0.3">
      <c r="A89" s="249">
        <v>46235</v>
      </c>
      <c r="B89" s="65">
        <v>52</v>
      </c>
      <c r="C89" s="64">
        <v>8117.31</v>
      </c>
    </row>
    <row r="90" spans="1:3" x14ac:dyDescent="0.3">
      <c r="A90" s="249">
        <v>46266</v>
      </c>
      <c r="B90" s="65">
        <v>53</v>
      </c>
      <c r="C90" s="64">
        <v>8117.31</v>
      </c>
    </row>
    <row r="91" spans="1:3" x14ac:dyDescent="0.3">
      <c r="A91" s="249">
        <v>46296</v>
      </c>
      <c r="B91" s="65">
        <v>54</v>
      </c>
      <c r="C91" s="64">
        <v>8117.31</v>
      </c>
    </row>
    <row r="92" spans="1:3" x14ac:dyDescent="0.3">
      <c r="A92" s="249">
        <v>46327</v>
      </c>
      <c r="B92" s="65">
        <v>55</v>
      </c>
      <c r="C92" s="64">
        <v>8117.31</v>
      </c>
    </row>
    <row r="93" spans="1:3" x14ac:dyDescent="0.3">
      <c r="A93" s="249">
        <v>46357</v>
      </c>
      <c r="B93" s="65">
        <v>56</v>
      </c>
      <c r="C93" s="64">
        <v>8117.31</v>
      </c>
    </row>
    <row r="94" spans="1:3" x14ac:dyDescent="0.3">
      <c r="A94" s="249">
        <v>46388</v>
      </c>
      <c r="B94" s="65">
        <v>57</v>
      </c>
      <c r="C94" s="64"/>
    </row>
    <row r="95" spans="1:3" x14ac:dyDescent="0.3">
      <c r="A95" s="249">
        <v>46419</v>
      </c>
      <c r="B95" s="65">
        <v>58</v>
      </c>
      <c r="C95" s="64"/>
    </row>
    <row r="96" spans="1:3" x14ac:dyDescent="0.3">
      <c r="A96" s="249">
        <v>46447</v>
      </c>
      <c r="B96" s="65">
        <v>59</v>
      </c>
      <c r="C96" s="64"/>
    </row>
    <row r="97" spans="1:3" x14ac:dyDescent="0.3">
      <c r="A97" s="249">
        <v>46478</v>
      </c>
      <c r="B97" s="65">
        <v>60</v>
      </c>
      <c r="C97" s="64"/>
    </row>
    <row r="98" spans="1:3" x14ac:dyDescent="0.3">
      <c r="B98" s="30" t="s">
        <v>718</v>
      </c>
      <c r="C98" s="66">
        <f>SUM(C38:C97)</f>
        <v>437740.18999999989</v>
      </c>
    </row>
  </sheetData>
  <mergeCells count="9">
    <mergeCell ref="A25:C25"/>
    <mergeCell ref="A29:C29"/>
    <mergeCell ref="A33:C33"/>
    <mergeCell ref="A1:C1"/>
    <mergeCell ref="A5:C5"/>
    <mergeCell ref="A9:C9"/>
    <mergeCell ref="A13:C13"/>
    <mergeCell ref="A17:C17"/>
    <mergeCell ref="A21:C2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25FB8CCE1BC554F90231232FC76387A" ma:contentTypeVersion="10" ma:contentTypeDescription="Crie um novo documento." ma:contentTypeScope="" ma:versionID="c93c67a075b03b75d2040761bed7633f">
  <xsd:schema xmlns:xsd="http://www.w3.org/2001/XMLSchema" xmlns:xs="http://www.w3.org/2001/XMLSchema" xmlns:p="http://schemas.microsoft.com/office/2006/metadata/properties" xmlns:ns2="d129b9c5-ff64-40f8-862d-47683c61f381" xmlns:ns3="e17ae799-5f1c-404c-ba16-6cb5104baae7" targetNamespace="http://schemas.microsoft.com/office/2006/metadata/properties" ma:root="true" ma:fieldsID="959de20e0ad0dc8858950a06036c0ecf" ns2:_="" ns3:_="">
    <xsd:import namespace="d129b9c5-ff64-40f8-862d-47683c61f381"/>
    <xsd:import namespace="e17ae799-5f1c-404c-ba16-6cb5104baa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9b9c5-ff64-40f8-862d-47683c61f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f0e258f-2fea-4f6d-8c61-f300350784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7ae799-5f1c-404c-ba16-6cb5104baa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6af7c5e-a918-46f7-902a-183581c48a25}" ma:internalName="TaxCatchAll" ma:showField="CatchAllData" ma:web="e17ae799-5f1c-404c-ba16-6cb5104baa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7ae799-5f1c-404c-ba16-6cb5104baae7" xsi:nil="true"/>
    <lcf76f155ced4ddcb4097134ff3c332f xmlns="d129b9c5-ff64-40f8-862d-47683c61f3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E425C6-8323-4860-8DC2-F8D1076AC4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29b9c5-ff64-40f8-862d-47683c61f381"/>
    <ds:schemaRef ds:uri="e17ae799-5f1c-404c-ba16-6cb5104ba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109C95-0B3F-4719-87E4-424C53B853E9}">
  <ds:schemaRefs>
    <ds:schemaRef ds:uri="http://schemas.microsoft.com/office/2006/metadata/properties"/>
    <ds:schemaRef ds:uri="http://schemas.microsoft.com/office/infopath/2007/PartnerControls"/>
    <ds:schemaRef ds:uri="e17ae799-5f1c-404c-ba16-6cb5104baae7"/>
    <ds:schemaRef ds:uri="d129b9c5-ff64-40f8-862d-47683c61f381"/>
  </ds:schemaRefs>
</ds:datastoreItem>
</file>

<file path=customXml/itemProps3.xml><?xml version="1.0" encoding="utf-8"?>
<ds:datastoreItem xmlns:ds="http://schemas.openxmlformats.org/officeDocument/2006/customXml" ds:itemID="{5571E931-C964-4258-B806-E8D1D466DD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2</vt:i4>
      </vt:variant>
    </vt:vector>
  </HeadingPairs>
  <TitlesOfParts>
    <vt:vector size="18" baseType="lpstr">
      <vt:lpstr>Meta (2)</vt:lpstr>
      <vt:lpstr>DRE 2026</vt:lpstr>
      <vt:lpstr>Orçamento 2026</vt:lpstr>
      <vt:lpstr>Rateio Mensal</vt:lpstr>
      <vt:lpstr>Fluxo consolidado </vt:lpstr>
      <vt:lpstr>Base_Resultado Mensal_V2</vt:lpstr>
      <vt:lpstr>Areas Sintetico atualizado</vt:lpstr>
      <vt:lpstr>Institucional</vt:lpstr>
      <vt:lpstr>Planilha1</vt:lpstr>
      <vt:lpstr>Institucional ano</vt:lpstr>
      <vt:lpstr>Contencioso</vt:lpstr>
      <vt:lpstr>Econômico</vt:lpstr>
      <vt:lpstr>Arbitragem</vt:lpstr>
      <vt:lpstr>Nacional</vt:lpstr>
      <vt:lpstr>Moedas</vt:lpstr>
      <vt:lpstr>Amortização</vt:lpstr>
      <vt:lpstr>Moedas!Titulos_de_impressao</vt:lpstr>
      <vt:lpstr>Nacional!Titulos_de_impressao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Financeiro | Rumo Gestão</dc:creator>
  <cp:keywords/>
  <dc:description/>
  <cp:lastModifiedBy>Adriana Ramos | Rumo Gestão</cp:lastModifiedBy>
  <cp:revision/>
  <dcterms:created xsi:type="dcterms:W3CDTF">2025-02-21T18:56:19Z</dcterms:created>
  <dcterms:modified xsi:type="dcterms:W3CDTF">2026-07-03T15:16:50Z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0x010100725FB8CCE1BC554F90231232FC76387A</vt:lpwstr>
  </property>
  <property fmtid="{D5CDD505-2E9C-101B-9397-08002B2CF9AE}" pid="3" name="MediaServiceImageTags">
    <vt:lpwstr/>
  </property>
</Properties>
</file>